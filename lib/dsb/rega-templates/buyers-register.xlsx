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mahdihb.sharepoint.com/sites/msteams_0acdb9/Shared Documents/OPP/الحبيب/إيال الاصالة/0 تقارير/2026/2 الربع الثاني إيال الاصالة 2026/"/>
    </mc:Choice>
  </mc:AlternateContent>
  <xr:revisionPtr revIDLastSave="52" documentId="8_{4FB5C38F-25D3-4EE7-B782-AF19FDEA3000}" xr6:coauthVersionLast="47" xr6:coauthVersionMax="47" xr10:uidLastSave="{3F86E9CE-4E73-4725-AA64-F7EB25932161}"/>
  <bookViews>
    <workbookView xWindow="-108" yWindow="-108" windowWidth="23256" windowHeight="13896" xr2:uid="{00000000-000D-0000-FFFF-FFFF00000000}"/>
  </bookViews>
  <sheets>
    <sheet name="سجل المشترين وحدات قائمة" sheetId="1" r:id="rId1"/>
    <sheet name="الوحدات الملغية والمعاد بيعها" sheetId="3" r:id="rId2"/>
    <sheet name="الوحدات الملغية" sheetId="4" r:id="rId3"/>
    <sheet name="الوحدات المنجزة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U3" i="1"/>
  <c r="V3" i="1"/>
  <c r="W3" i="1"/>
  <c r="X3" i="1"/>
  <c r="Y3" i="1"/>
  <c r="Q3" i="1"/>
  <c r="AN467" i="1"/>
  <c r="AN8" i="1" l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7" i="1"/>
  <c r="AN458" i="1"/>
  <c r="AN459" i="1"/>
  <c r="AN460" i="1"/>
  <c r="AN461" i="1"/>
  <c r="AN462" i="1"/>
  <c r="AU465" i="1" l="1"/>
  <c r="AV465" i="1" l="1"/>
  <c r="AV467" i="1" s="1"/>
  <c r="AN465" i="1" l="1"/>
  <c r="V465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P36" i="1"/>
  <c r="AR36" i="1"/>
  <c r="AS36" i="1"/>
  <c r="AS37" i="1"/>
  <c r="AS38" i="1"/>
  <c r="AS39" i="1"/>
  <c r="AS40" i="1"/>
  <c r="AS41" i="1"/>
  <c r="AS42" i="1"/>
  <c r="AS43" i="1"/>
  <c r="AS44" i="1"/>
  <c r="AS45" i="1"/>
  <c r="AP46" i="1"/>
  <c r="AR46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P64" i="1"/>
  <c r="AR64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P76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P94" i="1"/>
  <c r="AR94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P120" i="1"/>
  <c r="AR120" i="1"/>
  <c r="AS120" i="1"/>
  <c r="AS121" i="1"/>
  <c r="AP122" i="1"/>
  <c r="AS122" i="1"/>
  <c r="AS123" i="1"/>
  <c r="AS124" i="1"/>
  <c r="AS125" i="1"/>
  <c r="AS126" i="1"/>
  <c r="AS127" i="1"/>
  <c r="AS128" i="1"/>
  <c r="AS129" i="1"/>
  <c r="AP130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P175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P203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R237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R253" i="1"/>
  <c r="AS253" i="1"/>
  <c r="AS254" i="1"/>
  <c r="AS255" i="1"/>
  <c r="AS256" i="1"/>
  <c r="AS257" i="1"/>
  <c r="AS258" i="1"/>
  <c r="AS259" i="1"/>
  <c r="AS260" i="1"/>
  <c r="AS261" i="1"/>
  <c r="AR262" i="1"/>
  <c r="AS262" i="1"/>
  <c r="AS263" i="1"/>
  <c r="AS264" i="1"/>
  <c r="AS265" i="1"/>
  <c r="AS266" i="1"/>
  <c r="AS267" i="1"/>
  <c r="AS268" i="1"/>
  <c r="AS269" i="1"/>
  <c r="AS270" i="1"/>
  <c r="AP271" i="1"/>
  <c r="AR271" i="1"/>
  <c r="AS271" i="1"/>
  <c r="AS272" i="1"/>
  <c r="AS273" i="1"/>
  <c r="AS274" i="1"/>
  <c r="AS275" i="1"/>
  <c r="AS276" i="1"/>
  <c r="AS277" i="1"/>
  <c r="AS278" i="1"/>
  <c r="AP279" i="1"/>
  <c r="AR279" i="1"/>
  <c r="AS279" i="1"/>
  <c r="AS280" i="1"/>
  <c r="AS281" i="1"/>
  <c r="AS282" i="1"/>
  <c r="AS283" i="1"/>
  <c r="AS284" i="1"/>
  <c r="AS285" i="1"/>
  <c r="AR286" i="1"/>
  <c r="AS286" i="1"/>
  <c r="AR287" i="1"/>
  <c r="AS287" i="1"/>
  <c r="AS288" i="1"/>
  <c r="AS289" i="1"/>
  <c r="AS290" i="1"/>
  <c r="AS291" i="1"/>
  <c r="AS292" i="1"/>
  <c r="AS293" i="1"/>
  <c r="AS294" i="1"/>
  <c r="AS295" i="1"/>
  <c r="AS296" i="1"/>
  <c r="AP297" i="1"/>
  <c r="AR297" i="1"/>
  <c r="AS297" i="1"/>
  <c r="AS298" i="1"/>
  <c r="AS299" i="1"/>
  <c r="AS300" i="1"/>
  <c r="AS301" i="1"/>
  <c r="AS302" i="1"/>
  <c r="AS303" i="1"/>
  <c r="AS304" i="1"/>
  <c r="AS305" i="1"/>
  <c r="AS306" i="1"/>
  <c r="AS307" i="1"/>
  <c r="AP308" i="1"/>
  <c r="AS308" i="1"/>
  <c r="AS309" i="1"/>
  <c r="AS310" i="1"/>
  <c r="AS311" i="1"/>
  <c r="AS312" i="1"/>
  <c r="AS313" i="1"/>
  <c r="AS314" i="1"/>
  <c r="AS315" i="1"/>
  <c r="AP316" i="1"/>
  <c r="AS316" i="1"/>
  <c r="AS317" i="1"/>
  <c r="AS318" i="1"/>
  <c r="AS319" i="1"/>
  <c r="AS320" i="1"/>
  <c r="AS321" i="1"/>
  <c r="AS322" i="1"/>
  <c r="AS323" i="1"/>
  <c r="AS324" i="1"/>
  <c r="AS325" i="1"/>
  <c r="AS326" i="1"/>
  <c r="AP327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R341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R355" i="1"/>
  <c r="AS355" i="1"/>
  <c r="AS356" i="1"/>
  <c r="AS357" i="1"/>
  <c r="AS358" i="1"/>
  <c r="AS359" i="1"/>
  <c r="AS360" i="1"/>
  <c r="AS361" i="1"/>
  <c r="AS362" i="1"/>
  <c r="AS363" i="1"/>
  <c r="AR364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R396" i="1"/>
  <c r="AS396" i="1"/>
  <c r="AS397" i="1"/>
  <c r="AS398" i="1"/>
  <c r="AS399" i="1"/>
  <c r="AS400" i="1"/>
  <c r="AS401" i="1"/>
  <c r="AS402" i="1"/>
  <c r="AS403" i="1"/>
  <c r="AS404" i="1"/>
  <c r="AP405" i="1"/>
  <c r="AS405" i="1"/>
  <c r="AS406" i="1"/>
  <c r="AS407" i="1"/>
  <c r="AS408" i="1"/>
  <c r="AS409" i="1"/>
  <c r="AS410" i="1"/>
  <c r="AS411" i="1"/>
  <c r="AS412" i="1"/>
  <c r="AS413" i="1"/>
  <c r="AS414" i="1"/>
  <c r="AP415" i="1"/>
  <c r="AS415" i="1"/>
  <c r="AS416" i="1"/>
  <c r="AS417" i="1"/>
  <c r="AS418" i="1"/>
  <c r="AS419" i="1"/>
  <c r="AS420" i="1"/>
  <c r="AP421" i="1"/>
  <c r="AR421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R439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Y13" i="1"/>
  <c r="Z13" i="1" s="1"/>
  <c r="AA13" i="1"/>
  <c r="AB13" i="1"/>
  <c r="AC13" i="1"/>
  <c r="AD13" i="1"/>
  <c r="AE13" i="1"/>
  <c r="AF13" i="1"/>
  <c r="AG13" i="1"/>
  <c r="AH13" i="1"/>
  <c r="Y14" i="1"/>
  <c r="Z14" i="1" s="1"/>
  <c r="AR14" i="1" s="1"/>
  <c r="AA14" i="1"/>
  <c r="AB14" i="1"/>
  <c r="AC14" i="1"/>
  <c r="AD14" i="1"/>
  <c r="AE14" i="1"/>
  <c r="AF14" i="1"/>
  <c r="AG14" i="1"/>
  <c r="AH14" i="1"/>
  <c r="Y15" i="1"/>
  <c r="Z15" i="1" s="1"/>
  <c r="AA15" i="1"/>
  <c r="AB15" i="1"/>
  <c r="AI15" i="1" s="1"/>
  <c r="AC15" i="1"/>
  <c r="AD15" i="1"/>
  <c r="AE15" i="1"/>
  <c r="AF15" i="1"/>
  <c r="AG15" i="1"/>
  <c r="AH15" i="1"/>
  <c r="Y16" i="1"/>
  <c r="Z16" i="1"/>
  <c r="AR16" i="1" s="1"/>
  <c r="AA16" i="1"/>
  <c r="AB16" i="1"/>
  <c r="AC16" i="1"/>
  <c r="AD16" i="1"/>
  <c r="AE16" i="1"/>
  <c r="AF16" i="1"/>
  <c r="AG16" i="1"/>
  <c r="AH16" i="1"/>
  <c r="Y17" i="1"/>
  <c r="Z17" i="1" s="1"/>
  <c r="AP17" i="1" s="1"/>
  <c r="AA17" i="1"/>
  <c r="AB17" i="1"/>
  <c r="AC17" i="1"/>
  <c r="AD17" i="1"/>
  <c r="AE17" i="1"/>
  <c r="AF17" i="1"/>
  <c r="AG17" i="1"/>
  <c r="AH17" i="1"/>
  <c r="Y18" i="1"/>
  <c r="Z18" i="1" s="1"/>
  <c r="AA18" i="1"/>
  <c r="AB18" i="1"/>
  <c r="AC18" i="1"/>
  <c r="AD18" i="1"/>
  <c r="AE18" i="1"/>
  <c r="AF18" i="1"/>
  <c r="AG18" i="1"/>
  <c r="AH18" i="1"/>
  <c r="AI18" i="1"/>
  <c r="Y19" i="1"/>
  <c r="Z19" i="1" s="1"/>
  <c r="AR19" i="1" s="1"/>
  <c r="AA19" i="1"/>
  <c r="AB19" i="1"/>
  <c r="AC19" i="1"/>
  <c r="AD19" i="1"/>
  <c r="AE19" i="1"/>
  <c r="AF19" i="1"/>
  <c r="AG19" i="1"/>
  <c r="AH19" i="1"/>
  <c r="Y20" i="1"/>
  <c r="Z20" i="1" s="1"/>
  <c r="AA20" i="1"/>
  <c r="AB20" i="1"/>
  <c r="AC20" i="1"/>
  <c r="AD20" i="1"/>
  <c r="AE20" i="1"/>
  <c r="AF20" i="1"/>
  <c r="AG20" i="1"/>
  <c r="AH20" i="1"/>
  <c r="Y21" i="1"/>
  <c r="Z21" i="1" s="1"/>
  <c r="AP21" i="1" s="1"/>
  <c r="AA21" i="1"/>
  <c r="AB21" i="1"/>
  <c r="AC21" i="1"/>
  <c r="AD21" i="1"/>
  <c r="AE21" i="1"/>
  <c r="AF21" i="1"/>
  <c r="AG21" i="1"/>
  <c r="AH21" i="1"/>
  <c r="Y22" i="1"/>
  <c r="Z22" i="1" s="1"/>
  <c r="AP22" i="1" s="1"/>
  <c r="AA22" i="1"/>
  <c r="AB22" i="1"/>
  <c r="AC22" i="1"/>
  <c r="AD22" i="1"/>
  <c r="AE22" i="1"/>
  <c r="AF22" i="1"/>
  <c r="AG22" i="1"/>
  <c r="AH22" i="1"/>
  <c r="Y23" i="1"/>
  <c r="Z23" i="1" s="1"/>
  <c r="AA23" i="1"/>
  <c r="AB23" i="1"/>
  <c r="AC23" i="1"/>
  <c r="AD23" i="1"/>
  <c r="AE23" i="1"/>
  <c r="AF23" i="1"/>
  <c r="AG23" i="1"/>
  <c r="AH23" i="1"/>
  <c r="AI23" i="1"/>
  <c r="Y24" i="1"/>
  <c r="Z24" i="1" s="1"/>
  <c r="AP24" i="1" s="1"/>
  <c r="AA24" i="1"/>
  <c r="AB24" i="1"/>
  <c r="AC24" i="1"/>
  <c r="AD24" i="1"/>
  <c r="AE24" i="1"/>
  <c r="AF24" i="1"/>
  <c r="AG24" i="1"/>
  <c r="AH24" i="1"/>
  <c r="Y25" i="1"/>
  <c r="Z25" i="1"/>
  <c r="AA25" i="1"/>
  <c r="AB25" i="1"/>
  <c r="AC25" i="1"/>
  <c r="AD25" i="1"/>
  <c r="AE25" i="1"/>
  <c r="AF25" i="1"/>
  <c r="AG25" i="1"/>
  <c r="AH25" i="1"/>
  <c r="Y26" i="1"/>
  <c r="Z26" i="1"/>
  <c r="AP26" i="1" s="1"/>
  <c r="AA26" i="1"/>
  <c r="AB26" i="1"/>
  <c r="AC26" i="1"/>
  <c r="AD26" i="1"/>
  <c r="AE26" i="1"/>
  <c r="AF26" i="1"/>
  <c r="AG26" i="1"/>
  <c r="AH26" i="1"/>
  <c r="Y27" i="1"/>
  <c r="Z27" i="1" s="1"/>
  <c r="AP27" i="1" s="1"/>
  <c r="AA27" i="1"/>
  <c r="AB27" i="1"/>
  <c r="AC27" i="1"/>
  <c r="AD27" i="1"/>
  <c r="AE27" i="1"/>
  <c r="AF27" i="1"/>
  <c r="AG27" i="1"/>
  <c r="AH27" i="1"/>
  <c r="Y28" i="1"/>
  <c r="Z28" i="1" s="1"/>
  <c r="AA28" i="1"/>
  <c r="AB28" i="1"/>
  <c r="AC28" i="1"/>
  <c r="AD28" i="1"/>
  <c r="AE28" i="1"/>
  <c r="AF28" i="1"/>
  <c r="AG28" i="1"/>
  <c r="AH28" i="1"/>
  <c r="Y29" i="1"/>
  <c r="Z29" i="1" s="1"/>
  <c r="AA29" i="1"/>
  <c r="AB29" i="1"/>
  <c r="AC29" i="1"/>
  <c r="AD29" i="1"/>
  <c r="AE29" i="1"/>
  <c r="AF29" i="1"/>
  <c r="AG29" i="1"/>
  <c r="AH29" i="1"/>
  <c r="Y30" i="1"/>
  <c r="Z30" i="1"/>
  <c r="AR30" i="1" s="1"/>
  <c r="AA30" i="1"/>
  <c r="AB30" i="1"/>
  <c r="AC30" i="1"/>
  <c r="AD30" i="1"/>
  <c r="AE30" i="1"/>
  <c r="AF30" i="1"/>
  <c r="AG30" i="1"/>
  <c r="AH30" i="1"/>
  <c r="Y31" i="1"/>
  <c r="Z31" i="1"/>
  <c r="AA31" i="1"/>
  <c r="AB31" i="1"/>
  <c r="AI31" i="1" s="1"/>
  <c r="AC31" i="1"/>
  <c r="AD31" i="1"/>
  <c r="AE31" i="1"/>
  <c r="AF31" i="1"/>
  <c r="AG31" i="1"/>
  <c r="AH31" i="1"/>
  <c r="Y32" i="1"/>
  <c r="Z32" i="1"/>
  <c r="AP32" i="1" s="1"/>
  <c r="AA32" i="1"/>
  <c r="AB32" i="1"/>
  <c r="AC32" i="1"/>
  <c r="AD32" i="1"/>
  <c r="AE32" i="1"/>
  <c r="AF32" i="1"/>
  <c r="AG32" i="1"/>
  <c r="AH32" i="1"/>
  <c r="Y33" i="1"/>
  <c r="Z33" i="1" s="1"/>
  <c r="AP33" i="1" s="1"/>
  <c r="AA33" i="1"/>
  <c r="AB33" i="1"/>
  <c r="AC33" i="1"/>
  <c r="AD33" i="1"/>
  <c r="AE33" i="1"/>
  <c r="AF33" i="1"/>
  <c r="AG33" i="1"/>
  <c r="AH33" i="1"/>
  <c r="Y34" i="1"/>
  <c r="Z34" i="1" s="1"/>
  <c r="AR34" i="1" s="1"/>
  <c r="AA34" i="1"/>
  <c r="AB34" i="1"/>
  <c r="AC34" i="1"/>
  <c r="AD34" i="1"/>
  <c r="AE34" i="1"/>
  <c r="AF34" i="1"/>
  <c r="AG34" i="1"/>
  <c r="AH34" i="1"/>
  <c r="Y35" i="1"/>
  <c r="Z35" i="1"/>
  <c r="AA35" i="1"/>
  <c r="AB35" i="1"/>
  <c r="AC35" i="1"/>
  <c r="AD35" i="1"/>
  <c r="AE35" i="1"/>
  <c r="AF35" i="1"/>
  <c r="AG35" i="1"/>
  <c r="AH35" i="1"/>
  <c r="Y36" i="1"/>
  <c r="Z36" i="1" s="1"/>
  <c r="AA36" i="1"/>
  <c r="AB36" i="1"/>
  <c r="AC36" i="1"/>
  <c r="AD36" i="1"/>
  <c r="AE36" i="1"/>
  <c r="AF36" i="1"/>
  <c r="AG36" i="1"/>
  <c r="AH36" i="1"/>
  <c r="Y37" i="1"/>
  <c r="Z37" i="1" s="1"/>
  <c r="AA37" i="1"/>
  <c r="AB37" i="1"/>
  <c r="AC37" i="1"/>
  <c r="AD37" i="1"/>
  <c r="AE37" i="1"/>
  <c r="AF37" i="1"/>
  <c r="AG37" i="1"/>
  <c r="AH37" i="1"/>
  <c r="Y38" i="1"/>
  <c r="Z38" i="1" s="1"/>
  <c r="AA38" i="1"/>
  <c r="AB38" i="1"/>
  <c r="AC38" i="1"/>
  <c r="AD38" i="1"/>
  <c r="AE38" i="1"/>
  <c r="AF38" i="1"/>
  <c r="AG38" i="1"/>
  <c r="AH38" i="1"/>
  <c r="Y39" i="1"/>
  <c r="Z39" i="1" s="1"/>
  <c r="AA39" i="1"/>
  <c r="AB39" i="1"/>
  <c r="AC39" i="1"/>
  <c r="AD39" i="1"/>
  <c r="AE39" i="1"/>
  <c r="AF39" i="1"/>
  <c r="AG39" i="1"/>
  <c r="AH39" i="1"/>
  <c r="Y40" i="1"/>
  <c r="Z40" i="1" s="1"/>
  <c r="AP40" i="1" s="1"/>
  <c r="AA40" i="1"/>
  <c r="AB40" i="1"/>
  <c r="AC40" i="1"/>
  <c r="AD40" i="1"/>
  <c r="AE40" i="1"/>
  <c r="AF40" i="1"/>
  <c r="AG40" i="1"/>
  <c r="AH40" i="1"/>
  <c r="Y41" i="1"/>
  <c r="Z41" i="1" s="1"/>
  <c r="AR41" i="1" s="1"/>
  <c r="AA41" i="1"/>
  <c r="AB41" i="1"/>
  <c r="AC41" i="1"/>
  <c r="AD41" i="1"/>
  <c r="AE41" i="1"/>
  <c r="AF41" i="1"/>
  <c r="AG41" i="1"/>
  <c r="AH41" i="1"/>
  <c r="Y42" i="1"/>
  <c r="Z42" i="1" s="1"/>
  <c r="AR42" i="1" s="1"/>
  <c r="AA42" i="1"/>
  <c r="AB42" i="1"/>
  <c r="AC42" i="1"/>
  <c r="AD42" i="1"/>
  <c r="AE42" i="1"/>
  <c r="AF42" i="1"/>
  <c r="AG42" i="1"/>
  <c r="AH42" i="1"/>
  <c r="Y43" i="1"/>
  <c r="Z43" i="1"/>
  <c r="AA43" i="1"/>
  <c r="AB43" i="1"/>
  <c r="AC43" i="1"/>
  <c r="AD43" i="1"/>
  <c r="AE43" i="1"/>
  <c r="AF43" i="1"/>
  <c r="AG43" i="1"/>
  <c r="AH43" i="1"/>
  <c r="Y44" i="1"/>
  <c r="Z44" i="1" s="1"/>
  <c r="AR44" i="1" s="1"/>
  <c r="AA44" i="1"/>
  <c r="AB44" i="1"/>
  <c r="AC44" i="1"/>
  <c r="AD44" i="1"/>
  <c r="AE44" i="1"/>
  <c r="AF44" i="1"/>
  <c r="AG44" i="1"/>
  <c r="AH44" i="1"/>
  <c r="Y45" i="1"/>
  <c r="Z45" i="1" s="1"/>
  <c r="AA45" i="1"/>
  <c r="AB45" i="1"/>
  <c r="AC45" i="1"/>
  <c r="AD45" i="1"/>
  <c r="AE45" i="1"/>
  <c r="AF45" i="1"/>
  <c r="AG45" i="1"/>
  <c r="AH45" i="1"/>
  <c r="Y46" i="1"/>
  <c r="Z46" i="1"/>
  <c r="AA46" i="1"/>
  <c r="AB46" i="1"/>
  <c r="AC46" i="1"/>
  <c r="AD46" i="1"/>
  <c r="AE46" i="1"/>
  <c r="AF46" i="1"/>
  <c r="AG46" i="1"/>
  <c r="AH46" i="1"/>
  <c r="Y47" i="1"/>
  <c r="Z47" i="1" s="1"/>
  <c r="AP47" i="1" s="1"/>
  <c r="AA47" i="1"/>
  <c r="AB47" i="1"/>
  <c r="AC47" i="1"/>
  <c r="AD47" i="1"/>
  <c r="AE47" i="1"/>
  <c r="AF47" i="1"/>
  <c r="AG47" i="1"/>
  <c r="AH47" i="1"/>
  <c r="Y48" i="1"/>
  <c r="Z48" i="1" s="1"/>
  <c r="AR48" i="1" s="1"/>
  <c r="AA48" i="1"/>
  <c r="AB48" i="1"/>
  <c r="AC48" i="1"/>
  <c r="AD48" i="1"/>
  <c r="AE48" i="1"/>
  <c r="AF48" i="1"/>
  <c r="AG48" i="1"/>
  <c r="AH48" i="1"/>
  <c r="Y49" i="1"/>
  <c r="Z49" i="1" s="1"/>
  <c r="AA49" i="1"/>
  <c r="AB49" i="1"/>
  <c r="AC49" i="1"/>
  <c r="AD49" i="1"/>
  <c r="AE49" i="1"/>
  <c r="AF49" i="1"/>
  <c r="AG49" i="1"/>
  <c r="AH49" i="1"/>
  <c r="Y50" i="1"/>
  <c r="Z50" i="1"/>
  <c r="AR50" i="1" s="1"/>
  <c r="AA50" i="1"/>
  <c r="AB50" i="1"/>
  <c r="AC50" i="1"/>
  <c r="AD50" i="1"/>
  <c r="AE50" i="1"/>
  <c r="AF50" i="1"/>
  <c r="AG50" i="1"/>
  <c r="AH50" i="1"/>
  <c r="Y51" i="1"/>
  <c r="Z51" i="1"/>
  <c r="AP51" i="1" s="1"/>
  <c r="AA51" i="1"/>
  <c r="AB51" i="1"/>
  <c r="AC51" i="1"/>
  <c r="AD51" i="1"/>
  <c r="AE51" i="1"/>
  <c r="AF51" i="1"/>
  <c r="AG51" i="1"/>
  <c r="AH51" i="1"/>
  <c r="Y52" i="1"/>
  <c r="Z52" i="1" s="1"/>
  <c r="AA52" i="1"/>
  <c r="AB52" i="1"/>
  <c r="AC52" i="1"/>
  <c r="AD52" i="1"/>
  <c r="AE52" i="1"/>
  <c r="AF52" i="1"/>
  <c r="AG52" i="1"/>
  <c r="AH52" i="1"/>
  <c r="Y53" i="1"/>
  <c r="Z53" i="1" s="1"/>
  <c r="AP53" i="1" s="1"/>
  <c r="AA53" i="1"/>
  <c r="AB53" i="1"/>
  <c r="AC53" i="1"/>
  <c r="AD53" i="1"/>
  <c r="AE53" i="1"/>
  <c r="AF53" i="1"/>
  <c r="AG53" i="1"/>
  <c r="AH53" i="1"/>
  <c r="Y54" i="1"/>
  <c r="Z54" i="1" s="1"/>
  <c r="AA54" i="1"/>
  <c r="AB54" i="1"/>
  <c r="AC54" i="1"/>
  <c r="AD54" i="1"/>
  <c r="AE54" i="1"/>
  <c r="AF54" i="1"/>
  <c r="AG54" i="1"/>
  <c r="AH54" i="1"/>
  <c r="Y55" i="1"/>
  <c r="Z55" i="1"/>
  <c r="AP55" i="1" s="1"/>
  <c r="AA55" i="1"/>
  <c r="AB55" i="1"/>
  <c r="AC55" i="1"/>
  <c r="AD55" i="1"/>
  <c r="AE55" i="1"/>
  <c r="AF55" i="1"/>
  <c r="AG55" i="1"/>
  <c r="AH55" i="1"/>
  <c r="Y56" i="1"/>
  <c r="Z56" i="1" s="1"/>
  <c r="AA56" i="1"/>
  <c r="AB56" i="1"/>
  <c r="AC56" i="1"/>
  <c r="AD56" i="1"/>
  <c r="AE56" i="1"/>
  <c r="AF56" i="1"/>
  <c r="AG56" i="1"/>
  <c r="AH56" i="1"/>
  <c r="Y57" i="1"/>
  <c r="Z57" i="1" s="1"/>
  <c r="AP57" i="1" s="1"/>
  <c r="AA57" i="1"/>
  <c r="AB57" i="1"/>
  <c r="AC57" i="1"/>
  <c r="AD57" i="1"/>
  <c r="AE57" i="1"/>
  <c r="AF57" i="1"/>
  <c r="AG57" i="1"/>
  <c r="AH57" i="1"/>
  <c r="AI57" i="1"/>
  <c r="Y58" i="1"/>
  <c r="Z58" i="1" s="1"/>
  <c r="AA58" i="1"/>
  <c r="AB58" i="1"/>
  <c r="AC58" i="1"/>
  <c r="AD58" i="1"/>
  <c r="AE58" i="1"/>
  <c r="AF58" i="1"/>
  <c r="AG58" i="1"/>
  <c r="AH58" i="1"/>
  <c r="Y59" i="1"/>
  <c r="Z59" i="1" s="1"/>
  <c r="AP59" i="1" s="1"/>
  <c r="AA59" i="1"/>
  <c r="AB59" i="1"/>
  <c r="AC59" i="1"/>
  <c r="AD59" i="1"/>
  <c r="AE59" i="1"/>
  <c r="AF59" i="1"/>
  <c r="AG59" i="1"/>
  <c r="AH59" i="1"/>
  <c r="Y60" i="1"/>
  <c r="Z60" i="1"/>
  <c r="AR60" i="1" s="1"/>
  <c r="AA60" i="1"/>
  <c r="AB60" i="1"/>
  <c r="AC60" i="1"/>
  <c r="AD60" i="1"/>
  <c r="AE60" i="1"/>
  <c r="AF60" i="1"/>
  <c r="AG60" i="1"/>
  <c r="AH60" i="1"/>
  <c r="Y61" i="1"/>
  <c r="Z61" i="1" s="1"/>
  <c r="AA61" i="1"/>
  <c r="AB61" i="1"/>
  <c r="AC61" i="1"/>
  <c r="AD61" i="1"/>
  <c r="AE61" i="1"/>
  <c r="AF61" i="1"/>
  <c r="AG61" i="1"/>
  <c r="AH61" i="1"/>
  <c r="Y62" i="1"/>
  <c r="Z62" i="1" s="1"/>
  <c r="AP62" i="1" s="1"/>
  <c r="AA62" i="1"/>
  <c r="AB62" i="1"/>
  <c r="AC62" i="1"/>
  <c r="AD62" i="1"/>
  <c r="AE62" i="1"/>
  <c r="AF62" i="1"/>
  <c r="AG62" i="1"/>
  <c r="AH62" i="1"/>
  <c r="Y63" i="1"/>
  <c r="Z63" i="1" s="1"/>
  <c r="AP63" i="1" s="1"/>
  <c r="AA63" i="1"/>
  <c r="AB63" i="1"/>
  <c r="AC63" i="1"/>
  <c r="AD63" i="1"/>
  <c r="AE63" i="1"/>
  <c r="AF63" i="1"/>
  <c r="AG63" i="1"/>
  <c r="AH63" i="1"/>
  <c r="Y64" i="1"/>
  <c r="Z64" i="1" s="1"/>
  <c r="AA64" i="1"/>
  <c r="AB64" i="1"/>
  <c r="AC64" i="1"/>
  <c r="AD64" i="1"/>
  <c r="AE64" i="1"/>
  <c r="AF64" i="1"/>
  <c r="AG64" i="1"/>
  <c r="AH64" i="1"/>
  <c r="Y65" i="1"/>
  <c r="Z65" i="1"/>
  <c r="AA65" i="1"/>
  <c r="AB65" i="1"/>
  <c r="AC65" i="1"/>
  <c r="AD65" i="1"/>
  <c r="AE65" i="1"/>
  <c r="AF65" i="1"/>
  <c r="AG65" i="1"/>
  <c r="AH65" i="1"/>
  <c r="Y66" i="1"/>
  <c r="Z66" i="1" s="1"/>
  <c r="AA66" i="1"/>
  <c r="AB66" i="1"/>
  <c r="AC66" i="1"/>
  <c r="AD66" i="1"/>
  <c r="AE66" i="1"/>
  <c r="AF66" i="1"/>
  <c r="AG66" i="1"/>
  <c r="AH66" i="1"/>
  <c r="Y67" i="1"/>
  <c r="Z67" i="1" s="1"/>
  <c r="AP67" i="1" s="1"/>
  <c r="AA67" i="1"/>
  <c r="AB67" i="1"/>
  <c r="AC67" i="1"/>
  <c r="AD67" i="1"/>
  <c r="AE67" i="1"/>
  <c r="AF67" i="1"/>
  <c r="AG67" i="1"/>
  <c r="AH67" i="1"/>
  <c r="Y68" i="1"/>
  <c r="Z68" i="1" s="1"/>
  <c r="AR68" i="1" s="1"/>
  <c r="AA68" i="1"/>
  <c r="AB68" i="1"/>
  <c r="AC68" i="1"/>
  <c r="AD68" i="1"/>
  <c r="AE68" i="1"/>
  <c r="AF68" i="1"/>
  <c r="AG68" i="1"/>
  <c r="AH68" i="1"/>
  <c r="Y69" i="1"/>
  <c r="Z69" i="1"/>
  <c r="AA69" i="1"/>
  <c r="AB69" i="1"/>
  <c r="AI69" i="1" s="1"/>
  <c r="AC69" i="1"/>
  <c r="AD69" i="1"/>
  <c r="AE69" i="1"/>
  <c r="AF69" i="1"/>
  <c r="AG69" i="1"/>
  <c r="AH69" i="1"/>
  <c r="Y70" i="1"/>
  <c r="Z70" i="1" s="1"/>
  <c r="AR70" i="1" s="1"/>
  <c r="AA70" i="1"/>
  <c r="AB70" i="1"/>
  <c r="AC70" i="1"/>
  <c r="AD70" i="1"/>
  <c r="AE70" i="1"/>
  <c r="AF70" i="1"/>
  <c r="AG70" i="1"/>
  <c r="AH70" i="1"/>
  <c r="Y71" i="1"/>
  <c r="Z71" i="1" s="1"/>
  <c r="AR71" i="1" s="1"/>
  <c r="AA71" i="1"/>
  <c r="AB71" i="1"/>
  <c r="AC71" i="1"/>
  <c r="AD71" i="1"/>
  <c r="AE71" i="1"/>
  <c r="AF71" i="1"/>
  <c r="AG71" i="1"/>
  <c r="AH71" i="1"/>
  <c r="Y72" i="1"/>
  <c r="Z72" i="1" s="1"/>
  <c r="AA72" i="1"/>
  <c r="AB72" i="1"/>
  <c r="AC72" i="1"/>
  <c r="AD72" i="1"/>
  <c r="AE72" i="1"/>
  <c r="AF72" i="1"/>
  <c r="AG72" i="1"/>
  <c r="AH72" i="1"/>
  <c r="Y73" i="1"/>
  <c r="Z73" i="1" s="1"/>
  <c r="AP73" i="1" s="1"/>
  <c r="AA73" i="1"/>
  <c r="AB73" i="1"/>
  <c r="AC73" i="1"/>
  <c r="AD73" i="1"/>
  <c r="AE73" i="1"/>
  <c r="AF73" i="1"/>
  <c r="AG73" i="1"/>
  <c r="AH73" i="1"/>
  <c r="Y74" i="1"/>
  <c r="Z74" i="1" s="1"/>
  <c r="AA74" i="1"/>
  <c r="AB74" i="1"/>
  <c r="AC74" i="1"/>
  <c r="AD74" i="1"/>
  <c r="AE74" i="1"/>
  <c r="AF74" i="1"/>
  <c r="AG74" i="1"/>
  <c r="AH74" i="1"/>
  <c r="Y75" i="1"/>
  <c r="Z75" i="1" s="1"/>
  <c r="AR75" i="1" s="1"/>
  <c r="AA75" i="1"/>
  <c r="AB75" i="1"/>
  <c r="AC75" i="1"/>
  <c r="AD75" i="1"/>
  <c r="AE75" i="1"/>
  <c r="AF75" i="1"/>
  <c r="AG75" i="1"/>
  <c r="AH75" i="1"/>
  <c r="Y76" i="1"/>
  <c r="Z76" i="1"/>
  <c r="AR76" i="1" s="1"/>
  <c r="AA76" i="1"/>
  <c r="AB76" i="1"/>
  <c r="AC76" i="1"/>
  <c r="AD76" i="1"/>
  <c r="AE76" i="1"/>
  <c r="AF76" i="1"/>
  <c r="AG76" i="1"/>
  <c r="AH76" i="1"/>
  <c r="Y77" i="1"/>
  <c r="Z77" i="1" s="1"/>
  <c r="AA77" i="1"/>
  <c r="AB77" i="1"/>
  <c r="AC77" i="1"/>
  <c r="AD77" i="1"/>
  <c r="AE77" i="1"/>
  <c r="AF77" i="1"/>
  <c r="AG77" i="1"/>
  <c r="AH77" i="1"/>
  <c r="Y78" i="1"/>
  <c r="Z78" i="1"/>
  <c r="AA78" i="1"/>
  <c r="AB78" i="1"/>
  <c r="AC78" i="1"/>
  <c r="AD78" i="1"/>
  <c r="AE78" i="1"/>
  <c r="AF78" i="1"/>
  <c r="AG78" i="1"/>
  <c r="AH78" i="1"/>
  <c r="Y79" i="1"/>
  <c r="Z79" i="1" s="1"/>
  <c r="AP79" i="1" s="1"/>
  <c r="AA79" i="1"/>
  <c r="AB79" i="1"/>
  <c r="AC79" i="1"/>
  <c r="AD79" i="1"/>
  <c r="AE79" i="1"/>
  <c r="AF79" i="1"/>
  <c r="AG79" i="1"/>
  <c r="AH79" i="1"/>
  <c r="Y80" i="1"/>
  <c r="Z80" i="1" s="1"/>
  <c r="AP80" i="1" s="1"/>
  <c r="AA80" i="1"/>
  <c r="AB80" i="1"/>
  <c r="AC80" i="1"/>
  <c r="AD80" i="1"/>
  <c r="AE80" i="1"/>
  <c r="AF80" i="1"/>
  <c r="AG80" i="1"/>
  <c r="AH80" i="1"/>
  <c r="Y81" i="1"/>
  <c r="Z81" i="1" s="1"/>
  <c r="AP81" i="1" s="1"/>
  <c r="AA81" i="1"/>
  <c r="AB81" i="1"/>
  <c r="AC81" i="1"/>
  <c r="AD81" i="1"/>
  <c r="AE81" i="1"/>
  <c r="AF81" i="1"/>
  <c r="AG81" i="1"/>
  <c r="AH81" i="1"/>
  <c r="Y82" i="1"/>
  <c r="Z82" i="1" s="1"/>
  <c r="AA82" i="1"/>
  <c r="AB82" i="1"/>
  <c r="AC82" i="1"/>
  <c r="AD82" i="1"/>
  <c r="AE82" i="1"/>
  <c r="AF82" i="1"/>
  <c r="AG82" i="1"/>
  <c r="AH82" i="1"/>
  <c r="Y83" i="1"/>
  <c r="Z83" i="1" s="1"/>
  <c r="AR83" i="1" s="1"/>
  <c r="AA83" i="1"/>
  <c r="AB83" i="1"/>
  <c r="AC83" i="1"/>
  <c r="AD83" i="1"/>
  <c r="AE83" i="1"/>
  <c r="AF83" i="1"/>
  <c r="AG83" i="1"/>
  <c r="AH83" i="1"/>
  <c r="Y84" i="1"/>
  <c r="Z84" i="1" s="1"/>
  <c r="AR84" i="1" s="1"/>
  <c r="AA84" i="1"/>
  <c r="AB84" i="1"/>
  <c r="AC84" i="1"/>
  <c r="AD84" i="1"/>
  <c r="AE84" i="1"/>
  <c r="AF84" i="1"/>
  <c r="AG84" i="1"/>
  <c r="AH84" i="1"/>
  <c r="Y85" i="1"/>
  <c r="Z85" i="1"/>
  <c r="AP85" i="1" s="1"/>
  <c r="AA85" i="1"/>
  <c r="AB85" i="1"/>
  <c r="AC85" i="1"/>
  <c r="AD85" i="1"/>
  <c r="AE85" i="1"/>
  <c r="AF85" i="1"/>
  <c r="AG85" i="1"/>
  <c r="AH85" i="1"/>
  <c r="Y86" i="1"/>
  <c r="Z86" i="1" s="1"/>
  <c r="AP86" i="1" s="1"/>
  <c r="AA86" i="1"/>
  <c r="AB86" i="1"/>
  <c r="AC86" i="1"/>
  <c r="AD86" i="1"/>
  <c r="AE86" i="1"/>
  <c r="AF86" i="1"/>
  <c r="AG86" i="1"/>
  <c r="AH86" i="1"/>
  <c r="Y87" i="1"/>
  <c r="Z87" i="1" s="1"/>
  <c r="AA87" i="1"/>
  <c r="AB87" i="1"/>
  <c r="AC87" i="1"/>
  <c r="AD87" i="1"/>
  <c r="AE87" i="1"/>
  <c r="AF87" i="1"/>
  <c r="AG87" i="1"/>
  <c r="AH87" i="1"/>
  <c r="Y88" i="1"/>
  <c r="Z88" i="1" s="1"/>
  <c r="AP88" i="1" s="1"/>
  <c r="AA88" i="1"/>
  <c r="AB88" i="1"/>
  <c r="AC88" i="1"/>
  <c r="AD88" i="1"/>
  <c r="AE88" i="1"/>
  <c r="AF88" i="1"/>
  <c r="AG88" i="1"/>
  <c r="AH88" i="1"/>
  <c r="Y89" i="1"/>
  <c r="Z89" i="1" s="1"/>
  <c r="AA89" i="1"/>
  <c r="AB89" i="1"/>
  <c r="AC89" i="1"/>
  <c r="AD89" i="1"/>
  <c r="AE89" i="1"/>
  <c r="AF89" i="1"/>
  <c r="AG89" i="1"/>
  <c r="AH89" i="1"/>
  <c r="Y90" i="1"/>
  <c r="Z90" i="1" s="1"/>
  <c r="AP90" i="1" s="1"/>
  <c r="AA90" i="1"/>
  <c r="AB90" i="1"/>
  <c r="AC90" i="1"/>
  <c r="AD90" i="1"/>
  <c r="AE90" i="1"/>
  <c r="AF90" i="1"/>
  <c r="AG90" i="1"/>
  <c r="AH90" i="1"/>
  <c r="Y91" i="1"/>
  <c r="Z91" i="1" s="1"/>
  <c r="AR91" i="1" s="1"/>
  <c r="AA91" i="1"/>
  <c r="AB91" i="1"/>
  <c r="AC91" i="1"/>
  <c r="AD91" i="1"/>
  <c r="AE91" i="1"/>
  <c r="AF91" i="1"/>
  <c r="AG91" i="1"/>
  <c r="AH91" i="1"/>
  <c r="Y92" i="1"/>
  <c r="Z92" i="1" s="1"/>
  <c r="AP92" i="1" s="1"/>
  <c r="AA92" i="1"/>
  <c r="AB92" i="1"/>
  <c r="AC92" i="1"/>
  <c r="AD92" i="1"/>
  <c r="AE92" i="1"/>
  <c r="AF92" i="1"/>
  <c r="AG92" i="1"/>
  <c r="AH92" i="1"/>
  <c r="Y93" i="1"/>
  <c r="Z93" i="1" s="1"/>
  <c r="AP93" i="1" s="1"/>
  <c r="AA93" i="1"/>
  <c r="AB93" i="1"/>
  <c r="AI93" i="1" s="1"/>
  <c r="AC93" i="1"/>
  <c r="AD93" i="1"/>
  <c r="AE93" i="1"/>
  <c r="AF93" i="1"/>
  <c r="AG93" i="1"/>
  <c r="AH93" i="1"/>
  <c r="Y94" i="1"/>
  <c r="Z94" i="1" s="1"/>
  <c r="AA94" i="1"/>
  <c r="AB94" i="1"/>
  <c r="AC94" i="1"/>
  <c r="AD94" i="1"/>
  <c r="AE94" i="1"/>
  <c r="AF94" i="1"/>
  <c r="AG94" i="1"/>
  <c r="AH94" i="1"/>
  <c r="Y95" i="1"/>
  <c r="Z95" i="1"/>
  <c r="AA95" i="1"/>
  <c r="AB95" i="1"/>
  <c r="AC95" i="1"/>
  <c r="AD95" i="1"/>
  <c r="AE95" i="1"/>
  <c r="AF95" i="1"/>
  <c r="AG95" i="1"/>
  <c r="AH95" i="1"/>
  <c r="Y96" i="1"/>
  <c r="Z96" i="1"/>
  <c r="AP96" i="1" s="1"/>
  <c r="AA96" i="1"/>
  <c r="AB96" i="1"/>
  <c r="AC96" i="1"/>
  <c r="AD96" i="1"/>
  <c r="AE96" i="1"/>
  <c r="AF96" i="1"/>
  <c r="AG96" i="1"/>
  <c r="AH96" i="1"/>
  <c r="Y97" i="1"/>
  <c r="Z97" i="1" s="1"/>
  <c r="AR97" i="1" s="1"/>
  <c r="AA97" i="1"/>
  <c r="AB97" i="1"/>
  <c r="AC97" i="1"/>
  <c r="AD97" i="1"/>
  <c r="AE97" i="1"/>
  <c r="AF97" i="1"/>
  <c r="AG97" i="1"/>
  <c r="AH97" i="1"/>
  <c r="Y98" i="1"/>
  <c r="Z98" i="1" s="1"/>
  <c r="AA98" i="1"/>
  <c r="AB98" i="1"/>
  <c r="AC98" i="1"/>
  <c r="AD98" i="1"/>
  <c r="AE98" i="1"/>
  <c r="AF98" i="1"/>
  <c r="AG98" i="1"/>
  <c r="AH98" i="1"/>
  <c r="Y99" i="1"/>
  <c r="Z99" i="1" s="1"/>
  <c r="AA99" i="1"/>
  <c r="AB99" i="1"/>
  <c r="AC99" i="1"/>
  <c r="AD99" i="1"/>
  <c r="AE99" i="1"/>
  <c r="AF99" i="1"/>
  <c r="AG99" i="1"/>
  <c r="AH99" i="1"/>
  <c r="Y100" i="1"/>
  <c r="Z100" i="1"/>
  <c r="AR100" i="1" s="1"/>
  <c r="AA100" i="1"/>
  <c r="AB100" i="1"/>
  <c r="AC100" i="1"/>
  <c r="AD100" i="1"/>
  <c r="AE100" i="1"/>
  <c r="AF100" i="1"/>
  <c r="AG100" i="1"/>
  <c r="AH100" i="1"/>
  <c r="Y101" i="1"/>
  <c r="Z101" i="1" s="1"/>
  <c r="AA101" i="1"/>
  <c r="AB101" i="1"/>
  <c r="AC101" i="1"/>
  <c r="AD101" i="1"/>
  <c r="AE101" i="1"/>
  <c r="AF101" i="1"/>
  <c r="AG101" i="1"/>
  <c r="AH101" i="1"/>
  <c r="AI101" i="1"/>
  <c r="AJ101" i="1"/>
  <c r="Y102" i="1"/>
  <c r="Z102" i="1" s="1"/>
  <c r="AR102" i="1" s="1"/>
  <c r="AA102" i="1"/>
  <c r="AB102" i="1"/>
  <c r="AC102" i="1"/>
  <c r="AD102" i="1"/>
  <c r="AE102" i="1"/>
  <c r="AF102" i="1"/>
  <c r="AG102" i="1"/>
  <c r="AH102" i="1"/>
  <c r="Y103" i="1"/>
  <c r="Z103" i="1"/>
  <c r="AR103" i="1" s="1"/>
  <c r="AA103" i="1"/>
  <c r="AB103" i="1"/>
  <c r="AC103" i="1"/>
  <c r="AD103" i="1"/>
  <c r="AE103" i="1"/>
  <c r="AF103" i="1"/>
  <c r="AG103" i="1"/>
  <c r="AH103" i="1"/>
  <c r="Y104" i="1"/>
  <c r="Z104" i="1" s="1"/>
  <c r="AR104" i="1" s="1"/>
  <c r="AA104" i="1"/>
  <c r="AB104" i="1"/>
  <c r="AC104" i="1"/>
  <c r="AD104" i="1"/>
  <c r="AE104" i="1"/>
  <c r="AF104" i="1"/>
  <c r="AG104" i="1"/>
  <c r="AH104" i="1"/>
  <c r="Y105" i="1"/>
  <c r="Z105" i="1" s="1"/>
  <c r="AR105" i="1" s="1"/>
  <c r="AA105" i="1"/>
  <c r="AB105" i="1"/>
  <c r="AC105" i="1"/>
  <c r="AD105" i="1"/>
  <c r="AE105" i="1"/>
  <c r="AF105" i="1"/>
  <c r="AG105" i="1"/>
  <c r="AH105" i="1"/>
  <c r="Y106" i="1"/>
  <c r="Z106" i="1" s="1"/>
  <c r="AA106" i="1"/>
  <c r="AB106" i="1"/>
  <c r="AC106" i="1"/>
  <c r="AD106" i="1"/>
  <c r="AE106" i="1"/>
  <c r="AF106" i="1"/>
  <c r="AG106" i="1"/>
  <c r="AH106" i="1"/>
  <c r="Y107" i="1"/>
  <c r="Z107" i="1"/>
  <c r="AP107" i="1" s="1"/>
  <c r="AA107" i="1"/>
  <c r="AB107" i="1"/>
  <c r="AC107" i="1"/>
  <c r="AD107" i="1"/>
  <c r="AE107" i="1"/>
  <c r="AF107" i="1"/>
  <c r="AG107" i="1"/>
  <c r="AH107" i="1"/>
  <c r="Y108" i="1"/>
  <c r="Z108" i="1" s="1"/>
  <c r="AP108" i="1" s="1"/>
  <c r="AA108" i="1"/>
  <c r="AB108" i="1"/>
  <c r="AC108" i="1"/>
  <c r="AD108" i="1"/>
  <c r="AE108" i="1"/>
  <c r="AF108" i="1"/>
  <c r="AG108" i="1"/>
  <c r="AH108" i="1"/>
  <c r="Y109" i="1"/>
  <c r="Z109" i="1" s="1"/>
  <c r="AP109" i="1" s="1"/>
  <c r="AA109" i="1"/>
  <c r="AB109" i="1"/>
  <c r="AC109" i="1"/>
  <c r="AD109" i="1"/>
  <c r="AE109" i="1"/>
  <c r="AF109" i="1"/>
  <c r="AG109" i="1"/>
  <c r="AH109" i="1"/>
  <c r="Y110" i="1"/>
  <c r="Z110" i="1"/>
  <c r="AP110" i="1" s="1"/>
  <c r="AA110" i="1"/>
  <c r="AB110" i="1"/>
  <c r="AC110" i="1"/>
  <c r="AD110" i="1"/>
  <c r="AE110" i="1"/>
  <c r="AF110" i="1"/>
  <c r="AG110" i="1"/>
  <c r="AH110" i="1"/>
  <c r="Y111" i="1"/>
  <c r="Z111" i="1" s="1"/>
  <c r="AA111" i="1"/>
  <c r="AB111" i="1"/>
  <c r="AC111" i="1"/>
  <c r="AD111" i="1"/>
  <c r="AE111" i="1"/>
  <c r="AF111" i="1"/>
  <c r="AG111" i="1"/>
  <c r="AH111" i="1"/>
  <c r="AI111" i="1"/>
  <c r="Y112" i="1"/>
  <c r="Z112" i="1" s="1"/>
  <c r="AA112" i="1"/>
  <c r="AB112" i="1"/>
  <c r="AC112" i="1"/>
  <c r="AD112" i="1"/>
  <c r="AE112" i="1"/>
  <c r="AF112" i="1"/>
  <c r="AG112" i="1"/>
  <c r="AH112" i="1"/>
  <c r="Y113" i="1"/>
  <c r="Z113" i="1" s="1"/>
  <c r="AP113" i="1" s="1"/>
  <c r="AA113" i="1"/>
  <c r="AB113" i="1"/>
  <c r="AC113" i="1"/>
  <c r="AD113" i="1"/>
  <c r="AE113" i="1"/>
  <c r="AF113" i="1"/>
  <c r="AG113" i="1"/>
  <c r="AH113" i="1"/>
  <c r="Y114" i="1"/>
  <c r="Z114" i="1"/>
  <c r="AR114" i="1" s="1"/>
  <c r="AA114" i="1"/>
  <c r="AB114" i="1"/>
  <c r="AI114" i="1" s="1"/>
  <c r="AC114" i="1"/>
  <c r="AD114" i="1"/>
  <c r="AE114" i="1"/>
  <c r="AF114" i="1"/>
  <c r="AG114" i="1"/>
  <c r="AH114" i="1"/>
  <c r="Y115" i="1"/>
  <c r="Z115" i="1" s="1"/>
  <c r="AR115" i="1" s="1"/>
  <c r="AA115" i="1"/>
  <c r="AB115" i="1"/>
  <c r="AC115" i="1"/>
  <c r="AD115" i="1"/>
  <c r="AE115" i="1"/>
  <c r="AF115" i="1"/>
  <c r="AG115" i="1"/>
  <c r="AH115" i="1"/>
  <c r="Y116" i="1"/>
  <c r="Z116" i="1" s="1"/>
  <c r="AP116" i="1" s="1"/>
  <c r="AA116" i="1"/>
  <c r="AB116" i="1"/>
  <c r="AC116" i="1"/>
  <c r="AD116" i="1"/>
  <c r="AE116" i="1"/>
  <c r="AF116" i="1"/>
  <c r="AG116" i="1"/>
  <c r="AH116" i="1"/>
  <c r="Y117" i="1"/>
  <c r="Z117" i="1" s="1"/>
  <c r="AA117" i="1"/>
  <c r="AB117" i="1"/>
  <c r="AC117" i="1"/>
  <c r="AD117" i="1"/>
  <c r="AE117" i="1"/>
  <c r="AF117" i="1"/>
  <c r="AG117" i="1"/>
  <c r="AH117" i="1"/>
  <c r="Y118" i="1"/>
  <c r="Z118" i="1" s="1"/>
  <c r="AA118" i="1"/>
  <c r="AB118" i="1"/>
  <c r="AC118" i="1"/>
  <c r="AD118" i="1"/>
  <c r="AE118" i="1"/>
  <c r="AF118" i="1"/>
  <c r="AG118" i="1"/>
  <c r="AH118" i="1"/>
  <c r="Y119" i="1"/>
  <c r="Z119" i="1" s="1"/>
  <c r="AP119" i="1" s="1"/>
  <c r="AA119" i="1"/>
  <c r="AB119" i="1"/>
  <c r="AC119" i="1"/>
  <c r="AD119" i="1"/>
  <c r="AE119" i="1"/>
  <c r="AF119" i="1"/>
  <c r="AG119" i="1"/>
  <c r="AH119" i="1"/>
  <c r="Y120" i="1"/>
  <c r="Z120" i="1" s="1"/>
  <c r="AA120" i="1"/>
  <c r="AB120" i="1"/>
  <c r="AC120" i="1"/>
  <c r="AD120" i="1"/>
  <c r="AE120" i="1"/>
  <c r="AF120" i="1"/>
  <c r="AG120" i="1"/>
  <c r="AH120" i="1"/>
  <c r="Y121" i="1"/>
  <c r="Z121" i="1" s="1"/>
  <c r="AA121" i="1"/>
  <c r="AB121" i="1"/>
  <c r="AC121" i="1"/>
  <c r="AD121" i="1"/>
  <c r="AE121" i="1"/>
  <c r="AF121" i="1"/>
  <c r="AG121" i="1"/>
  <c r="AH121" i="1"/>
  <c r="Y122" i="1"/>
  <c r="Z122" i="1" s="1"/>
  <c r="AR122" i="1" s="1"/>
  <c r="AA122" i="1"/>
  <c r="AB122" i="1"/>
  <c r="AI122" i="1" s="1"/>
  <c r="AC122" i="1"/>
  <c r="AD122" i="1"/>
  <c r="AE122" i="1"/>
  <c r="AF122" i="1"/>
  <c r="AG122" i="1"/>
  <c r="AH122" i="1"/>
  <c r="Y123" i="1"/>
  <c r="Z123" i="1"/>
  <c r="AA123" i="1"/>
  <c r="AB123" i="1"/>
  <c r="AC123" i="1"/>
  <c r="AD123" i="1"/>
  <c r="AE123" i="1"/>
  <c r="AF123" i="1"/>
  <c r="AG123" i="1"/>
  <c r="AH123" i="1"/>
  <c r="Y124" i="1"/>
  <c r="Z124" i="1"/>
  <c r="AP124" i="1" s="1"/>
  <c r="AA124" i="1"/>
  <c r="AB124" i="1"/>
  <c r="AC124" i="1"/>
  <c r="AD124" i="1"/>
  <c r="AE124" i="1"/>
  <c r="AF124" i="1"/>
  <c r="AG124" i="1"/>
  <c r="AH124" i="1"/>
  <c r="Y125" i="1"/>
  <c r="Z125" i="1" s="1"/>
  <c r="AA125" i="1"/>
  <c r="AB125" i="1"/>
  <c r="AC125" i="1"/>
  <c r="AD125" i="1"/>
  <c r="AE125" i="1"/>
  <c r="AF125" i="1"/>
  <c r="AG125" i="1"/>
  <c r="AH125" i="1"/>
  <c r="Y126" i="1"/>
  <c r="Z126" i="1" s="1"/>
  <c r="AP126" i="1" s="1"/>
  <c r="AA126" i="1"/>
  <c r="AB126" i="1"/>
  <c r="AC126" i="1"/>
  <c r="AD126" i="1"/>
  <c r="AE126" i="1"/>
  <c r="AF126" i="1"/>
  <c r="AG126" i="1"/>
  <c r="AH126" i="1"/>
  <c r="Y127" i="1"/>
  <c r="Z127" i="1" s="1"/>
  <c r="AP127" i="1" s="1"/>
  <c r="AA127" i="1"/>
  <c r="AB127" i="1"/>
  <c r="AC127" i="1"/>
  <c r="AD127" i="1"/>
  <c r="AE127" i="1"/>
  <c r="AF127" i="1"/>
  <c r="AG127" i="1"/>
  <c r="AH127" i="1"/>
  <c r="Y128" i="1"/>
  <c r="Z128" i="1" s="1"/>
  <c r="AA128" i="1"/>
  <c r="AB128" i="1"/>
  <c r="AC128" i="1"/>
  <c r="AD128" i="1"/>
  <c r="AE128" i="1"/>
  <c r="AF128" i="1"/>
  <c r="AG128" i="1"/>
  <c r="AH128" i="1"/>
  <c r="Y129" i="1"/>
  <c r="Z129" i="1"/>
  <c r="AA129" i="1"/>
  <c r="AB129" i="1"/>
  <c r="AC129" i="1"/>
  <c r="AD129" i="1"/>
  <c r="AE129" i="1"/>
  <c r="AF129" i="1"/>
  <c r="AG129" i="1"/>
  <c r="AH129" i="1"/>
  <c r="Y130" i="1"/>
  <c r="Z130" i="1" s="1"/>
  <c r="AR130" i="1" s="1"/>
  <c r="AA130" i="1"/>
  <c r="AB130" i="1"/>
  <c r="AC130" i="1"/>
  <c r="AD130" i="1"/>
  <c r="AE130" i="1"/>
  <c r="AF130" i="1"/>
  <c r="AG130" i="1"/>
  <c r="AH130" i="1"/>
  <c r="AI130" i="1"/>
  <c r="Y131" i="1"/>
  <c r="Z131" i="1" s="1"/>
  <c r="AP131" i="1" s="1"/>
  <c r="AA131" i="1"/>
  <c r="AB131" i="1"/>
  <c r="AC131" i="1"/>
  <c r="AD131" i="1"/>
  <c r="AE131" i="1"/>
  <c r="AF131" i="1"/>
  <c r="AG131" i="1"/>
  <c r="AH131" i="1"/>
  <c r="Y132" i="1"/>
  <c r="Z132" i="1" s="1"/>
  <c r="AP132" i="1" s="1"/>
  <c r="AA132" i="1"/>
  <c r="AB132" i="1"/>
  <c r="AC132" i="1"/>
  <c r="AD132" i="1"/>
  <c r="AE132" i="1"/>
  <c r="AF132" i="1"/>
  <c r="AG132" i="1"/>
  <c r="AH132" i="1"/>
  <c r="Y133" i="1"/>
  <c r="Z133" i="1" s="1"/>
  <c r="AP133" i="1" s="1"/>
  <c r="AA133" i="1"/>
  <c r="AB133" i="1"/>
  <c r="AC133" i="1"/>
  <c r="AD133" i="1"/>
  <c r="AE133" i="1"/>
  <c r="AF133" i="1"/>
  <c r="AG133" i="1"/>
  <c r="AH133" i="1"/>
  <c r="Y134" i="1"/>
  <c r="Z134" i="1" s="1"/>
  <c r="AA134" i="1"/>
  <c r="AB134" i="1"/>
  <c r="AC134" i="1"/>
  <c r="AD134" i="1"/>
  <c r="AE134" i="1"/>
  <c r="AF134" i="1"/>
  <c r="AG134" i="1"/>
  <c r="AH134" i="1"/>
  <c r="Y135" i="1"/>
  <c r="Z135" i="1" s="1"/>
  <c r="AA135" i="1"/>
  <c r="AB135" i="1"/>
  <c r="AC135" i="1"/>
  <c r="AD135" i="1"/>
  <c r="AE135" i="1"/>
  <c r="AF135" i="1"/>
  <c r="AG135" i="1"/>
  <c r="AH135" i="1"/>
  <c r="Y136" i="1"/>
  <c r="Z136" i="1" s="1"/>
  <c r="AP136" i="1" s="1"/>
  <c r="AA136" i="1"/>
  <c r="AB136" i="1"/>
  <c r="AC136" i="1"/>
  <c r="AD136" i="1"/>
  <c r="AE136" i="1"/>
  <c r="AF136" i="1"/>
  <c r="AG136" i="1"/>
  <c r="AH136" i="1"/>
  <c r="Y137" i="1"/>
  <c r="Z137" i="1" s="1"/>
  <c r="AR137" i="1" s="1"/>
  <c r="AA137" i="1"/>
  <c r="AB137" i="1"/>
  <c r="AC137" i="1"/>
  <c r="AD137" i="1"/>
  <c r="AE137" i="1"/>
  <c r="AF137" i="1"/>
  <c r="AG137" i="1"/>
  <c r="AH137" i="1"/>
  <c r="Y138" i="1"/>
  <c r="Z138" i="1" s="1"/>
  <c r="AP138" i="1" s="1"/>
  <c r="AA138" i="1"/>
  <c r="AB138" i="1"/>
  <c r="AC138" i="1"/>
  <c r="AD138" i="1"/>
  <c r="AE138" i="1"/>
  <c r="AF138" i="1"/>
  <c r="AG138" i="1"/>
  <c r="AH138" i="1"/>
  <c r="Y139" i="1"/>
  <c r="Z139" i="1" s="1"/>
  <c r="AA139" i="1"/>
  <c r="AB139" i="1"/>
  <c r="AC139" i="1"/>
  <c r="AD139" i="1"/>
  <c r="AE139" i="1"/>
  <c r="AF139" i="1"/>
  <c r="AG139" i="1"/>
  <c r="AH139" i="1"/>
  <c r="Y140" i="1"/>
  <c r="Z140" i="1"/>
  <c r="AP140" i="1" s="1"/>
  <c r="AA140" i="1"/>
  <c r="AB140" i="1"/>
  <c r="AI140" i="1" s="1"/>
  <c r="AC140" i="1"/>
  <c r="AD140" i="1"/>
  <c r="AE140" i="1"/>
  <c r="AF140" i="1"/>
  <c r="AG140" i="1"/>
  <c r="AH140" i="1"/>
  <c r="Y141" i="1"/>
  <c r="Z141" i="1" s="1"/>
  <c r="AA141" i="1"/>
  <c r="AB141" i="1"/>
  <c r="AC141" i="1"/>
  <c r="AD141" i="1"/>
  <c r="AE141" i="1"/>
  <c r="AF141" i="1"/>
  <c r="AG141" i="1"/>
  <c r="AH141" i="1"/>
  <c r="Y142" i="1"/>
  <c r="Z142" i="1" s="1"/>
  <c r="AA142" i="1"/>
  <c r="AB142" i="1"/>
  <c r="AC142" i="1"/>
  <c r="AD142" i="1"/>
  <c r="AE142" i="1"/>
  <c r="AF142" i="1"/>
  <c r="AG142" i="1"/>
  <c r="AH142" i="1"/>
  <c r="Y143" i="1"/>
  <c r="Z143" i="1" s="1"/>
  <c r="AP143" i="1" s="1"/>
  <c r="AA143" i="1"/>
  <c r="AB143" i="1"/>
  <c r="AC143" i="1"/>
  <c r="AD143" i="1"/>
  <c r="AE143" i="1"/>
  <c r="AF143" i="1"/>
  <c r="AG143" i="1"/>
  <c r="AH143" i="1"/>
  <c r="Y144" i="1"/>
  <c r="Z144" i="1"/>
  <c r="AR144" i="1" s="1"/>
  <c r="AA144" i="1"/>
  <c r="AB144" i="1"/>
  <c r="AC144" i="1"/>
  <c r="AD144" i="1"/>
  <c r="AE144" i="1"/>
  <c r="AF144" i="1"/>
  <c r="AG144" i="1"/>
  <c r="AH144" i="1"/>
  <c r="Y145" i="1"/>
  <c r="Z145" i="1" s="1"/>
  <c r="AA145" i="1"/>
  <c r="AB145" i="1"/>
  <c r="AC145" i="1"/>
  <c r="AD145" i="1"/>
  <c r="AE145" i="1"/>
  <c r="AF145" i="1"/>
  <c r="AG145" i="1"/>
  <c r="AH145" i="1"/>
  <c r="Y146" i="1"/>
  <c r="Z146" i="1" s="1"/>
  <c r="AR146" i="1" s="1"/>
  <c r="AA146" i="1"/>
  <c r="AB146" i="1"/>
  <c r="AC146" i="1"/>
  <c r="AD146" i="1"/>
  <c r="AE146" i="1"/>
  <c r="AF146" i="1"/>
  <c r="AG146" i="1"/>
  <c r="AH146" i="1"/>
  <c r="Y147" i="1"/>
  <c r="Z147" i="1"/>
  <c r="AP147" i="1" s="1"/>
  <c r="AA147" i="1"/>
  <c r="AB147" i="1"/>
  <c r="AC147" i="1"/>
  <c r="AD147" i="1"/>
  <c r="AE147" i="1"/>
  <c r="AF147" i="1"/>
  <c r="AG147" i="1"/>
  <c r="AH147" i="1"/>
  <c r="Y148" i="1"/>
  <c r="Z148" i="1" s="1"/>
  <c r="AA148" i="1"/>
  <c r="AB148" i="1"/>
  <c r="AC148" i="1"/>
  <c r="AD148" i="1"/>
  <c r="AE148" i="1"/>
  <c r="AF148" i="1"/>
  <c r="AG148" i="1"/>
  <c r="AH148" i="1"/>
  <c r="AI148" i="1"/>
  <c r="Y149" i="1"/>
  <c r="Z149" i="1" s="1"/>
  <c r="AP149" i="1" s="1"/>
  <c r="AA149" i="1"/>
  <c r="AB149" i="1"/>
  <c r="AC149" i="1"/>
  <c r="AD149" i="1"/>
  <c r="AE149" i="1"/>
  <c r="AF149" i="1"/>
  <c r="AG149" i="1"/>
  <c r="AH149" i="1"/>
  <c r="Y150" i="1"/>
  <c r="Z150" i="1"/>
  <c r="AR150" i="1" s="1"/>
  <c r="AA150" i="1"/>
  <c r="AB150" i="1"/>
  <c r="AC150" i="1"/>
  <c r="AD150" i="1"/>
  <c r="AE150" i="1"/>
  <c r="AF150" i="1"/>
  <c r="AG150" i="1"/>
  <c r="AH150" i="1"/>
  <c r="Y151" i="1"/>
  <c r="Z151" i="1" s="1"/>
  <c r="AA151" i="1"/>
  <c r="AB151" i="1"/>
  <c r="AC151" i="1"/>
  <c r="AD151" i="1"/>
  <c r="AE151" i="1"/>
  <c r="AF151" i="1"/>
  <c r="AG151" i="1"/>
  <c r="AH151" i="1"/>
  <c r="Y152" i="1"/>
  <c r="Z152" i="1" s="1"/>
  <c r="AP152" i="1" s="1"/>
  <c r="AA152" i="1"/>
  <c r="AB152" i="1"/>
  <c r="AC152" i="1"/>
  <c r="AD152" i="1"/>
  <c r="AE152" i="1"/>
  <c r="AF152" i="1"/>
  <c r="AG152" i="1"/>
  <c r="AH152" i="1"/>
  <c r="Y153" i="1"/>
  <c r="Z153" i="1" s="1"/>
  <c r="AP153" i="1" s="1"/>
  <c r="AA153" i="1"/>
  <c r="AB153" i="1"/>
  <c r="AC153" i="1"/>
  <c r="AD153" i="1"/>
  <c r="AE153" i="1"/>
  <c r="AF153" i="1"/>
  <c r="AG153" i="1"/>
  <c r="AH153" i="1"/>
  <c r="Y154" i="1"/>
  <c r="Z154" i="1"/>
  <c r="AP154" i="1" s="1"/>
  <c r="AA154" i="1"/>
  <c r="AB154" i="1"/>
  <c r="AC154" i="1"/>
  <c r="AD154" i="1"/>
  <c r="AE154" i="1"/>
  <c r="AF154" i="1"/>
  <c r="AG154" i="1"/>
  <c r="AH154" i="1"/>
  <c r="Y155" i="1"/>
  <c r="Z155" i="1"/>
  <c r="AA155" i="1"/>
  <c r="AB155" i="1"/>
  <c r="AC155" i="1"/>
  <c r="AD155" i="1"/>
  <c r="AE155" i="1"/>
  <c r="AF155" i="1"/>
  <c r="AG155" i="1"/>
  <c r="AH155" i="1"/>
  <c r="Y156" i="1"/>
  <c r="Z156" i="1" s="1"/>
  <c r="AA156" i="1"/>
  <c r="AB156" i="1"/>
  <c r="AC156" i="1"/>
  <c r="AD156" i="1"/>
  <c r="AE156" i="1"/>
  <c r="AF156" i="1"/>
  <c r="AG156" i="1"/>
  <c r="AH156" i="1"/>
  <c r="Y157" i="1"/>
  <c r="Z157" i="1"/>
  <c r="AP157" i="1" s="1"/>
  <c r="AA157" i="1"/>
  <c r="AB157" i="1"/>
  <c r="AC157" i="1"/>
  <c r="AD157" i="1"/>
  <c r="AE157" i="1"/>
  <c r="AF157" i="1"/>
  <c r="AG157" i="1"/>
  <c r="AH157" i="1"/>
  <c r="Y158" i="1"/>
  <c r="Z158" i="1" s="1"/>
  <c r="AP158" i="1" s="1"/>
  <c r="AA158" i="1"/>
  <c r="AB158" i="1"/>
  <c r="AC158" i="1"/>
  <c r="AD158" i="1"/>
  <c r="AE158" i="1"/>
  <c r="AF158" i="1"/>
  <c r="AG158" i="1"/>
  <c r="AH158" i="1"/>
  <c r="Y159" i="1"/>
  <c r="Z159" i="1" s="1"/>
  <c r="AA159" i="1"/>
  <c r="AB159" i="1"/>
  <c r="AC159" i="1"/>
  <c r="AD159" i="1"/>
  <c r="AE159" i="1"/>
  <c r="AF159" i="1"/>
  <c r="AG159" i="1"/>
  <c r="AH159" i="1"/>
  <c r="Y160" i="1"/>
  <c r="Z160" i="1"/>
  <c r="AP160" i="1" s="1"/>
  <c r="AA160" i="1"/>
  <c r="AB160" i="1"/>
  <c r="AC160" i="1"/>
  <c r="AD160" i="1"/>
  <c r="AE160" i="1"/>
  <c r="AF160" i="1"/>
  <c r="AG160" i="1"/>
  <c r="AH160" i="1"/>
  <c r="Y161" i="1"/>
  <c r="Z161" i="1" s="1"/>
  <c r="AA161" i="1"/>
  <c r="AB161" i="1"/>
  <c r="AC161" i="1"/>
  <c r="AD161" i="1"/>
  <c r="AE161" i="1"/>
  <c r="AF161" i="1"/>
  <c r="AG161" i="1"/>
  <c r="AH161" i="1"/>
  <c r="Y162" i="1"/>
  <c r="Z162" i="1" s="1"/>
  <c r="AA162" i="1"/>
  <c r="AB162" i="1"/>
  <c r="AC162" i="1"/>
  <c r="AD162" i="1"/>
  <c r="AE162" i="1"/>
  <c r="AF162" i="1"/>
  <c r="AG162" i="1"/>
  <c r="AH162" i="1"/>
  <c r="Y163" i="1"/>
  <c r="Z163" i="1" s="1"/>
  <c r="AP163" i="1" s="1"/>
  <c r="AA163" i="1"/>
  <c r="AB163" i="1"/>
  <c r="AC163" i="1"/>
  <c r="AD163" i="1"/>
  <c r="AE163" i="1"/>
  <c r="AF163" i="1"/>
  <c r="AG163" i="1"/>
  <c r="AH163" i="1"/>
  <c r="Y164" i="1"/>
  <c r="Z164" i="1" s="1"/>
  <c r="AP164" i="1" s="1"/>
  <c r="AA164" i="1"/>
  <c r="AB164" i="1"/>
  <c r="AI164" i="1" s="1"/>
  <c r="AC164" i="1"/>
  <c r="AD164" i="1"/>
  <c r="AE164" i="1"/>
  <c r="AF164" i="1"/>
  <c r="AG164" i="1"/>
  <c r="AH164" i="1"/>
  <c r="Y165" i="1"/>
  <c r="Z165" i="1" s="1"/>
  <c r="AP165" i="1" s="1"/>
  <c r="AA165" i="1"/>
  <c r="AB165" i="1"/>
  <c r="AC165" i="1"/>
  <c r="AD165" i="1"/>
  <c r="AE165" i="1"/>
  <c r="AF165" i="1"/>
  <c r="AG165" i="1"/>
  <c r="AH165" i="1"/>
  <c r="Y166" i="1"/>
  <c r="Z166" i="1" s="1"/>
  <c r="AP166" i="1" s="1"/>
  <c r="AA166" i="1"/>
  <c r="AB166" i="1"/>
  <c r="AC166" i="1"/>
  <c r="AD166" i="1"/>
  <c r="AE166" i="1"/>
  <c r="AF166" i="1"/>
  <c r="AG166" i="1"/>
  <c r="AH166" i="1"/>
  <c r="Y167" i="1"/>
  <c r="Z167" i="1"/>
  <c r="AP167" i="1" s="1"/>
  <c r="AA167" i="1"/>
  <c r="AB167" i="1"/>
  <c r="AC167" i="1"/>
  <c r="AD167" i="1"/>
  <c r="AE167" i="1"/>
  <c r="AF167" i="1"/>
  <c r="AG167" i="1"/>
  <c r="AH167" i="1"/>
  <c r="Y168" i="1"/>
  <c r="Z168" i="1" s="1"/>
  <c r="AA168" i="1"/>
  <c r="AB168" i="1"/>
  <c r="AC168" i="1"/>
  <c r="AD168" i="1"/>
  <c r="AE168" i="1"/>
  <c r="AF168" i="1"/>
  <c r="AG168" i="1"/>
  <c r="AH168" i="1"/>
  <c r="Y169" i="1"/>
  <c r="Z169" i="1" s="1"/>
  <c r="AP169" i="1" s="1"/>
  <c r="AA169" i="1"/>
  <c r="AB169" i="1"/>
  <c r="AC169" i="1"/>
  <c r="AD169" i="1"/>
  <c r="AE169" i="1"/>
  <c r="AF169" i="1"/>
  <c r="AG169" i="1"/>
  <c r="AH169" i="1"/>
  <c r="AI169" i="1"/>
  <c r="Y170" i="1"/>
  <c r="Z170" i="1" s="1"/>
  <c r="AA170" i="1"/>
  <c r="AB170" i="1"/>
  <c r="AI170" i="1" s="1"/>
  <c r="AC170" i="1"/>
  <c r="AD170" i="1"/>
  <c r="AE170" i="1"/>
  <c r="AF170" i="1"/>
  <c r="AG170" i="1"/>
  <c r="AH170" i="1"/>
  <c r="Y171" i="1"/>
  <c r="Z171" i="1" s="1"/>
  <c r="AP171" i="1" s="1"/>
  <c r="AA171" i="1"/>
  <c r="AB171" i="1"/>
  <c r="AC171" i="1"/>
  <c r="AD171" i="1"/>
  <c r="AE171" i="1"/>
  <c r="AF171" i="1"/>
  <c r="AG171" i="1"/>
  <c r="AH171" i="1"/>
  <c r="Y172" i="1"/>
  <c r="Z172" i="1" s="1"/>
  <c r="AR172" i="1" s="1"/>
  <c r="AA172" i="1"/>
  <c r="AB172" i="1"/>
  <c r="AC172" i="1"/>
  <c r="AD172" i="1"/>
  <c r="AE172" i="1"/>
  <c r="AF172" i="1"/>
  <c r="AG172" i="1"/>
  <c r="AH172" i="1"/>
  <c r="Y173" i="1"/>
  <c r="Z173" i="1" s="1"/>
  <c r="AA173" i="1"/>
  <c r="AB173" i="1"/>
  <c r="AC173" i="1"/>
  <c r="AD173" i="1"/>
  <c r="AE173" i="1"/>
  <c r="AF173" i="1"/>
  <c r="AG173" i="1"/>
  <c r="AH173" i="1"/>
  <c r="Y174" i="1"/>
  <c r="Z174" i="1" s="1"/>
  <c r="AR174" i="1" s="1"/>
  <c r="AA174" i="1"/>
  <c r="AB174" i="1"/>
  <c r="AC174" i="1"/>
  <c r="AD174" i="1"/>
  <c r="AE174" i="1"/>
  <c r="AF174" i="1"/>
  <c r="AG174" i="1"/>
  <c r="AH174" i="1"/>
  <c r="Y175" i="1"/>
  <c r="Z175" i="1" s="1"/>
  <c r="AR175" i="1" s="1"/>
  <c r="AA175" i="1"/>
  <c r="AB175" i="1"/>
  <c r="AC175" i="1"/>
  <c r="AD175" i="1"/>
  <c r="AE175" i="1"/>
  <c r="AF175" i="1"/>
  <c r="AG175" i="1"/>
  <c r="AH175" i="1"/>
  <c r="Y176" i="1"/>
  <c r="Z176" i="1" s="1"/>
  <c r="AP176" i="1" s="1"/>
  <c r="AA176" i="1"/>
  <c r="AB176" i="1"/>
  <c r="AC176" i="1"/>
  <c r="AD176" i="1"/>
  <c r="AE176" i="1"/>
  <c r="AF176" i="1"/>
  <c r="AG176" i="1"/>
  <c r="AH176" i="1"/>
  <c r="Y177" i="1"/>
  <c r="Z177" i="1" s="1"/>
  <c r="AP177" i="1" s="1"/>
  <c r="AA177" i="1"/>
  <c r="AB177" i="1"/>
  <c r="AC177" i="1"/>
  <c r="AD177" i="1"/>
  <c r="AE177" i="1"/>
  <c r="AF177" i="1"/>
  <c r="AG177" i="1"/>
  <c r="AH177" i="1"/>
  <c r="Y178" i="1"/>
  <c r="Z178" i="1" s="1"/>
  <c r="AA178" i="1"/>
  <c r="AB178" i="1"/>
  <c r="AC178" i="1"/>
  <c r="AD178" i="1"/>
  <c r="AE178" i="1"/>
  <c r="AF178" i="1"/>
  <c r="AG178" i="1"/>
  <c r="AH178" i="1"/>
  <c r="Y179" i="1"/>
  <c r="Z179" i="1" s="1"/>
  <c r="AA179" i="1"/>
  <c r="AB179" i="1"/>
  <c r="AC179" i="1"/>
  <c r="AD179" i="1"/>
  <c r="AE179" i="1"/>
  <c r="AF179" i="1"/>
  <c r="AG179" i="1"/>
  <c r="AH179" i="1"/>
  <c r="Y180" i="1"/>
  <c r="Z180" i="1" s="1"/>
  <c r="AA180" i="1"/>
  <c r="AB180" i="1"/>
  <c r="AC180" i="1"/>
  <c r="AD180" i="1"/>
  <c r="AE180" i="1"/>
  <c r="AF180" i="1"/>
  <c r="AG180" i="1"/>
  <c r="AH180" i="1"/>
  <c r="Y181" i="1"/>
  <c r="Z181" i="1" s="1"/>
  <c r="AR181" i="1" s="1"/>
  <c r="AA181" i="1"/>
  <c r="AB181" i="1"/>
  <c r="AC181" i="1"/>
  <c r="AD181" i="1"/>
  <c r="AE181" i="1"/>
  <c r="AF181" i="1"/>
  <c r="AG181" i="1"/>
  <c r="AH181" i="1"/>
  <c r="Y182" i="1"/>
  <c r="Z182" i="1" s="1"/>
  <c r="AP182" i="1" s="1"/>
  <c r="AA182" i="1"/>
  <c r="AB182" i="1"/>
  <c r="AC182" i="1"/>
  <c r="AD182" i="1"/>
  <c r="AE182" i="1"/>
  <c r="AF182" i="1"/>
  <c r="AG182" i="1"/>
  <c r="AH182" i="1"/>
  <c r="Y183" i="1"/>
  <c r="Z183" i="1"/>
  <c r="AR183" i="1" s="1"/>
  <c r="AA183" i="1"/>
  <c r="AB183" i="1"/>
  <c r="AC183" i="1"/>
  <c r="AD183" i="1"/>
  <c r="AE183" i="1"/>
  <c r="AF183" i="1"/>
  <c r="AG183" i="1"/>
  <c r="AH183" i="1"/>
  <c r="Y184" i="1"/>
  <c r="Z184" i="1" s="1"/>
  <c r="AA184" i="1"/>
  <c r="AB184" i="1"/>
  <c r="AC184" i="1"/>
  <c r="AD184" i="1"/>
  <c r="AE184" i="1"/>
  <c r="AF184" i="1"/>
  <c r="AG184" i="1"/>
  <c r="AH184" i="1"/>
  <c r="Y185" i="1"/>
  <c r="Z185" i="1" s="1"/>
  <c r="AA185" i="1"/>
  <c r="AB185" i="1"/>
  <c r="AI185" i="1" s="1"/>
  <c r="AC185" i="1"/>
  <c r="AD185" i="1"/>
  <c r="AE185" i="1"/>
  <c r="AF185" i="1"/>
  <c r="AG185" i="1"/>
  <c r="AH185" i="1"/>
  <c r="Y186" i="1"/>
  <c r="Z186" i="1" s="1"/>
  <c r="AR186" i="1" s="1"/>
  <c r="AA186" i="1"/>
  <c r="AB186" i="1"/>
  <c r="AC186" i="1"/>
  <c r="AD186" i="1"/>
  <c r="AE186" i="1"/>
  <c r="AF186" i="1"/>
  <c r="AG186" i="1"/>
  <c r="AH186" i="1"/>
  <c r="Y187" i="1"/>
  <c r="Z187" i="1" s="1"/>
  <c r="AR187" i="1" s="1"/>
  <c r="AA187" i="1"/>
  <c r="AB187" i="1"/>
  <c r="AC187" i="1"/>
  <c r="AD187" i="1"/>
  <c r="AE187" i="1"/>
  <c r="AF187" i="1"/>
  <c r="AG187" i="1"/>
  <c r="AH187" i="1"/>
  <c r="AI187" i="1"/>
  <c r="Y188" i="1"/>
  <c r="Z188" i="1" s="1"/>
  <c r="AP188" i="1" s="1"/>
  <c r="AA188" i="1"/>
  <c r="AB188" i="1"/>
  <c r="AC188" i="1"/>
  <c r="AD188" i="1"/>
  <c r="AE188" i="1"/>
  <c r="AF188" i="1"/>
  <c r="AG188" i="1"/>
  <c r="AH188" i="1"/>
  <c r="Y189" i="1"/>
  <c r="Z189" i="1" s="1"/>
  <c r="AP189" i="1" s="1"/>
  <c r="AA189" i="1"/>
  <c r="AB189" i="1"/>
  <c r="AC189" i="1"/>
  <c r="AD189" i="1"/>
  <c r="AE189" i="1"/>
  <c r="AF189" i="1"/>
  <c r="AG189" i="1"/>
  <c r="AH189" i="1"/>
  <c r="Y190" i="1"/>
  <c r="Z190" i="1"/>
  <c r="AA190" i="1"/>
  <c r="AB190" i="1"/>
  <c r="AI190" i="1" s="1"/>
  <c r="AJ190" i="1" s="1"/>
  <c r="AK190" i="1" s="1"/>
  <c r="AC190" i="1"/>
  <c r="AD190" i="1"/>
  <c r="AE190" i="1"/>
  <c r="AF190" i="1"/>
  <c r="AG190" i="1"/>
  <c r="AH190" i="1"/>
  <c r="Y191" i="1"/>
  <c r="Z191" i="1" s="1"/>
  <c r="AR191" i="1" s="1"/>
  <c r="AA191" i="1"/>
  <c r="AB191" i="1"/>
  <c r="AC191" i="1"/>
  <c r="AD191" i="1"/>
  <c r="AE191" i="1"/>
  <c r="AF191" i="1"/>
  <c r="AG191" i="1"/>
  <c r="AH191" i="1"/>
  <c r="Y192" i="1"/>
  <c r="Z192" i="1" s="1"/>
  <c r="AP192" i="1" s="1"/>
  <c r="AA192" i="1"/>
  <c r="AB192" i="1"/>
  <c r="AC192" i="1"/>
  <c r="AD192" i="1"/>
  <c r="AE192" i="1"/>
  <c r="AF192" i="1"/>
  <c r="AG192" i="1"/>
  <c r="AH192" i="1"/>
  <c r="Y193" i="1"/>
  <c r="Z193" i="1" s="1"/>
  <c r="AA193" i="1"/>
  <c r="AB193" i="1"/>
  <c r="AC193" i="1"/>
  <c r="AD193" i="1"/>
  <c r="AE193" i="1"/>
  <c r="AF193" i="1"/>
  <c r="AG193" i="1"/>
  <c r="AH193" i="1"/>
  <c r="Y194" i="1"/>
  <c r="Z194" i="1"/>
  <c r="AA194" i="1"/>
  <c r="AB194" i="1"/>
  <c r="AC194" i="1"/>
  <c r="AD194" i="1"/>
  <c r="AE194" i="1"/>
  <c r="AF194" i="1"/>
  <c r="AG194" i="1"/>
  <c r="AH194" i="1"/>
  <c r="Y195" i="1"/>
  <c r="Z195" i="1" s="1"/>
  <c r="AA195" i="1"/>
  <c r="AB195" i="1"/>
  <c r="AC195" i="1"/>
  <c r="AD195" i="1"/>
  <c r="AE195" i="1"/>
  <c r="AF195" i="1"/>
  <c r="AG195" i="1"/>
  <c r="AH195" i="1"/>
  <c r="Y196" i="1"/>
  <c r="Z196" i="1" s="1"/>
  <c r="AP196" i="1" s="1"/>
  <c r="AA196" i="1"/>
  <c r="AB196" i="1"/>
  <c r="AC196" i="1"/>
  <c r="AD196" i="1"/>
  <c r="AE196" i="1"/>
  <c r="AF196" i="1"/>
  <c r="AG196" i="1"/>
  <c r="AH196" i="1"/>
  <c r="Y197" i="1"/>
  <c r="Z197" i="1"/>
  <c r="AA197" i="1"/>
  <c r="AB197" i="1"/>
  <c r="AC197" i="1"/>
  <c r="AD197" i="1"/>
  <c r="AE197" i="1"/>
  <c r="AF197" i="1"/>
  <c r="AG197" i="1"/>
  <c r="AH197" i="1"/>
  <c r="Y198" i="1"/>
  <c r="Z198" i="1" s="1"/>
  <c r="AP198" i="1" s="1"/>
  <c r="AA198" i="1"/>
  <c r="AB198" i="1"/>
  <c r="AC198" i="1"/>
  <c r="AD198" i="1"/>
  <c r="AE198" i="1"/>
  <c r="AF198" i="1"/>
  <c r="AG198" i="1"/>
  <c r="AH198" i="1"/>
  <c r="Y199" i="1"/>
  <c r="Z199" i="1" s="1"/>
  <c r="AR199" i="1" s="1"/>
  <c r="AA199" i="1"/>
  <c r="AB199" i="1"/>
  <c r="AC199" i="1"/>
  <c r="AD199" i="1"/>
  <c r="AE199" i="1"/>
  <c r="AF199" i="1"/>
  <c r="AG199" i="1"/>
  <c r="AH199" i="1"/>
  <c r="Y200" i="1"/>
  <c r="Z200" i="1" s="1"/>
  <c r="AR200" i="1" s="1"/>
  <c r="AA200" i="1"/>
  <c r="AB200" i="1"/>
  <c r="AC200" i="1"/>
  <c r="AD200" i="1"/>
  <c r="AE200" i="1"/>
  <c r="AF200" i="1"/>
  <c r="AG200" i="1"/>
  <c r="AH200" i="1"/>
  <c r="Y201" i="1"/>
  <c r="Z201" i="1" s="1"/>
  <c r="AA201" i="1"/>
  <c r="AB201" i="1"/>
  <c r="AC201" i="1"/>
  <c r="AD201" i="1"/>
  <c r="AE201" i="1"/>
  <c r="AF201" i="1"/>
  <c r="AG201" i="1"/>
  <c r="AH201" i="1"/>
  <c r="Y202" i="1"/>
  <c r="Z202" i="1" s="1"/>
  <c r="AA202" i="1"/>
  <c r="AB202" i="1"/>
  <c r="AC202" i="1"/>
  <c r="AD202" i="1"/>
  <c r="AE202" i="1"/>
  <c r="AF202" i="1"/>
  <c r="AG202" i="1"/>
  <c r="AH202" i="1"/>
  <c r="Y203" i="1"/>
  <c r="Z203" i="1"/>
  <c r="AR203" i="1" s="1"/>
  <c r="AA203" i="1"/>
  <c r="AB203" i="1"/>
  <c r="AC203" i="1"/>
  <c r="AD203" i="1"/>
  <c r="AE203" i="1"/>
  <c r="AF203" i="1"/>
  <c r="AG203" i="1"/>
  <c r="AH203" i="1"/>
  <c r="Y204" i="1"/>
  <c r="Z204" i="1" s="1"/>
  <c r="AP204" i="1" s="1"/>
  <c r="AA204" i="1"/>
  <c r="AB204" i="1"/>
  <c r="AC204" i="1"/>
  <c r="AD204" i="1"/>
  <c r="AE204" i="1"/>
  <c r="AF204" i="1"/>
  <c r="AG204" i="1"/>
  <c r="AH204" i="1"/>
  <c r="Y205" i="1"/>
  <c r="Z205" i="1" s="1"/>
  <c r="AP205" i="1" s="1"/>
  <c r="AA205" i="1"/>
  <c r="AB205" i="1"/>
  <c r="AC205" i="1"/>
  <c r="AD205" i="1"/>
  <c r="AE205" i="1"/>
  <c r="AF205" i="1"/>
  <c r="AG205" i="1"/>
  <c r="AH205" i="1"/>
  <c r="Y206" i="1"/>
  <c r="Z206" i="1" s="1"/>
  <c r="AA206" i="1"/>
  <c r="AB206" i="1"/>
  <c r="AC206" i="1"/>
  <c r="AD206" i="1"/>
  <c r="AE206" i="1"/>
  <c r="AF206" i="1"/>
  <c r="AG206" i="1"/>
  <c r="AH206" i="1"/>
  <c r="Y207" i="1"/>
  <c r="Z207" i="1"/>
  <c r="AP207" i="1" s="1"/>
  <c r="AA207" i="1"/>
  <c r="AB207" i="1"/>
  <c r="AC207" i="1"/>
  <c r="AD207" i="1"/>
  <c r="AE207" i="1"/>
  <c r="AF207" i="1"/>
  <c r="AG207" i="1"/>
  <c r="AH207" i="1"/>
  <c r="AI207" i="1"/>
  <c r="Y208" i="1"/>
  <c r="Z208" i="1" s="1"/>
  <c r="AP208" i="1" s="1"/>
  <c r="AA208" i="1"/>
  <c r="AB208" i="1"/>
  <c r="AC208" i="1"/>
  <c r="AD208" i="1"/>
  <c r="AE208" i="1"/>
  <c r="AF208" i="1"/>
  <c r="AG208" i="1"/>
  <c r="AH208" i="1"/>
  <c r="Y209" i="1"/>
  <c r="Z209" i="1" s="1"/>
  <c r="AP209" i="1" s="1"/>
  <c r="AA209" i="1"/>
  <c r="AB209" i="1"/>
  <c r="AC209" i="1"/>
  <c r="AD209" i="1"/>
  <c r="AE209" i="1"/>
  <c r="AF209" i="1"/>
  <c r="AG209" i="1"/>
  <c r="AH209" i="1"/>
  <c r="Y210" i="1"/>
  <c r="Z210" i="1"/>
  <c r="AA210" i="1"/>
  <c r="AB210" i="1"/>
  <c r="AI210" i="1" s="1"/>
  <c r="AC210" i="1"/>
  <c r="AD210" i="1"/>
  <c r="AE210" i="1"/>
  <c r="AF210" i="1"/>
  <c r="AG210" i="1"/>
  <c r="AH210" i="1"/>
  <c r="Y211" i="1"/>
  <c r="Z211" i="1" s="1"/>
  <c r="AP211" i="1" s="1"/>
  <c r="AA211" i="1"/>
  <c r="AB211" i="1"/>
  <c r="AC211" i="1"/>
  <c r="AD211" i="1"/>
  <c r="AE211" i="1"/>
  <c r="AF211" i="1"/>
  <c r="AG211" i="1"/>
  <c r="AH211" i="1"/>
  <c r="Y212" i="1"/>
  <c r="Z212" i="1" s="1"/>
  <c r="AA212" i="1"/>
  <c r="AB212" i="1"/>
  <c r="AC212" i="1"/>
  <c r="AD212" i="1"/>
  <c r="AE212" i="1"/>
  <c r="AF212" i="1"/>
  <c r="AG212" i="1"/>
  <c r="AH212" i="1"/>
  <c r="Y213" i="1"/>
  <c r="Z213" i="1"/>
  <c r="AP213" i="1" s="1"/>
  <c r="AA213" i="1"/>
  <c r="AB213" i="1"/>
  <c r="AC213" i="1"/>
  <c r="AD213" i="1"/>
  <c r="AE213" i="1"/>
  <c r="AF213" i="1"/>
  <c r="AG213" i="1"/>
  <c r="AH213" i="1"/>
  <c r="Y214" i="1"/>
  <c r="Z214" i="1"/>
  <c r="AR214" i="1" s="1"/>
  <c r="AA214" i="1"/>
  <c r="AB214" i="1"/>
  <c r="AC214" i="1"/>
  <c r="AD214" i="1"/>
  <c r="AE214" i="1"/>
  <c r="AF214" i="1"/>
  <c r="AG214" i="1"/>
  <c r="AH214" i="1"/>
  <c r="Y215" i="1"/>
  <c r="Z215" i="1"/>
  <c r="AR215" i="1" s="1"/>
  <c r="AA215" i="1"/>
  <c r="AB215" i="1"/>
  <c r="AC215" i="1"/>
  <c r="AD215" i="1"/>
  <c r="AE215" i="1"/>
  <c r="AF215" i="1"/>
  <c r="AG215" i="1"/>
  <c r="AH215" i="1"/>
  <c r="Y216" i="1"/>
  <c r="Z216" i="1" s="1"/>
  <c r="AR216" i="1" s="1"/>
  <c r="AA216" i="1"/>
  <c r="AB216" i="1"/>
  <c r="AI216" i="1" s="1"/>
  <c r="AC216" i="1"/>
  <c r="AD216" i="1"/>
  <c r="AE216" i="1"/>
  <c r="AF216" i="1"/>
  <c r="AG216" i="1"/>
  <c r="AH216" i="1"/>
  <c r="Y217" i="1"/>
  <c r="Z217" i="1" s="1"/>
  <c r="AA217" i="1"/>
  <c r="AB217" i="1"/>
  <c r="AC217" i="1"/>
  <c r="AD217" i="1"/>
  <c r="AE217" i="1"/>
  <c r="AF217" i="1"/>
  <c r="AG217" i="1"/>
  <c r="AH217" i="1"/>
  <c r="Y218" i="1"/>
  <c r="Z218" i="1" s="1"/>
  <c r="AP218" i="1" s="1"/>
  <c r="AA218" i="1"/>
  <c r="AB218" i="1"/>
  <c r="AC218" i="1"/>
  <c r="AD218" i="1"/>
  <c r="AE218" i="1"/>
  <c r="AF218" i="1"/>
  <c r="AG218" i="1"/>
  <c r="AH218" i="1"/>
  <c r="Y219" i="1"/>
  <c r="Z219" i="1" s="1"/>
  <c r="AP219" i="1" s="1"/>
  <c r="AA219" i="1"/>
  <c r="AB219" i="1"/>
  <c r="AC219" i="1"/>
  <c r="AD219" i="1"/>
  <c r="AE219" i="1"/>
  <c r="AF219" i="1"/>
  <c r="AG219" i="1"/>
  <c r="AH219" i="1"/>
  <c r="Y220" i="1"/>
  <c r="Z220" i="1" s="1"/>
  <c r="AP220" i="1" s="1"/>
  <c r="AA220" i="1"/>
  <c r="AB220" i="1"/>
  <c r="AC220" i="1"/>
  <c r="AD220" i="1"/>
  <c r="AE220" i="1"/>
  <c r="AF220" i="1"/>
  <c r="AG220" i="1"/>
  <c r="AH220" i="1"/>
  <c r="Y221" i="1"/>
  <c r="Z221" i="1" s="1"/>
  <c r="AA221" i="1"/>
  <c r="AB221" i="1"/>
  <c r="AC221" i="1"/>
  <c r="AD221" i="1"/>
  <c r="AE221" i="1"/>
  <c r="AF221" i="1"/>
  <c r="AG221" i="1"/>
  <c r="AH221" i="1"/>
  <c r="Y222" i="1"/>
  <c r="Z222" i="1" s="1"/>
  <c r="AP222" i="1" s="1"/>
  <c r="AA222" i="1"/>
  <c r="AB222" i="1"/>
  <c r="AC222" i="1"/>
  <c r="AD222" i="1"/>
  <c r="AE222" i="1"/>
  <c r="AF222" i="1"/>
  <c r="AG222" i="1"/>
  <c r="AH222" i="1"/>
  <c r="Y223" i="1"/>
  <c r="Z223" i="1"/>
  <c r="AA223" i="1"/>
  <c r="AB223" i="1"/>
  <c r="AC223" i="1"/>
  <c r="AD223" i="1"/>
  <c r="AE223" i="1"/>
  <c r="AF223" i="1"/>
  <c r="AG223" i="1"/>
  <c r="AH223" i="1"/>
  <c r="Y224" i="1"/>
  <c r="Z224" i="1" s="1"/>
  <c r="AA224" i="1"/>
  <c r="AB224" i="1"/>
  <c r="AC224" i="1"/>
  <c r="AD224" i="1"/>
  <c r="AE224" i="1"/>
  <c r="AF224" i="1"/>
  <c r="AG224" i="1"/>
  <c r="AH224" i="1"/>
  <c r="Y225" i="1"/>
  <c r="Z225" i="1"/>
  <c r="AP225" i="1" s="1"/>
  <c r="AA225" i="1"/>
  <c r="AB225" i="1"/>
  <c r="AC225" i="1"/>
  <c r="AD225" i="1"/>
  <c r="AE225" i="1"/>
  <c r="AF225" i="1"/>
  <c r="AG225" i="1"/>
  <c r="AH225" i="1"/>
  <c r="Y226" i="1"/>
  <c r="Z226" i="1" s="1"/>
  <c r="AR226" i="1" s="1"/>
  <c r="AA226" i="1"/>
  <c r="AB226" i="1"/>
  <c r="AC226" i="1"/>
  <c r="AD226" i="1"/>
  <c r="AE226" i="1"/>
  <c r="AF226" i="1"/>
  <c r="AG226" i="1"/>
  <c r="AH226" i="1"/>
  <c r="Y227" i="1"/>
  <c r="Z227" i="1" s="1"/>
  <c r="AR227" i="1" s="1"/>
  <c r="AA227" i="1"/>
  <c r="AB227" i="1"/>
  <c r="AC227" i="1"/>
  <c r="AD227" i="1"/>
  <c r="AE227" i="1"/>
  <c r="AF227" i="1"/>
  <c r="AG227" i="1"/>
  <c r="AH227" i="1"/>
  <c r="AI227" i="1"/>
  <c r="Y228" i="1"/>
  <c r="Z228" i="1" s="1"/>
  <c r="AR228" i="1" s="1"/>
  <c r="AA228" i="1"/>
  <c r="AB228" i="1"/>
  <c r="AC228" i="1"/>
  <c r="AD228" i="1"/>
  <c r="AE228" i="1"/>
  <c r="AF228" i="1"/>
  <c r="AG228" i="1"/>
  <c r="AH228" i="1"/>
  <c r="Y229" i="1"/>
  <c r="Z229" i="1"/>
  <c r="AA229" i="1"/>
  <c r="AB229" i="1"/>
  <c r="AC229" i="1"/>
  <c r="AD229" i="1"/>
  <c r="AE229" i="1"/>
  <c r="AF229" i="1"/>
  <c r="AG229" i="1"/>
  <c r="AH229" i="1"/>
  <c r="Y230" i="1"/>
  <c r="Z230" i="1" s="1"/>
  <c r="AA230" i="1"/>
  <c r="AB230" i="1"/>
  <c r="AC230" i="1"/>
  <c r="AD230" i="1"/>
  <c r="AE230" i="1"/>
  <c r="AF230" i="1"/>
  <c r="AG230" i="1"/>
  <c r="AH230" i="1"/>
  <c r="Y231" i="1"/>
  <c r="Z231" i="1" s="1"/>
  <c r="AR231" i="1" s="1"/>
  <c r="AA231" i="1"/>
  <c r="AB231" i="1"/>
  <c r="AC231" i="1"/>
  <c r="AD231" i="1"/>
  <c r="AE231" i="1"/>
  <c r="AF231" i="1"/>
  <c r="AG231" i="1"/>
  <c r="AH231" i="1"/>
  <c r="Y232" i="1"/>
  <c r="Z232" i="1" s="1"/>
  <c r="AP232" i="1" s="1"/>
  <c r="AA232" i="1"/>
  <c r="AB232" i="1"/>
  <c r="AC232" i="1"/>
  <c r="AD232" i="1"/>
  <c r="AE232" i="1"/>
  <c r="AF232" i="1"/>
  <c r="AG232" i="1"/>
  <c r="AH232" i="1"/>
  <c r="AI232" i="1"/>
  <c r="Y233" i="1"/>
  <c r="Z233" i="1" s="1"/>
  <c r="AP233" i="1" s="1"/>
  <c r="AA233" i="1"/>
  <c r="AB233" i="1"/>
  <c r="AC233" i="1"/>
  <c r="AD233" i="1"/>
  <c r="AE233" i="1"/>
  <c r="AF233" i="1"/>
  <c r="AG233" i="1"/>
  <c r="AH233" i="1"/>
  <c r="Y234" i="1"/>
  <c r="Z234" i="1" s="1"/>
  <c r="AA234" i="1"/>
  <c r="AB234" i="1"/>
  <c r="AC234" i="1"/>
  <c r="AD234" i="1"/>
  <c r="AE234" i="1"/>
  <c r="AF234" i="1"/>
  <c r="AG234" i="1"/>
  <c r="AH234" i="1"/>
  <c r="Y235" i="1"/>
  <c r="Z235" i="1" s="1"/>
  <c r="AA235" i="1"/>
  <c r="AB235" i="1"/>
  <c r="AC235" i="1"/>
  <c r="AD235" i="1"/>
  <c r="AE235" i="1"/>
  <c r="AF235" i="1"/>
  <c r="AG235" i="1"/>
  <c r="AH235" i="1"/>
  <c r="Y236" i="1"/>
  <c r="Z236" i="1" s="1"/>
  <c r="AR236" i="1" s="1"/>
  <c r="AA236" i="1"/>
  <c r="AB236" i="1"/>
  <c r="AC236" i="1"/>
  <c r="AD236" i="1"/>
  <c r="AE236" i="1"/>
  <c r="AF236" i="1"/>
  <c r="AG236" i="1"/>
  <c r="AH236" i="1"/>
  <c r="Y237" i="1"/>
  <c r="Z237" i="1"/>
  <c r="AP237" i="1" s="1"/>
  <c r="AA237" i="1"/>
  <c r="AB237" i="1"/>
  <c r="AC237" i="1"/>
  <c r="AD237" i="1"/>
  <c r="AE237" i="1"/>
  <c r="AF237" i="1"/>
  <c r="AG237" i="1"/>
  <c r="AH237" i="1"/>
  <c r="Y238" i="1"/>
  <c r="Z238" i="1" s="1"/>
  <c r="AP238" i="1" s="1"/>
  <c r="AA238" i="1"/>
  <c r="AB238" i="1"/>
  <c r="AC238" i="1"/>
  <c r="AD238" i="1"/>
  <c r="AE238" i="1"/>
  <c r="AF238" i="1"/>
  <c r="AG238" i="1"/>
  <c r="AH238" i="1"/>
  <c r="Y239" i="1"/>
  <c r="Z239" i="1"/>
  <c r="AR239" i="1" s="1"/>
  <c r="AA239" i="1"/>
  <c r="AB239" i="1"/>
  <c r="AC239" i="1"/>
  <c r="AD239" i="1"/>
  <c r="AE239" i="1"/>
  <c r="AF239" i="1"/>
  <c r="AG239" i="1"/>
  <c r="AH239" i="1"/>
  <c r="Y240" i="1"/>
  <c r="Z240" i="1" s="1"/>
  <c r="AA240" i="1"/>
  <c r="AB240" i="1"/>
  <c r="AC240" i="1"/>
  <c r="AD240" i="1"/>
  <c r="AE240" i="1"/>
  <c r="AF240" i="1"/>
  <c r="AG240" i="1"/>
  <c r="AH240" i="1"/>
  <c r="AI240" i="1"/>
  <c r="Y241" i="1"/>
  <c r="Z241" i="1" s="1"/>
  <c r="AP241" i="1" s="1"/>
  <c r="AA241" i="1"/>
  <c r="AB241" i="1"/>
  <c r="AC241" i="1"/>
  <c r="AD241" i="1"/>
  <c r="AE241" i="1"/>
  <c r="AF241" i="1"/>
  <c r="AG241" i="1"/>
  <c r="AH241" i="1"/>
  <c r="Y242" i="1"/>
  <c r="Z242" i="1"/>
  <c r="AR242" i="1" s="1"/>
  <c r="AA242" i="1"/>
  <c r="AB242" i="1"/>
  <c r="AC242" i="1"/>
  <c r="AD242" i="1"/>
  <c r="AE242" i="1"/>
  <c r="AF242" i="1"/>
  <c r="AG242" i="1"/>
  <c r="AH242" i="1"/>
  <c r="Y243" i="1"/>
  <c r="Z243" i="1" s="1"/>
  <c r="AP243" i="1" s="1"/>
  <c r="AA243" i="1"/>
  <c r="AB243" i="1"/>
  <c r="AC243" i="1"/>
  <c r="AD243" i="1"/>
  <c r="AE243" i="1"/>
  <c r="AF243" i="1"/>
  <c r="AG243" i="1"/>
  <c r="AH243" i="1"/>
  <c r="Y244" i="1"/>
  <c r="Z244" i="1" s="1"/>
  <c r="AR244" i="1" s="1"/>
  <c r="AA244" i="1"/>
  <c r="AB244" i="1"/>
  <c r="AC244" i="1"/>
  <c r="AD244" i="1"/>
  <c r="AE244" i="1"/>
  <c r="AF244" i="1"/>
  <c r="AG244" i="1"/>
  <c r="AH244" i="1"/>
  <c r="Y245" i="1"/>
  <c r="Z245" i="1" s="1"/>
  <c r="AA245" i="1"/>
  <c r="AB245" i="1"/>
  <c r="AC245" i="1"/>
  <c r="AD245" i="1"/>
  <c r="AE245" i="1"/>
  <c r="AF245" i="1"/>
  <c r="AG245" i="1"/>
  <c r="AH245" i="1"/>
  <c r="Y246" i="1"/>
  <c r="Z246" i="1" s="1"/>
  <c r="AP246" i="1" s="1"/>
  <c r="AA246" i="1"/>
  <c r="AB246" i="1"/>
  <c r="AC246" i="1"/>
  <c r="AD246" i="1"/>
  <c r="AE246" i="1"/>
  <c r="AF246" i="1"/>
  <c r="AG246" i="1"/>
  <c r="AH246" i="1"/>
  <c r="Y247" i="1"/>
  <c r="Z247" i="1"/>
  <c r="AP247" i="1" s="1"/>
  <c r="AA247" i="1"/>
  <c r="AB247" i="1"/>
  <c r="AC247" i="1"/>
  <c r="AD247" i="1"/>
  <c r="AE247" i="1"/>
  <c r="AF247" i="1"/>
  <c r="AG247" i="1"/>
  <c r="AH247" i="1"/>
  <c r="Y248" i="1"/>
  <c r="Z248" i="1" s="1"/>
  <c r="AP248" i="1" s="1"/>
  <c r="AA248" i="1"/>
  <c r="AB248" i="1"/>
  <c r="AC248" i="1"/>
  <c r="AD248" i="1"/>
  <c r="AE248" i="1"/>
  <c r="AF248" i="1"/>
  <c r="AG248" i="1"/>
  <c r="AH248" i="1"/>
  <c r="Y249" i="1"/>
  <c r="Z249" i="1" s="1"/>
  <c r="AP249" i="1" s="1"/>
  <c r="AA249" i="1"/>
  <c r="AB249" i="1"/>
  <c r="AC249" i="1"/>
  <c r="AD249" i="1"/>
  <c r="AE249" i="1"/>
  <c r="AF249" i="1"/>
  <c r="AG249" i="1"/>
  <c r="AH249" i="1"/>
  <c r="Y250" i="1"/>
  <c r="Z250" i="1" s="1"/>
  <c r="AA250" i="1"/>
  <c r="AB250" i="1"/>
  <c r="AC250" i="1"/>
  <c r="AD250" i="1"/>
  <c r="AE250" i="1"/>
  <c r="AF250" i="1"/>
  <c r="AG250" i="1"/>
  <c r="AH250" i="1"/>
  <c r="Y251" i="1"/>
  <c r="Z251" i="1" s="1"/>
  <c r="AA251" i="1"/>
  <c r="AB251" i="1"/>
  <c r="AC251" i="1"/>
  <c r="AD251" i="1"/>
  <c r="AE251" i="1"/>
  <c r="AF251" i="1"/>
  <c r="AG251" i="1"/>
  <c r="AH251" i="1"/>
  <c r="Y252" i="1"/>
  <c r="Z252" i="1" s="1"/>
  <c r="AP252" i="1" s="1"/>
  <c r="AA252" i="1"/>
  <c r="AB252" i="1"/>
  <c r="AC252" i="1"/>
  <c r="AD252" i="1"/>
  <c r="AE252" i="1"/>
  <c r="AF252" i="1"/>
  <c r="AG252" i="1"/>
  <c r="AH252" i="1"/>
  <c r="Y253" i="1"/>
  <c r="Z253" i="1" s="1"/>
  <c r="AP253" i="1" s="1"/>
  <c r="AA253" i="1"/>
  <c r="AB253" i="1"/>
  <c r="AC253" i="1"/>
  <c r="AD253" i="1"/>
  <c r="AE253" i="1"/>
  <c r="AF253" i="1"/>
  <c r="AG253" i="1"/>
  <c r="AH253" i="1"/>
  <c r="Y254" i="1"/>
  <c r="Z254" i="1" s="1"/>
  <c r="AR254" i="1" s="1"/>
  <c r="AA254" i="1"/>
  <c r="AB254" i="1"/>
  <c r="AC254" i="1"/>
  <c r="AD254" i="1"/>
  <c r="AE254" i="1"/>
  <c r="AF254" i="1"/>
  <c r="AG254" i="1"/>
  <c r="AH254" i="1"/>
  <c r="Y255" i="1"/>
  <c r="Z255" i="1"/>
  <c r="AP255" i="1" s="1"/>
  <c r="AA255" i="1"/>
  <c r="AB255" i="1"/>
  <c r="AC255" i="1"/>
  <c r="AD255" i="1"/>
  <c r="AE255" i="1"/>
  <c r="AF255" i="1"/>
  <c r="AG255" i="1"/>
  <c r="AH255" i="1"/>
  <c r="Y256" i="1"/>
  <c r="Z256" i="1" s="1"/>
  <c r="AA256" i="1"/>
  <c r="AB256" i="1"/>
  <c r="AC256" i="1"/>
  <c r="AD256" i="1"/>
  <c r="AE256" i="1"/>
  <c r="AF256" i="1"/>
  <c r="AG256" i="1"/>
  <c r="AH256" i="1"/>
  <c r="Y257" i="1"/>
  <c r="Z257" i="1"/>
  <c r="AP257" i="1" s="1"/>
  <c r="AA257" i="1"/>
  <c r="AB257" i="1"/>
  <c r="AC257" i="1"/>
  <c r="AD257" i="1"/>
  <c r="AE257" i="1"/>
  <c r="AF257" i="1"/>
  <c r="AG257" i="1"/>
  <c r="AH257" i="1"/>
  <c r="Y258" i="1"/>
  <c r="Z258" i="1"/>
  <c r="AR258" i="1" s="1"/>
  <c r="AA258" i="1"/>
  <c r="AB258" i="1"/>
  <c r="AI258" i="1" s="1"/>
  <c r="AC258" i="1"/>
  <c r="AD258" i="1"/>
  <c r="AE258" i="1"/>
  <c r="AF258" i="1"/>
  <c r="AG258" i="1"/>
  <c r="AH258" i="1"/>
  <c r="Y259" i="1"/>
  <c r="Z259" i="1" s="1"/>
  <c r="AP259" i="1" s="1"/>
  <c r="AA259" i="1"/>
  <c r="AB259" i="1"/>
  <c r="AC259" i="1"/>
  <c r="AD259" i="1"/>
  <c r="AE259" i="1"/>
  <c r="AF259" i="1"/>
  <c r="AG259" i="1"/>
  <c r="AH259" i="1"/>
  <c r="Y260" i="1"/>
  <c r="Z260" i="1" s="1"/>
  <c r="AP260" i="1" s="1"/>
  <c r="AA260" i="1"/>
  <c r="AB260" i="1"/>
  <c r="AC260" i="1"/>
  <c r="AD260" i="1"/>
  <c r="AE260" i="1"/>
  <c r="AF260" i="1"/>
  <c r="AG260" i="1"/>
  <c r="AH260" i="1"/>
  <c r="Y261" i="1"/>
  <c r="Z261" i="1" s="1"/>
  <c r="AP261" i="1" s="1"/>
  <c r="AA261" i="1"/>
  <c r="AB261" i="1"/>
  <c r="AC261" i="1"/>
  <c r="AD261" i="1"/>
  <c r="AE261" i="1"/>
  <c r="AF261" i="1"/>
  <c r="AG261" i="1"/>
  <c r="AH261" i="1"/>
  <c r="Y262" i="1"/>
  <c r="Z262" i="1" s="1"/>
  <c r="AP262" i="1" s="1"/>
  <c r="AA262" i="1"/>
  <c r="AB262" i="1"/>
  <c r="AC262" i="1"/>
  <c r="AD262" i="1"/>
  <c r="AE262" i="1"/>
  <c r="AF262" i="1"/>
  <c r="AG262" i="1"/>
  <c r="AH262" i="1"/>
  <c r="Y263" i="1"/>
  <c r="Z263" i="1" s="1"/>
  <c r="AA263" i="1"/>
  <c r="AB263" i="1"/>
  <c r="AC263" i="1"/>
  <c r="AD263" i="1"/>
  <c r="AE263" i="1"/>
  <c r="AF263" i="1"/>
  <c r="AG263" i="1"/>
  <c r="AH263" i="1"/>
  <c r="Y264" i="1"/>
  <c r="Z264" i="1" s="1"/>
  <c r="AP264" i="1" s="1"/>
  <c r="AA264" i="1"/>
  <c r="AB264" i="1"/>
  <c r="AC264" i="1"/>
  <c r="AD264" i="1"/>
  <c r="AE264" i="1"/>
  <c r="AF264" i="1"/>
  <c r="AG264" i="1"/>
  <c r="AH264" i="1"/>
  <c r="Y265" i="1"/>
  <c r="Z265" i="1"/>
  <c r="AP265" i="1" s="1"/>
  <c r="AA265" i="1"/>
  <c r="AB265" i="1"/>
  <c r="AC265" i="1"/>
  <c r="AD265" i="1"/>
  <c r="AE265" i="1"/>
  <c r="AF265" i="1"/>
  <c r="AG265" i="1"/>
  <c r="AH265" i="1"/>
  <c r="Y266" i="1"/>
  <c r="Z266" i="1" s="1"/>
  <c r="AR266" i="1" s="1"/>
  <c r="AA266" i="1"/>
  <c r="AB266" i="1"/>
  <c r="AC266" i="1"/>
  <c r="AD266" i="1"/>
  <c r="AE266" i="1"/>
  <c r="AF266" i="1"/>
  <c r="AG266" i="1"/>
  <c r="AH266" i="1"/>
  <c r="Y267" i="1"/>
  <c r="Z267" i="1" s="1"/>
  <c r="AA267" i="1"/>
  <c r="AB267" i="1"/>
  <c r="AC267" i="1"/>
  <c r="AD267" i="1"/>
  <c r="AE267" i="1"/>
  <c r="AF267" i="1"/>
  <c r="AG267" i="1"/>
  <c r="AH267" i="1"/>
  <c r="Y268" i="1"/>
  <c r="Z268" i="1" s="1"/>
  <c r="AA268" i="1"/>
  <c r="AB268" i="1"/>
  <c r="AC268" i="1"/>
  <c r="AD268" i="1"/>
  <c r="AE268" i="1"/>
  <c r="AF268" i="1"/>
  <c r="AG268" i="1"/>
  <c r="AH268" i="1"/>
  <c r="Y269" i="1"/>
  <c r="Z269" i="1" s="1"/>
  <c r="AP269" i="1" s="1"/>
  <c r="AA269" i="1"/>
  <c r="AB269" i="1"/>
  <c r="AC269" i="1"/>
  <c r="AD269" i="1"/>
  <c r="AE269" i="1"/>
  <c r="AF269" i="1"/>
  <c r="AG269" i="1"/>
  <c r="AH269" i="1"/>
  <c r="Y270" i="1"/>
  <c r="Z270" i="1" s="1"/>
  <c r="AP270" i="1" s="1"/>
  <c r="AA270" i="1"/>
  <c r="AB270" i="1"/>
  <c r="AC270" i="1"/>
  <c r="AD270" i="1"/>
  <c r="AE270" i="1"/>
  <c r="AF270" i="1"/>
  <c r="AG270" i="1"/>
  <c r="AH270" i="1"/>
  <c r="Y271" i="1"/>
  <c r="Z271" i="1" s="1"/>
  <c r="AA271" i="1"/>
  <c r="AB271" i="1"/>
  <c r="AC271" i="1"/>
  <c r="AD271" i="1"/>
  <c r="AE271" i="1"/>
  <c r="AF271" i="1"/>
  <c r="AG271" i="1"/>
  <c r="AH271" i="1"/>
  <c r="Y272" i="1"/>
  <c r="Z272" i="1"/>
  <c r="AP272" i="1" s="1"/>
  <c r="AA272" i="1"/>
  <c r="AB272" i="1"/>
  <c r="AC272" i="1"/>
  <c r="AD272" i="1"/>
  <c r="AE272" i="1"/>
  <c r="AF272" i="1"/>
  <c r="AG272" i="1"/>
  <c r="AH272" i="1"/>
  <c r="Y273" i="1"/>
  <c r="Z273" i="1" s="1"/>
  <c r="AA273" i="1"/>
  <c r="AB273" i="1"/>
  <c r="AC273" i="1"/>
  <c r="AD273" i="1"/>
  <c r="AE273" i="1"/>
  <c r="AF273" i="1"/>
  <c r="AG273" i="1"/>
  <c r="AH273" i="1"/>
  <c r="Y274" i="1"/>
  <c r="Z274" i="1" s="1"/>
  <c r="AR274" i="1" s="1"/>
  <c r="AA274" i="1"/>
  <c r="AB274" i="1"/>
  <c r="AI274" i="1" s="1"/>
  <c r="AC274" i="1"/>
  <c r="AD274" i="1"/>
  <c r="AE274" i="1"/>
  <c r="AF274" i="1"/>
  <c r="AG274" i="1"/>
  <c r="AH274" i="1"/>
  <c r="Y275" i="1"/>
  <c r="Z275" i="1" s="1"/>
  <c r="AP275" i="1" s="1"/>
  <c r="AA275" i="1"/>
  <c r="AB275" i="1"/>
  <c r="AC275" i="1"/>
  <c r="AD275" i="1"/>
  <c r="AE275" i="1"/>
  <c r="AF275" i="1"/>
  <c r="AG275" i="1"/>
  <c r="AH275" i="1"/>
  <c r="Y276" i="1"/>
  <c r="Z276" i="1"/>
  <c r="AA276" i="1"/>
  <c r="AB276" i="1"/>
  <c r="AC276" i="1"/>
  <c r="AD276" i="1"/>
  <c r="AE276" i="1"/>
  <c r="AF276" i="1"/>
  <c r="AG276" i="1"/>
  <c r="AH276" i="1"/>
  <c r="Y277" i="1"/>
  <c r="Z277" i="1" s="1"/>
  <c r="AP277" i="1" s="1"/>
  <c r="AA277" i="1"/>
  <c r="AB277" i="1"/>
  <c r="AC277" i="1"/>
  <c r="AD277" i="1"/>
  <c r="AE277" i="1"/>
  <c r="AF277" i="1"/>
  <c r="AG277" i="1"/>
  <c r="AH277" i="1"/>
  <c r="Y278" i="1"/>
  <c r="Z278" i="1" s="1"/>
  <c r="AR278" i="1" s="1"/>
  <c r="AA278" i="1"/>
  <c r="AB278" i="1"/>
  <c r="AC278" i="1"/>
  <c r="AD278" i="1"/>
  <c r="AE278" i="1"/>
  <c r="AF278" i="1"/>
  <c r="AG278" i="1"/>
  <c r="AH278" i="1"/>
  <c r="Y279" i="1"/>
  <c r="Z279" i="1" s="1"/>
  <c r="AA279" i="1"/>
  <c r="AB279" i="1"/>
  <c r="AI279" i="1" s="1"/>
  <c r="AC279" i="1"/>
  <c r="AD279" i="1"/>
  <c r="AE279" i="1"/>
  <c r="AF279" i="1"/>
  <c r="AG279" i="1"/>
  <c r="AH279" i="1"/>
  <c r="Y280" i="1"/>
  <c r="Z280" i="1" s="1"/>
  <c r="AP280" i="1" s="1"/>
  <c r="AA280" i="1"/>
  <c r="AB280" i="1"/>
  <c r="AC280" i="1"/>
  <c r="AD280" i="1"/>
  <c r="AE280" i="1"/>
  <c r="AF280" i="1"/>
  <c r="AG280" i="1"/>
  <c r="AH280" i="1"/>
  <c r="Y281" i="1"/>
  <c r="Z281" i="1"/>
  <c r="AR281" i="1" s="1"/>
  <c r="AA281" i="1"/>
  <c r="AB281" i="1"/>
  <c r="AC281" i="1"/>
  <c r="AD281" i="1"/>
  <c r="AE281" i="1"/>
  <c r="AF281" i="1"/>
  <c r="AG281" i="1"/>
  <c r="AH281" i="1"/>
  <c r="Y282" i="1"/>
  <c r="Z282" i="1"/>
  <c r="AP282" i="1" s="1"/>
  <c r="AA282" i="1"/>
  <c r="AB282" i="1"/>
  <c r="AC282" i="1"/>
  <c r="AD282" i="1"/>
  <c r="AE282" i="1"/>
  <c r="AF282" i="1"/>
  <c r="AG282" i="1"/>
  <c r="AH282" i="1"/>
  <c r="Y283" i="1"/>
  <c r="Z283" i="1" s="1"/>
  <c r="AP283" i="1" s="1"/>
  <c r="AA283" i="1"/>
  <c r="AB283" i="1"/>
  <c r="AC283" i="1"/>
  <c r="AD283" i="1"/>
  <c r="AE283" i="1"/>
  <c r="AF283" i="1"/>
  <c r="AG283" i="1"/>
  <c r="AH283" i="1"/>
  <c r="Y284" i="1"/>
  <c r="Z284" i="1" s="1"/>
  <c r="AA284" i="1"/>
  <c r="AB284" i="1"/>
  <c r="AC284" i="1"/>
  <c r="AD284" i="1"/>
  <c r="AE284" i="1"/>
  <c r="AF284" i="1"/>
  <c r="AG284" i="1"/>
  <c r="AH284" i="1"/>
  <c r="Y285" i="1"/>
  <c r="Z285" i="1"/>
  <c r="AP285" i="1" s="1"/>
  <c r="AA285" i="1"/>
  <c r="AB285" i="1"/>
  <c r="AC285" i="1"/>
  <c r="AD285" i="1"/>
  <c r="AE285" i="1"/>
  <c r="AF285" i="1"/>
  <c r="AG285" i="1"/>
  <c r="AH285" i="1"/>
  <c r="Y286" i="1"/>
  <c r="Z286" i="1" s="1"/>
  <c r="AP286" i="1" s="1"/>
  <c r="AA286" i="1"/>
  <c r="AB286" i="1"/>
  <c r="AC286" i="1"/>
  <c r="AD286" i="1"/>
  <c r="AE286" i="1"/>
  <c r="AF286" i="1"/>
  <c r="AG286" i="1"/>
  <c r="AH286" i="1"/>
  <c r="Y287" i="1"/>
  <c r="Z287" i="1" s="1"/>
  <c r="AP287" i="1" s="1"/>
  <c r="AA287" i="1"/>
  <c r="AB287" i="1"/>
  <c r="AJ287" i="1" s="1"/>
  <c r="AC287" i="1"/>
  <c r="AD287" i="1"/>
  <c r="AE287" i="1"/>
  <c r="AF287" i="1"/>
  <c r="AG287" i="1"/>
  <c r="AH287" i="1"/>
  <c r="AI287" i="1"/>
  <c r="Y288" i="1"/>
  <c r="Z288" i="1" s="1"/>
  <c r="AA288" i="1"/>
  <c r="AB288" i="1"/>
  <c r="AC288" i="1"/>
  <c r="AD288" i="1"/>
  <c r="AE288" i="1"/>
  <c r="AF288" i="1"/>
  <c r="AG288" i="1"/>
  <c r="AH288" i="1"/>
  <c r="Y289" i="1"/>
  <c r="Z289" i="1" s="1"/>
  <c r="AR289" i="1" s="1"/>
  <c r="AA289" i="1"/>
  <c r="AB289" i="1"/>
  <c r="AC289" i="1"/>
  <c r="AD289" i="1"/>
  <c r="AE289" i="1"/>
  <c r="AF289" i="1"/>
  <c r="AG289" i="1"/>
  <c r="AH289" i="1"/>
  <c r="Y290" i="1"/>
  <c r="Z290" i="1"/>
  <c r="AA290" i="1"/>
  <c r="AB290" i="1"/>
  <c r="AC290" i="1"/>
  <c r="AD290" i="1"/>
  <c r="AE290" i="1"/>
  <c r="AF290" i="1"/>
  <c r="AG290" i="1"/>
  <c r="AH290" i="1"/>
  <c r="Y291" i="1"/>
  <c r="Z291" i="1" s="1"/>
  <c r="AP291" i="1" s="1"/>
  <c r="AA291" i="1"/>
  <c r="AB291" i="1"/>
  <c r="AC291" i="1"/>
  <c r="AD291" i="1"/>
  <c r="AE291" i="1"/>
  <c r="AF291" i="1"/>
  <c r="AG291" i="1"/>
  <c r="AH291" i="1"/>
  <c r="Y292" i="1"/>
  <c r="Z292" i="1" s="1"/>
  <c r="AR292" i="1" s="1"/>
  <c r="AA292" i="1"/>
  <c r="AB292" i="1"/>
  <c r="AJ292" i="1" s="1"/>
  <c r="AC292" i="1"/>
  <c r="AD292" i="1"/>
  <c r="AE292" i="1"/>
  <c r="AF292" i="1"/>
  <c r="AG292" i="1"/>
  <c r="AH292" i="1"/>
  <c r="AI292" i="1"/>
  <c r="Y293" i="1"/>
  <c r="Z293" i="1" s="1"/>
  <c r="AP293" i="1" s="1"/>
  <c r="AA293" i="1"/>
  <c r="AB293" i="1"/>
  <c r="AC293" i="1"/>
  <c r="AD293" i="1"/>
  <c r="AE293" i="1"/>
  <c r="AF293" i="1"/>
  <c r="AG293" i="1"/>
  <c r="AH293" i="1"/>
  <c r="Y294" i="1"/>
  <c r="Z294" i="1" s="1"/>
  <c r="AP294" i="1" s="1"/>
  <c r="AA294" i="1"/>
  <c r="AB294" i="1"/>
  <c r="AC294" i="1"/>
  <c r="AD294" i="1"/>
  <c r="AE294" i="1"/>
  <c r="AF294" i="1"/>
  <c r="AG294" i="1"/>
  <c r="AH294" i="1"/>
  <c r="AI294" i="1"/>
  <c r="Y295" i="1"/>
  <c r="Z295" i="1"/>
  <c r="AA295" i="1"/>
  <c r="AB295" i="1"/>
  <c r="AI295" i="1" s="1"/>
  <c r="AC295" i="1"/>
  <c r="AD295" i="1"/>
  <c r="AE295" i="1"/>
  <c r="AF295" i="1"/>
  <c r="AG295" i="1"/>
  <c r="AH295" i="1"/>
  <c r="Y296" i="1"/>
  <c r="Z296" i="1"/>
  <c r="AP296" i="1" s="1"/>
  <c r="AA296" i="1"/>
  <c r="AB296" i="1"/>
  <c r="AC296" i="1"/>
  <c r="AD296" i="1"/>
  <c r="AE296" i="1"/>
  <c r="AF296" i="1"/>
  <c r="AG296" i="1"/>
  <c r="AH296" i="1"/>
  <c r="Y297" i="1"/>
  <c r="Z297" i="1" s="1"/>
  <c r="AA297" i="1"/>
  <c r="AB297" i="1"/>
  <c r="AC297" i="1"/>
  <c r="AD297" i="1"/>
  <c r="AE297" i="1"/>
  <c r="AF297" i="1"/>
  <c r="AG297" i="1"/>
  <c r="AH297" i="1"/>
  <c r="Y298" i="1"/>
  <c r="Z298" i="1" s="1"/>
  <c r="AA298" i="1"/>
  <c r="AB298" i="1"/>
  <c r="AC298" i="1"/>
  <c r="AD298" i="1"/>
  <c r="AE298" i="1"/>
  <c r="AF298" i="1"/>
  <c r="AG298" i="1"/>
  <c r="AH298" i="1"/>
  <c r="Y299" i="1"/>
  <c r="Z299" i="1" s="1"/>
  <c r="AP299" i="1" s="1"/>
  <c r="AA299" i="1"/>
  <c r="AB299" i="1"/>
  <c r="AC299" i="1"/>
  <c r="AD299" i="1"/>
  <c r="AE299" i="1"/>
  <c r="AF299" i="1"/>
  <c r="AG299" i="1"/>
  <c r="AH299" i="1"/>
  <c r="Y300" i="1"/>
  <c r="Z300" i="1" s="1"/>
  <c r="AR300" i="1" s="1"/>
  <c r="AA300" i="1"/>
  <c r="AB300" i="1"/>
  <c r="AC300" i="1"/>
  <c r="AD300" i="1"/>
  <c r="AE300" i="1"/>
  <c r="AF300" i="1"/>
  <c r="AG300" i="1"/>
  <c r="AH300" i="1"/>
  <c r="Y301" i="1"/>
  <c r="Z301" i="1" s="1"/>
  <c r="AA301" i="1"/>
  <c r="AB301" i="1"/>
  <c r="AC301" i="1"/>
  <c r="AD301" i="1"/>
  <c r="AE301" i="1"/>
  <c r="AF301" i="1"/>
  <c r="AG301" i="1"/>
  <c r="AH301" i="1"/>
  <c r="Y302" i="1"/>
  <c r="Z302" i="1" s="1"/>
  <c r="AA302" i="1"/>
  <c r="AB302" i="1"/>
  <c r="AC302" i="1"/>
  <c r="AD302" i="1"/>
  <c r="AE302" i="1"/>
  <c r="AF302" i="1"/>
  <c r="AG302" i="1"/>
  <c r="AH302" i="1"/>
  <c r="Y303" i="1"/>
  <c r="Z303" i="1" s="1"/>
  <c r="AP303" i="1" s="1"/>
  <c r="AA303" i="1"/>
  <c r="AB303" i="1"/>
  <c r="AC303" i="1"/>
  <c r="AD303" i="1"/>
  <c r="AE303" i="1"/>
  <c r="AF303" i="1"/>
  <c r="AG303" i="1"/>
  <c r="AH303" i="1"/>
  <c r="Y304" i="1"/>
  <c r="Z304" i="1"/>
  <c r="AR304" i="1" s="1"/>
  <c r="AA304" i="1"/>
  <c r="AB304" i="1"/>
  <c r="AC304" i="1"/>
  <c r="AD304" i="1"/>
  <c r="AE304" i="1"/>
  <c r="AF304" i="1"/>
  <c r="AG304" i="1"/>
  <c r="AH304" i="1"/>
  <c r="Y305" i="1"/>
  <c r="Z305" i="1" s="1"/>
  <c r="AA305" i="1"/>
  <c r="AB305" i="1"/>
  <c r="AC305" i="1"/>
  <c r="AD305" i="1"/>
  <c r="AE305" i="1"/>
  <c r="AF305" i="1"/>
  <c r="AG305" i="1"/>
  <c r="AH305" i="1"/>
  <c r="Y306" i="1"/>
  <c r="Z306" i="1" s="1"/>
  <c r="AA306" i="1"/>
  <c r="AB306" i="1"/>
  <c r="AI306" i="1" s="1"/>
  <c r="AC306" i="1"/>
  <c r="AD306" i="1"/>
  <c r="AE306" i="1"/>
  <c r="AF306" i="1"/>
  <c r="AG306" i="1"/>
  <c r="AH306" i="1"/>
  <c r="Y307" i="1"/>
  <c r="Z307" i="1" s="1"/>
  <c r="AA307" i="1"/>
  <c r="AB307" i="1"/>
  <c r="AC307" i="1"/>
  <c r="AD307" i="1"/>
  <c r="AE307" i="1"/>
  <c r="AF307" i="1"/>
  <c r="AG307" i="1"/>
  <c r="AH307" i="1"/>
  <c r="Y308" i="1"/>
  <c r="Z308" i="1" s="1"/>
  <c r="AR308" i="1" s="1"/>
  <c r="AA308" i="1"/>
  <c r="AB308" i="1"/>
  <c r="AC308" i="1"/>
  <c r="AD308" i="1"/>
  <c r="AE308" i="1"/>
  <c r="AF308" i="1"/>
  <c r="AG308" i="1"/>
  <c r="AH308" i="1"/>
  <c r="Y309" i="1"/>
  <c r="Z309" i="1"/>
  <c r="AP309" i="1" s="1"/>
  <c r="AA309" i="1"/>
  <c r="AB309" i="1"/>
  <c r="AC309" i="1"/>
  <c r="AD309" i="1"/>
  <c r="AE309" i="1"/>
  <c r="AF309" i="1"/>
  <c r="AG309" i="1"/>
  <c r="AH309" i="1"/>
  <c r="Y310" i="1"/>
  <c r="Z310" i="1"/>
  <c r="AR310" i="1" s="1"/>
  <c r="AA310" i="1"/>
  <c r="AB310" i="1"/>
  <c r="AC310" i="1"/>
  <c r="AD310" i="1"/>
  <c r="AE310" i="1"/>
  <c r="AF310" i="1"/>
  <c r="AG310" i="1"/>
  <c r="AH310" i="1"/>
  <c r="Y311" i="1"/>
  <c r="Z311" i="1" s="1"/>
  <c r="AA311" i="1"/>
  <c r="AB311" i="1"/>
  <c r="AI311" i="1" s="1"/>
  <c r="AC311" i="1"/>
  <c r="AD311" i="1"/>
  <c r="AE311" i="1"/>
  <c r="AF311" i="1"/>
  <c r="AG311" i="1"/>
  <c r="AH311" i="1"/>
  <c r="Y312" i="1"/>
  <c r="Z312" i="1"/>
  <c r="AA312" i="1"/>
  <c r="AB312" i="1"/>
  <c r="AC312" i="1"/>
  <c r="AD312" i="1"/>
  <c r="AE312" i="1"/>
  <c r="AF312" i="1"/>
  <c r="AG312" i="1"/>
  <c r="AH312" i="1"/>
  <c r="Y313" i="1"/>
  <c r="Z313" i="1" s="1"/>
  <c r="AA313" i="1"/>
  <c r="AB313" i="1"/>
  <c r="AC313" i="1"/>
  <c r="AD313" i="1"/>
  <c r="AE313" i="1"/>
  <c r="AF313" i="1"/>
  <c r="AG313" i="1"/>
  <c r="AH313" i="1"/>
  <c r="Y314" i="1"/>
  <c r="Z314" i="1"/>
  <c r="AR314" i="1" s="1"/>
  <c r="AA314" i="1"/>
  <c r="AB314" i="1"/>
  <c r="AC314" i="1"/>
  <c r="AD314" i="1"/>
  <c r="AE314" i="1"/>
  <c r="AF314" i="1"/>
  <c r="AG314" i="1"/>
  <c r="AH314" i="1"/>
  <c r="Y315" i="1"/>
  <c r="Z315" i="1" s="1"/>
  <c r="AP315" i="1" s="1"/>
  <c r="AA315" i="1"/>
  <c r="AB315" i="1"/>
  <c r="AC315" i="1"/>
  <c r="AD315" i="1"/>
  <c r="AE315" i="1"/>
  <c r="AF315" i="1"/>
  <c r="AG315" i="1"/>
  <c r="AH315" i="1"/>
  <c r="Y316" i="1"/>
  <c r="Z316" i="1"/>
  <c r="AR316" i="1" s="1"/>
  <c r="AA316" i="1"/>
  <c r="AB316" i="1"/>
  <c r="AI316" i="1" s="1"/>
  <c r="AC316" i="1"/>
  <c r="AD316" i="1"/>
  <c r="AE316" i="1"/>
  <c r="AF316" i="1"/>
  <c r="AG316" i="1"/>
  <c r="AH316" i="1"/>
  <c r="Y317" i="1"/>
  <c r="Z317" i="1"/>
  <c r="AA317" i="1"/>
  <c r="AB317" i="1"/>
  <c r="AC317" i="1"/>
  <c r="AD317" i="1"/>
  <c r="AE317" i="1"/>
  <c r="AF317" i="1"/>
  <c r="AG317" i="1"/>
  <c r="AH317" i="1"/>
  <c r="Y318" i="1"/>
  <c r="Z318" i="1" s="1"/>
  <c r="AA318" i="1"/>
  <c r="AB318" i="1"/>
  <c r="AC318" i="1"/>
  <c r="AD318" i="1"/>
  <c r="AE318" i="1"/>
  <c r="AF318" i="1"/>
  <c r="AG318" i="1"/>
  <c r="AH318" i="1"/>
  <c r="Y319" i="1"/>
  <c r="Z319" i="1" s="1"/>
  <c r="AA319" i="1"/>
  <c r="AB319" i="1"/>
  <c r="AC319" i="1"/>
  <c r="AD319" i="1"/>
  <c r="AE319" i="1"/>
  <c r="AF319" i="1"/>
  <c r="AG319" i="1"/>
  <c r="AH319" i="1"/>
  <c r="AI319" i="1"/>
  <c r="Y320" i="1"/>
  <c r="Z320" i="1"/>
  <c r="AP320" i="1" s="1"/>
  <c r="AA320" i="1"/>
  <c r="AB320" i="1"/>
  <c r="AC320" i="1"/>
  <c r="AD320" i="1"/>
  <c r="AE320" i="1"/>
  <c r="AF320" i="1"/>
  <c r="AG320" i="1"/>
  <c r="AH320" i="1"/>
  <c r="Y321" i="1"/>
  <c r="Z321" i="1" s="1"/>
  <c r="AA321" i="1"/>
  <c r="AB321" i="1"/>
  <c r="AC321" i="1"/>
  <c r="AD321" i="1"/>
  <c r="AE321" i="1"/>
  <c r="AF321" i="1"/>
  <c r="AG321" i="1"/>
  <c r="AH321" i="1"/>
  <c r="Y322" i="1"/>
  <c r="Z322" i="1" s="1"/>
  <c r="AR322" i="1" s="1"/>
  <c r="AA322" i="1"/>
  <c r="AB322" i="1"/>
  <c r="AC322" i="1"/>
  <c r="AD322" i="1"/>
  <c r="AE322" i="1"/>
  <c r="AF322" i="1"/>
  <c r="AG322" i="1"/>
  <c r="AH322" i="1"/>
  <c r="Y323" i="1"/>
  <c r="Z323" i="1"/>
  <c r="AA323" i="1"/>
  <c r="AB323" i="1"/>
  <c r="AC323" i="1"/>
  <c r="AD323" i="1"/>
  <c r="AE323" i="1"/>
  <c r="AF323" i="1"/>
  <c r="AG323" i="1"/>
  <c r="AH323" i="1"/>
  <c r="Y324" i="1"/>
  <c r="Z324" i="1" s="1"/>
  <c r="AA324" i="1"/>
  <c r="AB324" i="1"/>
  <c r="AC324" i="1"/>
  <c r="AD324" i="1"/>
  <c r="AE324" i="1"/>
  <c r="AF324" i="1"/>
  <c r="AG324" i="1"/>
  <c r="AH324" i="1"/>
  <c r="Y325" i="1"/>
  <c r="Z325" i="1" s="1"/>
  <c r="AR325" i="1" s="1"/>
  <c r="AA325" i="1"/>
  <c r="AB325" i="1"/>
  <c r="AC325" i="1"/>
  <c r="AD325" i="1"/>
  <c r="AE325" i="1"/>
  <c r="AF325" i="1"/>
  <c r="AG325" i="1"/>
  <c r="AH325" i="1"/>
  <c r="Y326" i="1"/>
  <c r="Z326" i="1" s="1"/>
  <c r="AR326" i="1" s="1"/>
  <c r="AA326" i="1"/>
  <c r="AB326" i="1"/>
  <c r="AC326" i="1"/>
  <c r="AD326" i="1"/>
  <c r="AE326" i="1"/>
  <c r="AF326" i="1"/>
  <c r="AG326" i="1"/>
  <c r="AH326" i="1"/>
  <c r="Y327" i="1"/>
  <c r="Z327" i="1" s="1"/>
  <c r="AR327" i="1" s="1"/>
  <c r="AA327" i="1"/>
  <c r="AB327" i="1"/>
  <c r="AC327" i="1"/>
  <c r="AD327" i="1"/>
  <c r="AE327" i="1"/>
  <c r="AF327" i="1"/>
  <c r="AG327" i="1"/>
  <c r="AH327" i="1"/>
  <c r="Y328" i="1"/>
  <c r="Z328" i="1"/>
  <c r="AR328" i="1" s="1"/>
  <c r="AA328" i="1"/>
  <c r="AB328" i="1"/>
  <c r="AC328" i="1"/>
  <c r="AD328" i="1"/>
  <c r="AE328" i="1"/>
  <c r="AF328" i="1"/>
  <c r="AG328" i="1"/>
  <c r="AH328" i="1"/>
  <c r="Y329" i="1"/>
  <c r="Z329" i="1" s="1"/>
  <c r="AP329" i="1" s="1"/>
  <c r="AA329" i="1"/>
  <c r="AB329" i="1"/>
  <c r="AC329" i="1"/>
  <c r="AD329" i="1"/>
  <c r="AE329" i="1"/>
  <c r="AF329" i="1"/>
  <c r="AG329" i="1"/>
  <c r="AH329" i="1"/>
  <c r="Y330" i="1"/>
  <c r="Z330" i="1"/>
  <c r="AP330" i="1" s="1"/>
  <c r="AA330" i="1"/>
  <c r="AB330" i="1"/>
  <c r="AC330" i="1"/>
  <c r="AD330" i="1"/>
  <c r="AE330" i="1"/>
  <c r="AF330" i="1"/>
  <c r="AG330" i="1"/>
  <c r="AH330" i="1"/>
  <c r="AI330" i="1"/>
  <c r="AJ330" i="1"/>
  <c r="Y331" i="1"/>
  <c r="Z331" i="1" s="1"/>
  <c r="AR331" i="1" s="1"/>
  <c r="AA331" i="1"/>
  <c r="AB331" i="1"/>
  <c r="AI331" i="1" s="1"/>
  <c r="AC331" i="1"/>
  <c r="AD331" i="1"/>
  <c r="AE331" i="1"/>
  <c r="AF331" i="1"/>
  <c r="AG331" i="1"/>
  <c r="AH331" i="1"/>
  <c r="Y332" i="1"/>
  <c r="Z332" i="1" s="1"/>
  <c r="AP332" i="1" s="1"/>
  <c r="AA332" i="1"/>
  <c r="AB332" i="1"/>
  <c r="AC332" i="1"/>
  <c r="AD332" i="1"/>
  <c r="AE332" i="1"/>
  <c r="AF332" i="1"/>
  <c r="AG332" i="1"/>
  <c r="AH332" i="1"/>
  <c r="Y333" i="1"/>
  <c r="Z333" i="1"/>
  <c r="AP333" i="1" s="1"/>
  <c r="AA333" i="1"/>
  <c r="AB333" i="1"/>
  <c r="AC333" i="1"/>
  <c r="AD333" i="1"/>
  <c r="AE333" i="1"/>
  <c r="AF333" i="1"/>
  <c r="AG333" i="1"/>
  <c r="AH333" i="1"/>
  <c r="Y334" i="1"/>
  <c r="Z334" i="1" s="1"/>
  <c r="AP334" i="1" s="1"/>
  <c r="AA334" i="1"/>
  <c r="AB334" i="1"/>
  <c r="AI334" i="1" s="1"/>
  <c r="AC334" i="1"/>
  <c r="AD334" i="1"/>
  <c r="AE334" i="1"/>
  <c r="AF334" i="1"/>
  <c r="AG334" i="1"/>
  <c r="AH334" i="1"/>
  <c r="Y335" i="1"/>
  <c r="Z335" i="1"/>
  <c r="AR335" i="1" s="1"/>
  <c r="AA335" i="1"/>
  <c r="AB335" i="1"/>
  <c r="AC335" i="1"/>
  <c r="AD335" i="1"/>
  <c r="AE335" i="1"/>
  <c r="AF335" i="1"/>
  <c r="AG335" i="1"/>
  <c r="AH335" i="1"/>
  <c r="Y336" i="1"/>
  <c r="Z336" i="1"/>
  <c r="AP336" i="1" s="1"/>
  <c r="AA336" i="1"/>
  <c r="AB336" i="1"/>
  <c r="AC336" i="1"/>
  <c r="AD336" i="1"/>
  <c r="AE336" i="1"/>
  <c r="AF336" i="1"/>
  <c r="AG336" i="1"/>
  <c r="AH336" i="1"/>
  <c r="Y337" i="1"/>
  <c r="Z337" i="1" s="1"/>
  <c r="AA337" i="1"/>
  <c r="AB337" i="1"/>
  <c r="AC337" i="1"/>
  <c r="AD337" i="1"/>
  <c r="AE337" i="1"/>
  <c r="AF337" i="1"/>
  <c r="AG337" i="1"/>
  <c r="AH337" i="1"/>
  <c r="Y338" i="1"/>
  <c r="Z338" i="1"/>
  <c r="AA338" i="1"/>
  <c r="AB338" i="1"/>
  <c r="AC338" i="1"/>
  <c r="AD338" i="1"/>
  <c r="AE338" i="1"/>
  <c r="AF338" i="1"/>
  <c r="AG338" i="1"/>
  <c r="AH338" i="1"/>
  <c r="Y339" i="1"/>
  <c r="Z339" i="1" s="1"/>
  <c r="AR339" i="1" s="1"/>
  <c r="AA339" i="1"/>
  <c r="AB339" i="1"/>
  <c r="AC339" i="1"/>
  <c r="AD339" i="1"/>
  <c r="AE339" i="1"/>
  <c r="AF339" i="1"/>
  <c r="AG339" i="1"/>
  <c r="AH339" i="1"/>
  <c r="Y340" i="1"/>
  <c r="Z340" i="1" s="1"/>
  <c r="AA340" i="1"/>
  <c r="AB340" i="1"/>
  <c r="AC340" i="1"/>
  <c r="AD340" i="1"/>
  <c r="AE340" i="1"/>
  <c r="AF340" i="1"/>
  <c r="AG340" i="1"/>
  <c r="AH340" i="1"/>
  <c r="Y341" i="1"/>
  <c r="Z341" i="1"/>
  <c r="AP341" i="1" s="1"/>
  <c r="AA341" i="1"/>
  <c r="AB341" i="1"/>
  <c r="AC341" i="1"/>
  <c r="AD341" i="1"/>
  <c r="AE341" i="1"/>
  <c r="AF341" i="1"/>
  <c r="AG341" i="1"/>
  <c r="AH341" i="1"/>
  <c r="Y342" i="1"/>
  <c r="Z342" i="1" s="1"/>
  <c r="AA342" i="1"/>
  <c r="AB342" i="1"/>
  <c r="AC342" i="1"/>
  <c r="AD342" i="1"/>
  <c r="AE342" i="1"/>
  <c r="AF342" i="1"/>
  <c r="AG342" i="1"/>
  <c r="AH342" i="1"/>
  <c r="AI342" i="1"/>
  <c r="AJ342" i="1"/>
  <c r="Y343" i="1"/>
  <c r="Z343" i="1" s="1"/>
  <c r="AP343" i="1" s="1"/>
  <c r="AA343" i="1"/>
  <c r="AB343" i="1"/>
  <c r="AC343" i="1"/>
  <c r="AD343" i="1"/>
  <c r="AE343" i="1"/>
  <c r="AF343" i="1"/>
  <c r="AG343" i="1"/>
  <c r="AH343" i="1"/>
  <c r="Y344" i="1"/>
  <c r="Z344" i="1"/>
  <c r="AP344" i="1" s="1"/>
  <c r="AA344" i="1"/>
  <c r="AB344" i="1"/>
  <c r="AC344" i="1"/>
  <c r="AD344" i="1"/>
  <c r="AE344" i="1"/>
  <c r="AF344" i="1"/>
  <c r="AG344" i="1"/>
  <c r="AH344" i="1"/>
  <c r="Y345" i="1"/>
  <c r="Z345" i="1"/>
  <c r="AP345" i="1" s="1"/>
  <c r="AA345" i="1"/>
  <c r="AB345" i="1"/>
  <c r="AC345" i="1"/>
  <c r="AD345" i="1"/>
  <c r="AE345" i="1"/>
  <c r="AF345" i="1"/>
  <c r="AG345" i="1"/>
  <c r="AH345" i="1"/>
  <c r="Y346" i="1"/>
  <c r="Z346" i="1"/>
  <c r="AP346" i="1" s="1"/>
  <c r="AA346" i="1"/>
  <c r="AB346" i="1"/>
  <c r="AC346" i="1"/>
  <c r="AD346" i="1"/>
  <c r="AE346" i="1"/>
  <c r="AF346" i="1"/>
  <c r="AG346" i="1"/>
  <c r="AH346" i="1"/>
  <c r="Y347" i="1"/>
  <c r="Z347" i="1" s="1"/>
  <c r="AP347" i="1" s="1"/>
  <c r="AA347" i="1"/>
  <c r="AB347" i="1"/>
  <c r="AC347" i="1"/>
  <c r="AD347" i="1"/>
  <c r="AE347" i="1"/>
  <c r="AF347" i="1"/>
  <c r="AG347" i="1"/>
  <c r="AH347" i="1"/>
  <c r="AI347" i="1"/>
  <c r="Y348" i="1"/>
  <c r="Z348" i="1" s="1"/>
  <c r="AP348" i="1" s="1"/>
  <c r="AA348" i="1"/>
  <c r="AB348" i="1"/>
  <c r="AC348" i="1"/>
  <c r="AD348" i="1"/>
  <c r="AE348" i="1"/>
  <c r="AF348" i="1"/>
  <c r="AG348" i="1"/>
  <c r="AH348" i="1"/>
  <c r="AI348" i="1"/>
  <c r="AJ348" i="1"/>
  <c r="Y349" i="1"/>
  <c r="Z349" i="1"/>
  <c r="AP349" i="1" s="1"/>
  <c r="AA349" i="1"/>
  <c r="AB349" i="1"/>
  <c r="AC349" i="1"/>
  <c r="AD349" i="1"/>
  <c r="AE349" i="1"/>
  <c r="AF349" i="1"/>
  <c r="AG349" i="1"/>
  <c r="AH349" i="1"/>
  <c r="Y350" i="1"/>
  <c r="Z350" i="1" s="1"/>
  <c r="AR350" i="1" s="1"/>
  <c r="AA350" i="1"/>
  <c r="AB350" i="1"/>
  <c r="AC350" i="1"/>
  <c r="AD350" i="1"/>
  <c r="AE350" i="1"/>
  <c r="AF350" i="1"/>
  <c r="AG350" i="1"/>
  <c r="AH350" i="1"/>
  <c r="Y351" i="1"/>
  <c r="Z351" i="1"/>
  <c r="AA351" i="1"/>
  <c r="AB351" i="1"/>
  <c r="AC351" i="1"/>
  <c r="AD351" i="1"/>
  <c r="AE351" i="1"/>
  <c r="AF351" i="1"/>
  <c r="AG351" i="1"/>
  <c r="AH351" i="1"/>
  <c r="Y352" i="1"/>
  <c r="Z352" i="1"/>
  <c r="AR352" i="1" s="1"/>
  <c r="AA352" i="1"/>
  <c r="AB352" i="1"/>
  <c r="AC352" i="1"/>
  <c r="AD352" i="1"/>
  <c r="AE352" i="1"/>
  <c r="AF352" i="1"/>
  <c r="AG352" i="1"/>
  <c r="AH352" i="1"/>
  <c r="Y353" i="1"/>
  <c r="Z353" i="1" s="1"/>
  <c r="AP353" i="1" s="1"/>
  <c r="AA353" i="1"/>
  <c r="AB353" i="1"/>
  <c r="AC353" i="1"/>
  <c r="AD353" i="1"/>
  <c r="AE353" i="1"/>
  <c r="AF353" i="1"/>
  <c r="AG353" i="1"/>
  <c r="AH353" i="1"/>
  <c r="AI353" i="1"/>
  <c r="Y354" i="1"/>
  <c r="Z354" i="1" s="1"/>
  <c r="AR354" i="1" s="1"/>
  <c r="AA354" i="1"/>
  <c r="AB354" i="1"/>
  <c r="AC354" i="1"/>
  <c r="AD354" i="1"/>
  <c r="AE354" i="1"/>
  <c r="AF354" i="1"/>
  <c r="AG354" i="1"/>
  <c r="AH354" i="1"/>
  <c r="Y355" i="1"/>
  <c r="Z355" i="1" s="1"/>
  <c r="AP355" i="1" s="1"/>
  <c r="AA355" i="1"/>
  <c r="AB355" i="1"/>
  <c r="AC355" i="1"/>
  <c r="AD355" i="1"/>
  <c r="AE355" i="1"/>
  <c r="AF355" i="1"/>
  <c r="AG355" i="1"/>
  <c r="AH355" i="1"/>
  <c r="Y356" i="1"/>
  <c r="Z356" i="1" s="1"/>
  <c r="AR356" i="1" s="1"/>
  <c r="AA356" i="1"/>
  <c r="AB356" i="1"/>
  <c r="AC356" i="1"/>
  <c r="AD356" i="1"/>
  <c r="AE356" i="1"/>
  <c r="AF356" i="1"/>
  <c r="AG356" i="1"/>
  <c r="AH356" i="1"/>
  <c r="Y357" i="1"/>
  <c r="Z357" i="1"/>
  <c r="AA357" i="1"/>
  <c r="AB357" i="1"/>
  <c r="AC357" i="1"/>
  <c r="AD357" i="1"/>
  <c r="AE357" i="1"/>
  <c r="AF357" i="1"/>
  <c r="AG357" i="1"/>
  <c r="AH357" i="1"/>
  <c r="Y358" i="1"/>
  <c r="Z358" i="1"/>
  <c r="AP358" i="1" s="1"/>
  <c r="AA358" i="1"/>
  <c r="AB358" i="1"/>
  <c r="AC358" i="1"/>
  <c r="AD358" i="1"/>
  <c r="AE358" i="1"/>
  <c r="AF358" i="1"/>
  <c r="AG358" i="1"/>
  <c r="AH358" i="1"/>
  <c r="Y359" i="1"/>
  <c r="Z359" i="1" s="1"/>
  <c r="AR359" i="1" s="1"/>
  <c r="AA359" i="1"/>
  <c r="AB359" i="1"/>
  <c r="AC359" i="1"/>
  <c r="AD359" i="1"/>
  <c r="AE359" i="1"/>
  <c r="AF359" i="1"/>
  <c r="AG359" i="1"/>
  <c r="AH359" i="1"/>
  <c r="AI359" i="1"/>
  <c r="Y360" i="1"/>
  <c r="Z360" i="1"/>
  <c r="AR360" i="1" s="1"/>
  <c r="AA360" i="1"/>
  <c r="AB360" i="1"/>
  <c r="AC360" i="1"/>
  <c r="AD360" i="1"/>
  <c r="AE360" i="1"/>
  <c r="AF360" i="1"/>
  <c r="AG360" i="1"/>
  <c r="AH360" i="1"/>
  <c r="AI360" i="1"/>
  <c r="Y361" i="1"/>
  <c r="Z361" i="1"/>
  <c r="AP361" i="1" s="1"/>
  <c r="AA361" i="1"/>
  <c r="AB361" i="1"/>
  <c r="AC361" i="1"/>
  <c r="AD361" i="1"/>
  <c r="AE361" i="1"/>
  <c r="AF361" i="1"/>
  <c r="AG361" i="1"/>
  <c r="AH361" i="1"/>
  <c r="AI361" i="1"/>
  <c r="Y362" i="1"/>
  <c r="Z362" i="1" s="1"/>
  <c r="AA362" i="1"/>
  <c r="AB362" i="1"/>
  <c r="AJ362" i="1" s="1"/>
  <c r="AC362" i="1"/>
  <c r="AD362" i="1"/>
  <c r="AE362" i="1"/>
  <c r="AF362" i="1"/>
  <c r="AG362" i="1"/>
  <c r="AH362" i="1"/>
  <c r="AI362" i="1"/>
  <c r="Y363" i="1"/>
  <c r="Z363" i="1" s="1"/>
  <c r="AR363" i="1" s="1"/>
  <c r="AA363" i="1"/>
  <c r="AB363" i="1"/>
  <c r="AC363" i="1"/>
  <c r="AD363" i="1"/>
  <c r="AE363" i="1"/>
  <c r="AF363" i="1"/>
  <c r="AG363" i="1"/>
  <c r="AH363" i="1"/>
  <c r="AI363" i="1"/>
  <c r="Y364" i="1"/>
  <c r="Z364" i="1" s="1"/>
  <c r="AP364" i="1" s="1"/>
  <c r="AA364" i="1"/>
  <c r="AB364" i="1"/>
  <c r="AC364" i="1"/>
  <c r="AD364" i="1"/>
  <c r="AE364" i="1"/>
  <c r="AF364" i="1"/>
  <c r="AG364" i="1"/>
  <c r="AH364" i="1"/>
  <c r="AI364" i="1"/>
  <c r="Y365" i="1"/>
  <c r="Z365" i="1" s="1"/>
  <c r="AP365" i="1" s="1"/>
  <c r="AA365" i="1"/>
  <c r="AB365" i="1"/>
  <c r="AC365" i="1"/>
  <c r="AD365" i="1"/>
  <c r="AE365" i="1"/>
  <c r="AF365" i="1"/>
  <c r="AG365" i="1"/>
  <c r="AH365" i="1"/>
  <c r="AI365" i="1"/>
  <c r="Y366" i="1"/>
  <c r="Z366" i="1" s="1"/>
  <c r="AP366" i="1" s="1"/>
  <c r="AA366" i="1"/>
  <c r="AB366" i="1"/>
  <c r="AC366" i="1"/>
  <c r="AD366" i="1"/>
  <c r="AE366" i="1"/>
  <c r="AF366" i="1"/>
  <c r="AG366" i="1"/>
  <c r="AH366" i="1"/>
  <c r="AI366" i="1"/>
  <c r="Y367" i="1"/>
  <c r="Z367" i="1" s="1"/>
  <c r="AR367" i="1" s="1"/>
  <c r="AA367" i="1"/>
  <c r="AB367" i="1"/>
  <c r="AC367" i="1"/>
  <c r="AD367" i="1"/>
  <c r="AE367" i="1"/>
  <c r="AF367" i="1"/>
  <c r="AG367" i="1"/>
  <c r="AH367" i="1"/>
  <c r="AI367" i="1"/>
  <c r="Y368" i="1"/>
  <c r="Z368" i="1" s="1"/>
  <c r="AP368" i="1" s="1"/>
  <c r="AA368" i="1"/>
  <c r="AB368" i="1"/>
  <c r="AJ368" i="1" s="1"/>
  <c r="AC368" i="1"/>
  <c r="AD368" i="1"/>
  <c r="AE368" i="1"/>
  <c r="AF368" i="1"/>
  <c r="AG368" i="1"/>
  <c r="AH368" i="1"/>
  <c r="AI368" i="1"/>
  <c r="Y369" i="1"/>
  <c r="Z369" i="1"/>
  <c r="AP369" i="1" s="1"/>
  <c r="AA369" i="1"/>
  <c r="AB369" i="1"/>
  <c r="AJ369" i="1" s="1"/>
  <c r="AC369" i="1"/>
  <c r="AD369" i="1"/>
  <c r="AE369" i="1"/>
  <c r="AF369" i="1"/>
  <c r="AG369" i="1"/>
  <c r="AH369" i="1"/>
  <c r="AI369" i="1"/>
  <c r="Y370" i="1"/>
  <c r="Z370" i="1"/>
  <c r="AA370" i="1"/>
  <c r="AB370" i="1"/>
  <c r="AC370" i="1"/>
  <c r="AD370" i="1"/>
  <c r="AE370" i="1"/>
  <c r="AF370" i="1"/>
  <c r="AG370" i="1"/>
  <c r="AH370" i="1"/>
  <c r="AI370" i="1"/>
  <c r="Y371" i="1"/>
  <c r="Z371" i="1" s="1"/>
  <c r="AP371" i="1" s="1"/>
  <c r="AA371" i="1"/>
  <c r="AB371" i="1"/>
  <c r="AC371" i="1"/>
  <c r="AD371" i="1"/>
  <c r="AE371" i="1"/>
  <c r="AF371" i="1"/>
  <c r="AG371" i="1"/>
  <c r="AH371" i="1"/>
  <c r="AI371" i="1"/>
  <c r="Y372" i="1"/>
  <c r="Z372" i="1"/>
  <c r="AP372" i="1" s="1"/>
  <c r="AA372" i="1"/>
  <c r="AB372" i="1"/>
  <c r="AC372" i="1"/>
  <c r="AD372" i="1"/>
  <c r="AE372" i="1"/>
  <c r="AF372" i="1"/>
  <c r="AG372" i="1"/>
  <c r="AH372" i="1"/>
  <c r="AI372" i="1"/>
  <c r="Y373" i="1"/>
  <c r="Z373" i="1"/>
  <c r="AA373" i="1"/>
  <c r="AB373" i="1"/>
  <c r="AC373" i="1"/>
  <c r="AD373" i="1"/>
  <c r="AE373" i="1"/>
  <c r="AF373" i="1"/>
  <c r="AG373" i="1"/>
  <c r="AH373" i="1"/>
  <c r="AI373" i="1"/>
  <c r="Y374" i="1"/>
  <c r="Z374" i="1" s="1"/>
  <c r="AA374" i="1"/>
  <c r="AB374" i="1"/>
  <c r="AC374" i="1"/>
  <c r="AD374" i="1"/>
  <c r="AE374" i="1"/>
  <c r="AF374" i="1"/>
  <c r="AG374" i="1"/>
  <c r="AH374" i="1"/>
  <c r="AI374" i="1"/>
  <c r="Y375" i="1"/>
  <c r="Z375" i="1" s="1"/>
  <c r="AP375" i="1" s="1"/>
  <c r="AA375" i="1"/>
  <c r="AB375" i="1"/>
  <c r="AC375" i="1"/>
  <c r="AD375" i="1"/>
  <c r="AE375" i="1"/>
  <c r="AF375" i="1"/>
  <c r="AG375" i="1"/>
  <c r="AH375" i="1"/>
  <c r="AI375" i="1"/>
  <c r="Y376" i="1"/>
  <c r="Z376" i="1" s="1"/>
  <c r="AA376" i="1"/>
  <c r="AB376" i="1"/>
  <c r="AC376" i="1"/>
  <c r="AD376" i="1"/>
  <c r="AE376" i="1"/>
  <c r="AF376" i="1"/>
  <c r="AG376" i="1"/>
  <c r="AH376" i="1"/>
  <c r="AI376" i="1"/>
  <c r="Y377" i="1"/>
  <c r="Z377" i="1" s="1"/>
  <c r="AA377" i="1"/>
  <c r="AB377" i="1"/>
  <c r="AC377" i="1"/>
  <c r="AD377" i="1"/>
  <c r="AE377" i="1"/>
  <c r="AF377" i="1"/>
  <c r="AG377" i="1"/>
  <c r="AH377" i="1"/>
  <c r="AI377" i="1"/>
  <c r="Y378" i="1"/>
  <c r="Z378" i="1" s="1"/>
  <c r="AA378" i="1"/>
  <c r="AB378" i="1"/>
  <c r="AC378" i="1"/>
  <c r="AD378" i="1"/>
  <c r="AE378" i="1"/>
  <c r="AF378" i="1"/>
  <c r="AG378" i="1"/>
  <c r="AH378" i="1"/>
  <c r="AI378" i="1"/>
  <c r="AJ378" i="1"/>
  <c r="Y379" i="1"/>
  <c r="Z379" i="1" s="1"/>
  <c r="AP379" i="1" s="1"/>
  <c r="AA379" i="1"/>
  <c r="AB379" i="1"/>
  <c r="AJ379" i="1" s="1"/>
  <c r="AK379" i="1" s="1"/>
  <c r="AL379" i="1" s="1"/>
  <c r="AM379" i="1" s="1"/>
  <c r="AC379" i="1"/>
  <c r="AD379" i="1"/>
  <c r="AE379" i="1"/>
  <c r="AF379" i="1"/>
  <c r="AG379" i="1"/>
  <c r="AH379" i="1"/>
  <c r="AI379" i="1"/>
  <c r="Y380" i="1"/>
  <c r="Z380" i="1" s="1"/>
  <c r="AA380" i="1"/>
  <c r="AB380" i="1"/>
  <c r="AC380" i="1"/>
  <c r="AD380" i="1"/>
  <c r="AE380" i="1"/>
  <c r="AF380" i="1"/>
  <c r="AG380" i="1"/>
  <c r="AH380" i="1"/>
  <c r="AI380" i="1"/>
  <c r="Y381" i="1"/>
  <c r="Z381" i="1" s="1"/>
  <c r="AP381" i="1" s="1"/>
  <c r="AA381" i="1"/>
  <c r="AB381" i="1"/>
  <c r="AC381" i="1"/>
  <c r="AD381" i="1"/>
  <c r="AE381" i="1"/>
  <c r="AF381" i="1"/>
  <c r="AG381" i="1"/>
  <c r="AH381" i="1"/>
  <c r="AI381" i="1"/>
  <c r="Y382" i="1"/>
  <c r="Z382" i="1" s="1"/>
  <c r="AR382" i="1" s="1"/>
  <c r="AA382" i="1"/>
  <c r="AB382" i="1"/>
  <c r="AC382" i="1"/>
  <c r="AD382" i="1"/>
  <c r="AE382" i="1"/>
  <c r="AF382" i="1"/>
  <c r="AG382" i="1"/>
  <c r="AH382" i="1"/>
  <c r="AI382" i="1"/>
  <c r="Y383" i="1"/>
  <c r="Z383" i="1"/>
  <c r="AP383" i="1" s="1"/>
  <c r="AA383" i="1"/>
  <c r="AB383" i="1"/>
  <c r="AC383" i="1"/>
  <c r="AD383" i="1"/>
  <c r="AE383" i="1"/>
  <c r="AF383" i="1"/>
  <c r="AG383" i="1"/>
  <c r="AH383" i="1"/>
  <c r="AI383" i="1"/>
  <c r="Y384" i="1"/>
  <c r="Z384" i="1" s="1"/>
  <c r="AA384" i="1"/>
  <c r="AB384" i="1"/>
  <c r="AC384" i="1"/>
  <c r="AD384" i="1"/>
  <c r="AE384" i="1"/>
  <c r="AF384" i="1"/>
  <c r="AG384" i="1"/>
  <c r="AH384" i="1"/>
  <c r="Y385" i="1"/>
  <c r="Z385" i="1" s="1"/>
  <c r="AA385" i="1"/>
  <c r="AB385" i="1"/>
  <c r="AC385" i="1"/>
  <c r="AD385" i="1"/>
  <c r="AE385" i="1"/>
  <c r="AF385" i="1"/>
  <c r="AG385" i="1"/>
  <c r="AH385" i="1"/>
  <c r="AI385" i="1"/>
  <c r="Y386" i="1"/>
  <c r="Z386" i="1"/>
  <c r="AR386" i="1" s="1"/>
  <c r="AA386" i="1"/>
  <c r="AB386" i="1"/>
  <c r="AC386" i="1"/>
  <c r="AD386" i="1"/>
  <c r="AE386" i="1"/>
  <c r="AF386" i="1"/>
  <c r="AG386" i="1"/>
  <c r="AH386" i="1"/>
  <c r="AI386" i="1"/>
  <c r="Y387" i="1"/>
  <c r="Z387" i="1" s="1"/>
  <c r="AA387" i="1"/>
  <c r="AB387" i="1"/>
  <c r="AC387" i="1"/>
  <c r="AD387" i="1"/>
  <c r="AE387" i="1"/>
  <c r="AF387" i="1"/>
  <c r="AG387" i="1"/>
  <c r="AH387" i="1"/>
  <c r="AI387" i="1"/>
  <c r="Y388" i="1"/>
  <c r="Z388" i="1" s="1"/>
  <c r="AP388" i="1" s="1"/>
  <c r="AA388" i="1"/>
  <c r="AB388" i="1"/>
  <c r="AC388" i="1"/>
  <c r="AD388" i="1"/>
  <c r="AE388" i="1"/>
  <c r="AF388" i="1"/>
  <c r="AG388" i="1"/>
  <c r="AH388" i="1"/>
  <c r="AI388" i="1"/>
  <c r="Y389" i="1"/>
  <c r="Z389" i="1"/>
  <c r="AP389" i="1" s="1"/>
  <c r="AA389" i="1"/>
  <c r="AB389" i="1"/>
  <c r="AC389" i="1"/>
  <c r="AD389" i="1"/>
  <c r="AE389" i="1"/>
  <c r="AF389" i="1"/>
  <c r="AG389" i="1"/>
  <c r="AH389" i="1"/>
  <c r="AI389" i="1"/>
  <c r="Y390" i="1"/>
  <c r="Z390" i="1" s="1"/>
  <c r="AA390" i="1"/>
  <c r="AB390" i="1"/>
  <c r="AC390" i="1"/>
  <c r="AD390" i="1"/>
  <c r="AE390" i="1"/>
  <c r="AF390" i="1"/>
  <c r="AG390" i="1"/>
  <c r="AH390" i="1"/>
  <c r="AI390" i="1"/>
  <c r="Y391" i="1"/>
  <c r="Z391" i="1"/>
  <c r="AR391" i="1" s="1"/>
  <c r="AA391" i="1"/>
  <c r="AB391" i="1"/>
  <c r="AC391" i="1"/>
  <c r="AD391" i="1"/>
  <c r="AE391" i="1"/>
  <c r="AF391" i="1"/>
  <c r="AG391" i="1"/>
  <c r="AH391" i="1"/>
  <c r="AI391" i="1"/>
  <c r="Y392" i="1"/>
  <c r="Z392" i="1" s="1"/>
  <c r="AP392" i="1" s="1"/>
  <c r="AA392" i="1"/>
  <c r="AB392" i="1"/>
  <c r="AC392" i="1"/>
  <c r="AD392" i="1"/>
  <c r="AE392" i="1"/>
  <c r="AF392" i="1"/>
  <c r="AG392" i="1"/>
  <c r="AH392" i="1"/>
  <c r="AI392" i="1"/>
  <c r="Y393" i="1"/>
  <c r="Z393" i="1" s="1"/>
  <c r="AA393" i="1"/>
  <c r="AB393" i="1"/>
  <c r="AC393" i="1"/>
  <c r="AD393" i="1"/>
  <c r="AE393" i="1"/>
  <c r="AF393" i="1"/>
  <c r="AG393" i="1"/>
  <c r="AH393" i="1"/>
  <c r="AI393" i="1"/>
  <c r="Y394" i="1"/>
  <c r="Z394" i="1" s="1"/>
  <c r="AA394" i="1"/>
  <c r="AB394" i="1"/>
  <c r="AC394" i="1"/>
  <c r="AD394" i="1"/>
  <c r="AE394" i="1"/>
  <c r="AF394" i="1"/>
  <c r="AG394" i="1"/>
  <c r="AH394" i="1"/>
  <c r="AI394" i="1"/>
  <c r="Y395" i="1"/>
  <c r="Z395" i="1" s="1"/>
  <c r="AP395" i="1" s="1"/>
  <c r="AA395" i="1"/>
  <c r="AB395" i="1"/>
  <c r="AC395" i="1"/>
  <c r="AD395" i="1"/>
  <c r="AE395" i="1"/>
  <c r="AF395" i="1"/>
  <c r="AG395" i="1"/>
  <c r="AH395" i="1"/>
  <c r="AI395" i="1"/>
  <c r="Y396" i="1"/>
  <c r="Z396" i="1" s="1"/>
  <c r="AP396" i="1" s="1"/>
  <c r="AA396" i="1"/>
  <c r="AB396" i="1"/>
  <c r="AC396" i="1"/>
  <c r="AD396" i="1"/>
  <c r="AE396" i="1"/>
  <c r="AF396" i="1"/>
  <c r="AG396" i="1"/>
  <c r="AH396" i="1"/>
  <c r="AI396" i="1"/>
  <c r="Y397" i="1"/>
  <c r="Z397" i="1" s="1"/>
  <c r="AA397" i="1"/>
  <c r="AB397" i="1"/>
  <c r="AJ397" i="1" s="1"/>
  <c r="AC397" i="1"/>
  <c r="AD397" i="1"/>
  <c r="AE397" i="1"/>
  <c r="AF397" i="1"/>
  <c r="AG397" i="1"/>
  <c r="AH397" i="1"/>
  <c r="AI397" i="1"/>
  <c r="Y398" i="1"/>
  <c r="Z398" i="1" s="1"/>
  <c r="AR398" i="1" s="1"/>
  <c r="AA398" i="1"/>
  <c r="AB398" i="1"/>
  <c r="AC398" i="1"/>
  <c r="AD398" i="1"/>
  <c r="AE398" i="1"/>
  <c r="AF398" i="1"/>
  <c r="AG398" i="1"/>
  <c r="AH398" i="1"/>
  <c r="AI398" i="1"/>
  <c r="Y399" i="1"/>
  <c r="Z399" i="1"/>
  <c r="AP399" i="1" s="1"/>
  <c r="AA399" i="1"/>
  <c r="AB399" i="1"/>
  <c r="AC399" i="1"/>
  <c r="AD399" i="1"/>
  <c r="AE399" i="1"/>
  <c r="AF399" i="1"/>
  <c r="AG399" i="1"/>
  <c r="AH399" i="1"/>
  <c r="AI399" i="1"/>
  <c r="Y400" i="1"/>
  <c r="Z400" i="1" s="1"/>
  <c r="AA400" i="1"/>
  <c r="AB400" i="1"/>
  <c r="AC400" i="1"/>
  <c r="AD400" i="1"/>
  <c r="AE400" i="1"/>
  <c r="AF400" i="1"/>
  <c r="AG400" i="1"/>
  <c r="AH400" i="1"/>
  <c r="AI400" i="1"/>
  <c r="Y401" i="1"/>
  <c r="Z401" i="1" s="1"/>
  <c r="AA401" i="1"/>
  <c r="AB401" i="1"/>
  <c r="AC401" i="1"/>
  <c r="AD401" i="1"/>
  <c r="AE401" i="1"/>
  <c r="AF401" i="1"/>
  <c r="AG401" i="1"/>
  <c r="AH401" i="1"/>
  <c r="AI401" i="1"/>
  <c r="Y402" i="1"/>
  <c r="Z402" i="1" s="1"/>
  <c r="AR402" i="1" s="1"/>
  <c r="AA402" i="1"/>
  <c r="AB402" i="1"/>
  <c r="AC402" i="1"/>
  <c r="AD402" i="1"/>
  <c r="AE402" i="1"/>
  <c r="AF402" i="1"/>
  <c r="AG402" i="1"/>
  <c r="AH402" i="1"/>
  <c r="AI402" i="1"/>
  <c r="Y403" i="1"/>
  <c r="Z403" i="1" s="1"/>
  <c r="AP403" i="1" s="1"/>
  <c r="AA403" i="1"/>
  <c r="AB403" i="1"/>
  <c r="AC403" i="1"/>
  <c r="AD403" i="1"/>
  <c r="AE403" i="1"/>
  <c r="AF403" i="1"/>
  <c r="AG403" i="1"/>
  <c r="AH403" i="1"/>
  <c r="AI403" i="1"/>
  <c r="Y404" i="1"/>
  <c r="Z404" i="1"/>
  <c r="AP404" i="1" s="1"/>
  <c r="AA404" i="1"/>
  <c r="AB404" i="1"/>
  <c r="AC404" i="1"/>
  <c r="AD404" i="1"/>
  <c r="AE404" i="1"/>
  <c r="AF404" i="1"/>
  <c r="AG404" i="1"/>
  <c r="AH404" i="1"/>
  <c r="AI404" i="1"/>
  <c r="Y405" i="1"/>
  <c r="Z405" i="1"/>
  <c r="AR405" i="1" s="1"/>
  <c r="AA405" i="1"/>
  <c r="AB405" i="1"/>
  <c r="AC405" i="1"/>
  <c r="AD405" i="1"/>
  <c r="AE405" i="1"/>
  <c r="AF405" i="1"/>
  <c r="AG405" i="1"/>
  <c r="AH405" i="1"/>
  <c r="AI405" i="1"/>
  <c r="Y406" i="1"/>
  <c r="Z406" i="1" s="1"/>
  <c r="AR406" i="1" s="1"/>
  <c r="AA406" i="1"/>
  <c r="AB406" i="1"/>
  <c r="AJ406" i="1" s="1"/>
  <c r="AC406" i="1"/>
  <c r="AD406" i="1"/>
  <c r="AE406" i="1"/>
  <c r="AF406" i="1"/>
  <c r="AG406" i="1"/>
  <c r="AH406" i="1"/>
  <c r="AI406" i="1"/>
  <c r="Y407" i="1"/>
  <c r="Z407" i="1"/>
  <c r="AP407" i="1" s="1"/>
  <c r="AA407" i="1"/>
  <c r="AB407" i="1"/>
  <c r="AC407" i="1"/>
  <c r="AD407" i="1"/>
  <c r="AE407" i="1"/>
  <c r="AF407" i="1"/>
  <c r="AG407" i="1"/>
  <c r="AH407" i="1"/>
  <c r="AI407" i="1"/>
  <c r="Y408" i="1"/>
  <c r="Z408" i="1"/>
  <c r="AP408" i="1" s="1"/>
  <c r="AA408" i="1"/>
  <c r="AB408" i="1"/>
  <c r="AC408" i="1"/>
  <c r="AD408" i="1"/>
  <c r="AE408" i="1"/>
  <c r="AF408" i="1"/>
  <c r="AG408" i="1"/>
  <c r="AH408" i="1"/>
  <c r="AI408" i="1"/>
  <c r="Y409" i="1"/>
  <c r="Z409" i="1" s="1"/>
  <c r="AA409" i="1"/>
  <c r="AB409" i="1"/>
  <c r="AC409" i="1"/>
  <c r="AD409" i="1"/>
  <c r="AE409" i="1"/>
  <c r="AF409" i="1"/>
  <c r="AG409" i="1"/>
  <c r="AH409" i="1"/>
  <c r="AI409" i="1"/>
  <c r="Y410" i="1"/>
  <c r="Z410" i="1" s="1"/>
  <c r="AP410" i="1" s="1"/>
  <c r="AA410" i="1"/>
  <c r="AB410" i="1"/>
  <c r="AC410" i="1"/>
  <c r="AD410" i="1"/>
  <c r="AE410" i="1"/>
  <c r="AF410" i="1"/>
  <c r="AG410" i="1"/>
  <c r="AH410" i="1"/>
  <c r="AI410" i="1"/>
  <c r="Y411" i="1"/>
  <c r="Z411" i="1" s="1"/>
  <c r="AP411" i="1" s="1"/>
  <c r="AA411" i="1"/>
  <c r="AB411" i="1"/>
  <c r="AC411" i="1"/>
  <c r="AD411" i="1"/>
  <c r="AE411" i="1"/>
  <c r="AF411" i="1"/>
  <c r="AG411" i="1"/>
  <c r="AH411" i="1"/>
  <c r="AI411" i="1"/>
  <c r="Y412" i="1"/>
  <c r="Z412" i="1" s="1"/>
  <c r="AA412" i="1"/>
  <c r="AB412" i="1"/>
  <c r="AJ412" i="1" s="1"/>
  <c r="AC412" i="1"/>
  <c r="AD412" i="1"/>
  <c r="AE412" i="1"/>
  <c r="AF412" i="1"/>
  <c r="AG412" i="1"/>
  <c r="AH412" i="1"/>
  <c r="AI412" i="1"/>
  <c r="Y413" i="1"/>
  <c r="Z413" i="1" s="1"/>
  <c r="AP413" i="1" s="1"/>
  <c r="AA413" i="1"/>
  <c r="AB413" i="1"/>
  <c r="AC413" i="1"/>
  <c r="AD413" i="1"/>
  <c r="AE413" i="1"/>
  <c r="AF413" i="1"/>
  <c r="AG413" i="1"/>
  <c r="AH413" i="1"/>
  <c r="AI413" i="1"/>
  <c r="Y414" i="1"/>
  <c r="Z414" i="1"/>
  <c r="AP414" i="1" s="1"/>
  <c r="AA414" i="1"/>
  <c r="AB414" i="1"/>
  <c r="AC414" i="1"/>
  <c r="AD414" i="1"/>
  <c r="AE414" i="1"/>
  <c r="AF414" i="1"/>
  <c r="AG414" i="1"/>
  <c r="AH414" i="1"/>
  <c r="AI414" i="1"/>
  <c r="Y415" i="1"/>
  <c r="Z415" i="1" s="1"/>
  <c r="AR415" i="1" s="1"/>
  <c r="AA415" i="1"/>
  <c r="AB415" i="1"/>
  <c r="AC415" i="1"/>
  <c r="AD415" i="1"/>
  <c r="AE415" i="1"/>
  <c r="AF415" i="1"/>
  <c r="AG415" i="1"/>
  <c r="AH415" i="1"/>
  <c r="AI415" i="1"/>
  <c r="Y416" i="1"/>
  <c r="Z416" i="1" s="1"/>
  <c r="AA416" i="1"/>
  <c r="AB416" i="1"/>
  <c r="AC416" i="1"/>
  <c r="AD416" i="1"/>
  <c r="AE416" i="1"/>
  <c r="AF416" i="1"/>
  <c r="AG416" i="1"/>
  <c r="AH416" i="1"/>
  <c r="AI416" i="1"/>
  <c r="Y417" i="1"/>
  <c r="Z417" i="1" s="1"/>
  <c r="AP417" i="1" s="1"/>
  <c r="AA417" i="1"/>
  <c r="AB417" i="1"/>
  <c r="AC417" i="1"/>
  <c r="AD417" i="1"/>
  <c r="AE417" i="1"/>
  <c r="AF417" i="1"/>
  <c r="AG417" i="1"/>
  <c r="AH417" i="1"/>
  <c r="AI417" i="1"/>
  <c r="Y418" i="1"/>
  <c r="Z418" i="1"/>
  <c r="AA418" i="1"/>
  <c r="AB418" i="1"/>
  <c r="AC418" i="1"/>
  <c r="AD418" i="1"/>
  <c r="AE418" i="1"/>
  <c r="AF418" i="1"/>
  <c r="AG418" i="1"/>
  <c r="AH418" i="1"/>
  <c r="AI418" i="1"/>
  <c r="Y419" i="1"/>
  <c r="Z419" i="1" s="1"/>
  <c r="AR419" i="1" s="1"/>
  <c r="AA419" i="1"/>
  <c r="AB419" i="1"/>
  <c r="AJ419" i="1" s="1"/>
  <c r="AC419" i="1"/>
  <c r="AD419" i="1"/>
  <c r="AE419" i="1"/>
  <c r="AF419" i="1"/>
  <c r="AG419" i="1"/>
  <c r="AH419" i="1"/>
  <c r="AI419" i="1"/>
  <c r="Y420" i="1"/>
  <c r="Z420" i="1" s="1"/>
  <c r="AA420" i="1"/>
  <c r="AB420" i="1"/>
  <c r="AC420" i="1"/>
  <c r="AD420" i="1"/>
  <c r="AE420" i="1"/>
  <c r="AF420" i="1"/>
  <c r="AG420" i="1"/>
  <c r="AH420" i="1"/>
  <c r="AI420" i="1"/>
  <c r="Y421" i="1"/>
  <c r="Z421" i="1" s="1"/>
  <c r="AA421" i="1"/>
  <c r="AB421" i="1"/>
  <c r="AC421" i="1"/>
  <c r="AD421" i="1"/>
  <c r="AE421" i="1"/>
  <c r="AF421" i="1"/>
  <c r="AG421" i="1"/>
  <c r="AH421" i="1"/>
  <c r="AI421" i="1"/>
  <c r="Y422" i="1"/>
  <c r="Z422" i="1" s="1"/>
  <c r="AA422" i="1"/>
  <c r="AB422" i="1"/>
  <c r="AC422" i="1"/>
  <c r="AD422" i="1"/>
  <c r="AE422" i="1"/>
  <c r="AF422" i="1"/>
  <c r="AG422" i="1"/>
  <c r="AH422" i="1"/>
  <c r="AI422" i="1"/>
  <c r="Y423" i="1"/>
  <c r="Z423" i="1" s="1"/>
  <c r="AA423" i="1"/>
  <c r="AB423" i="1"/>
  <c r="AJ423" i="1" s="1"/>
  <c r="AC423" i="1"/>
  <c r="AD423" i="1"/>
  <c r="AE423" i="1"/>
  <c r="AF423" i="1"/>
  <c r="AG423" i="1"/>
  <c r="AH423" i="1"/>
  <c r="AI423" i="1"/>
  <c r="Y424" i="1"/>
  <c r="Z424" i="1" s="1"/>
  <c r="AP424" i="1" s="1"/>
  <c r="AA424" i="1"/>
  <c r="AB424" i="1"/>
  <c r="AC424" i="1"/>
  <c r="AD424" i="1"/>
  <c r="AE424" i="1"/>
  <c r="AF424" i="1"/>
  <c r="AG424" i="1"/>
  <c r="AH424" i="1"/>
  <c r="AI424" i="1"/>
  <c r="Y425" i="1"/>
  <c r="Z425" i="1" s="1"/>
  <c r="AP425" i="1" s="1"/>
  <c r="AA425" i="1"/>
  <c r="AB425" i="1"/>
  <c r="AC425" i="1"/>
  <c r="AD425" i="1"/>
  <c r="AE425" i="1"/>
  <c r="AF425" i="1"/>
  <c r="AG425" i="1"/>
  <c r="AH425" i="1"/>
  <c r="AI425" i="1"/>
  <c r="Y426" i="1"/>
  <c r="Z426" i="1" s="1"/>
  <c r="AP426" i="1" s="1"/>
  <c r="AA426" i="1"/>
  <c r="AB426" i="1"/>
  <c r="AC426" i="1"/>
  <c r="AD426" i="1"/>
  <c r="AE426" i="1"/>
  <c r="AF426" i="1"/>
  <c r="AG426" i="1"/>
  <c r="AH426" i="1"/>
  <c r="AI426" i="1"/>
  <c r="AJ426" i="1"/>
  <c r="Y427" i="1"/>
  <c r="Z427" i="1" s="1"/>
  <c r="AR427" i="1" s="1"/>
  <c r="AA427" i="1"/>
  <c r="AB427" i="1"/>
  <c r="AC427" i="1"/>
  <c r="AD427" i="1"/>
  <c r="AE427" i="1"/>
  <c r="AF427" i="1"/>
  <c r="AG427" i="1"/>
  <c r="AH427" i="1"/>
  <c r="AI427" i="1"/>
  <c r="Y428" i="1"/>
  <c r="Z428" i="1"/>
  <c r="AA428" i="1"/>
  <c r="AB428" i="1"/>
  <c r="AC428" i="1"/>
  <c r="AD428" i="1"/>
  <c r="AE428" i="1"/>
  <c r="AF428" i="1"/>
  <c r="AG428" i="1"/>
  <c r="AH428" i="1"/>
  <c r="AI428" i="1"/>
  <c r="Y429" i="1"/>
  <c r="Z429" i="1"/>
  <c r="AA429" i="1"/>
  <c r="AB429" i="1"/>
  <c r="AC429" i="1"/>
  <c r="AD429" i="1"/>
  <c r="AE429" i="1"/>
  <c r="AF429" i="1"/>
  <c r="AG429" i="1"/>
  <c r="AH429" i="1"/>
  <c r="AI429" i="1"/>
  <c r="Y430" i="1"/>
  <c r="Z430" i="1" s="1"/>
  <c r="AP430" i="1" s="1"/>
  <c r="AA430" i="1"/>
  <c r="AB430" i="1"/>
  <c r="AC430" i="1"/>
  <c r="AD430" i="1"/>
  <c r="AE430" i="1"/>
  <c r="AF430" i="1"/>
  <c r="AG430" i="1"/>
  <c r="AH430" i="1"/>
  <c r="AI430" i="1"/>
  <c r="Y431" i="1"/>
  <c r="Z431" i="1"/>
  <c r="AP431" i="1" s="1"/>
  <c r="AA431" i="1"/>
  <c r="AB431" i="1"/>
  <c r="AC431" i="1"/>
  <c r="AD431" i="1"/>
  <c r="AE431" i="1"/>
  <c r="AF431" i="1"/>
  <c r="AG431" i="1"/>
  <c r="AH431" i="1"/>
  <c r="AI431" i="1"/>
  <c r="Y432" i="1"/>
  <c r="Z432" i="1" s="1"/>
  <c r="AR432" i="1" s="1"/>
  <c r="AA432" i="1"/>
  <c r="AB432" i="1"/>
  <c r="AC432" i="1"/>
  <c r="AD432" i="1"/>
  <c r="AE432" i="1"/>
  <c r="AF432" i="1"/>
  <c r="AG432" i="1"/>
  <c r="AH432" i="1"/>
  <c r="AI432" i="1"/>
  <c r="Y433" i="1"/>
  <c r="Z433" i="1" s="1"/>
  <c r="AP433" i="1" s="1"/>
  <c r="AA433" i="1"/>
  <c r="AB433" i="1"/>
  <c r="AC433" i="1"/>
  <c r="AD433" i="1"/>
  <c r="AE433" i="1"/>
  <c r="AF433" i="1"/>
  <c r="AG433" i="1"/>
  <c r="AH433" i="1"/>
  <c r="AI433" i="1"/>
  <c r="Y434" i="1"/>
  <c r="Z434" i="1"/>
  <c r="AA434" i="1"/>
  <c r="AB434" i="1"/>
  <c r="AC434" i="1"/>
  <c r="AD434" i="1"/>
  <c r="AE434" i="1"/>
  <c r="AF434" i="1"/>
  <c r="AG434" i="1"/>
  <c r="AH434" i="1"/>
  <c r="AI434" i="1"/>
  <c r="Y435" i="1"/>
  <c r="Z435" i="1" s="1"/>
  <c r="AA435" i="1"/>
  <c r="AB435" i="1"/>
  <c r="AC435" i="1"/>
  <c r="AD435" i="1"/>
  <c r="AE435" i="1"/>
  <c r="AF435" i="1"/>
  <c r="AG435" i="1"/>
  <c r="AH435" i="1"/>
  <c r="AI435" i="1"/>
  <c r="Y436" i="1"/>
  <c r="Z436" i="1" s="1"/>
  <c r="AP436" i="1" s="1"/>
  <c r="AA436" i="1"/>
  <c r="AB436" i="1"/>
  <c r="AC436" i="1"/>
  <c r="AD436" i="1"/>
  <c r="AE436" i="1"/>
  <c r="AF436" i="1"/>
  <c r="AG436" i="1"/>
  <c r="AH436" i="1"/>
  <c r="AI436" i="1"/>
  <c r="Y437" i="1"/>
  <c r="Z437" i="1" s="1"/>
  <c r="AP437" i="1" s="1"/>
  <c r="AA437" i="1"/>
  <c r="AB437" i="1"/>
  <c r="AC437" i="1"/>
  <c r="AD437" i="1"/>
  <c r="AE437" i="1"/>
  <c r="AF437" i="1"/>
  <c r="AG437" i="1"/>
  <c r="AH437" i="1"/>
  <c r="AI437" i="1"/>
  <c r="Y438" i="1"/>
  <c r="Z438" i="1" s="1"/>
  <c r="AR438" i="1" s="1"/>
  <c r="AA438" i="1"/>
  <c r="AB438" i="1"/>
  <c r="AC438" i="1"/>
  <c r="AD438" i="1"/>
  <c r="AE438" i="1"/>
  <c r="AF438" i="1"/>
  <c r="AG438" i="1"/>
  <c r="AH438" i="1"/>
  <c r="AI438" i="1"/>
  <c r="Y439" i="1"/>
  <c r="Z439" i="1" s="1"/>
  <c r="AP439" i="1" s="1"/>
  <c r="AA439" i="1"/>
  <c r="AB439" i="1"/>
  <c r="AC439" i="1"/>
  <c r="AD439" i="1"/>
  <c r="AE439" i="1"/>
  <c r="AF439" i="1"/>
  <c r="AG439" i="1"/>
  <c r="AH439" i="1"/>
  <c r="AI439" i="1"/>
  <c r="AJ439" i="1"/>
  <c r="AK439" i="1" s="1"/>
  <c r="AL439" i="1" s="1"/>
  <c r="AM439" i="1" s="1"/>
  <c r="Y440" i="1"/>
  <c r="Z440" i="1" s="1"/>
  <c r="AA440" i="1"/>
  <c r="AB440" i="1"/>
  <c r="AC440" i="1"/>
  <c r="AD440" i="1"/>
  <c r="AE440" i="1"/>
  <c r="AF440" i="1"/>
  <c r="AG440" i="1"/>
  <c r="AH440" i="1"/>
  <c r="AI440" i="1"/>
  <c r="Y441" i="1"/>
  <c r="Z441" i="1" s="1"/>
  <c r="AA441" i="1"/>
  <c r="AB441" i="1"/>
  <c r="AC441" i="1"/>
  <c r="AD441" i="1"/>
  <c r="AE441" i="1"/>
  <c r="AF441" i="1"/>
  <c r="AG441" i="1"/>
  <c r="AH441" i="1"/>
  <c r="AI441" i="1"/>
  <c r="Y442" i="1"/>
  <c r="Z442" i="1" s="1"/>
  <c r="AR442" i="1" s="1"/>
  <c r="AA442" i="1"/>
  <c r="AB442" i="1"/>
  <c r="AC442" i="1"/>
  <c r="AD442" i="1"/>
  <c r="AE442" i="1"/>
  <c r="AF442" i="1"/>
  <c r="AG442" i="1"/>
  <c r="AH442" i="1"/>
  <c r="AI442" i="1"/>
  <c r="Y443" i="1"/>
  <c r="Z443" i="1" s="1"/>
  <c r="AP443" i="1" s="1"/>
  <c r="AA443" i="1"/>
  <c r="AB443" i="1"/>
  <c r="AC443" i="1"/>
  <c r="AD443" i="1"/>
  <c r="AE443" i="1"/>
  <c r="AF443" i="1"/>
  <c r="AG443" i="1"/>
  <c r="AH443" i="1"/>
  <c r="AI443" i="1"/>
  <c r="Y444" i="1"/>
  <c r="Z444" i="1"/>
  <c r="AP444" i="1" s="1"/>
  <c r="AA444" i="1"/>
  <c r="AB444" i="1"/>
  <c r="AC444" i="1"/>
  <c r="AD444" i="1"/>
  <c r="AE444" i="1"/>
  <c r="AF444" i="1"/>
  <c r="AG444" i="1"/>
  <c r="AH444" i="1"/>
  <c r="AI444" i="1"/>
  <c r="Y445" i="1"/>
  <c r="Z445" i="1" s="1"/>
  <c r="AP445" i="1" s="1"/>
  <c r="AA445" i="1"/>
  <c r="AB445" i="1"/>
  <c r="AC445" i="1"/>
  <c r="AD445" i="1"/>
  <c r="AE445" i="1"/>
  <c r="AF445" i="1"/>
  <c r="AG445" i="1"/>
  <c r="AH445" i="1"/>
  <c r="AI445" i="1"/>
  <c r="Y446" i="1"/>
  <c r="Z446" i="1" s="1"/>
  <c r="AP446" i="1" s="1"/>
  <c r="AA446" i="1"/>
  <c r="AB446" i="1"/>
  <c r="AC446" i="1"/>
  <c r="AD446" i="1"/>
  <c r="AE446" i="1"/>
  <c r="AF446" i="1"/>
  <c r="AG446" i="1"/>
  <c r="AH446" i="1"/>
  <c r="AI446" i="1"/>
  <c r="Y447" i="1"/>
  <c r="Z447" i="1" s="1"/>
  <c r="AP447" i="1" s="1"/>
  <c r="AA447" i="1"/>
  <c r="AB447" i="1"/>
  <c r="AC447" i="1"/>
  <c r="AD447" i="1"/>
  <c r="AE447" i="1"/>
  <c r="AF447" i="1"/>
  <c r="AG447" i="1"/>
  <c r="AH447" i="1"/>
  <c r="AI447" i="1"/>
  <c r="Y448" i="1"/>
  <c r="Z448" i="1" s="1"/>
  <c r="AA448" i="1"/>
  <c r="AB448" i="1"/>
  <c r="AJ448" i="1" s="1"/>
  <c r="AC448" i="1"/>
  <c r="AD448" i="1"/>
  <c r="AE448" i="1"/>
  <c r="AF448" i="1"/>
  <c r="AG448" i="1"/>
  <c r="AH448" i="1"/>
  <c r="AI448" i="1"/>
  <c r="Y449" i="1"/>
  <c r="Z449" i="1"/>
  <c r="AP449" i="1" s="1"/>
  <c r="AA449" i="1"/>
  <c r="AB449" i="1"/>
  <c r="AC449" i="1"/>
  <c r="AD449" i="1"/>
  <c r="AE449" i="1"/>
  <c r="AF449" i="1"/>
  <c r="AG449" i="1"/>
  <c r="AH449" i="1"/>
  <c r="AI449" i="1"/>
  <c r="Y450" i="1"/>
  <c r="Z450" i="1" s="1"/>
  <c r="AR450" i="1" s="1"/>
  <c r="AA450" i="1"/>
  <c r="AB450" i="1"/>
  <c r="AC450" i="1"/>
  <c r="AD450" i="1"/>
  <c r="AE450" i="1"/>
  <c r="AF450" i="1"/>
  <c r="AG450" i="1"/>
  <c r="AH450" i="1"/>
  <c r="AI450" i="1"/>
  <c r="Y451" i="1"/>
  <c r="Z451" i="1" s="1"/>
  <c r="AA451" i="1"/>
  <c r="AB451" i="1"/>
  <c r="AJ451" i="1" s="1"/>
  <c r="AC451" i="1"/>
  <c r="AD451" i="1"/>
  <c r="AE451" i="1"/>
  <c r="AF451" i="1"/>
  <c r="AG451" i="1"/>
  <c r="AH451" i="1"/>
  <c r="AI451" i="1"/>
  <c r="Y452" i="1"/>
  <c r="Z452" i="1" s="1"/>
  <c r="AP452" i="1" s="1"/>
  <c r="AA452" i="1"/>
  <c r="AB452" i="1"/>
  <c r="AC452" i="1"/>
  <c r="AD452" i="1"/>
  <c r="AE452" i="1"/>
  <c r="AF452" i="1"/>
  <c r="AG452" i="1"/>
  <c r="AH452" i="1"/>
  <c r="AI452" i="1"/>
  <c r="Y453" i="1"/>
  <c r="Z453" i="1"/>
  <c r="AP453" i="1" s="1"/>
  <c r="AA453" i="1"/>
  <c r="AB453" i="1"/>
  <c r="AC453" i="1"/>
  <c r="AD453" i="1"/>
  <c r="AE453" i="1"/>
  <c r="AF453" i="1"/>
  <c r="AG453" i="1"/>
  <c r="AH453" i="1"/>
  <c r="AI453" i="1"/>
  <c r="Y454" i="1"/>
  <c r="Z454" i="1" s="1"/>
  <c r="AA454" i="1"/>
  <c r="AB454" i="1"/>
  <c r="AC454" i="1"/>
  <c r="AD454" i="1"/>
  <c r="AE454" i="1"/>
  <c r="AF454" i="1"/>
  <c r="AG454" i="1"/>
  <c r="AH454" i="1"/>
  <c r="AI454" i="1"/>
  <c r="Y455" i="1"/>
  <c r="Z455" i="1" s="1"/>
  <c r="AA455" i="1"/>
  <c r="AB455" i="1"/>
  <c r="AC455" i="1"/>
  <c r="AD455" i="1"/>
  <c r="AE455" i="1"/>
  <c r="AF455" i="1"/>
  <c r="AG455" i="1"/>
  <c r="AH455" i="1"/>
  <c r="AI455" i="1"/>
  <c r="AJ455" i="1"/>
  <c r="AK455" i="1"/>
  <c r="AL455" i="1" s="1"/>
  <c r="AM455" i="1" s="1"/>
  <c r="Y456" i="1"/>
  <c r="Z456" i="1" s="1"/>
  <c r="AR456" i="1" s="1"/>
  <c r="AA456" i="1"/>
  <c r="AB456" i="1"/>
  <c r="AC456" i="1"/>
  <c r="AD456" i="1"/>
  <c r="AE456" i="1"/>
  <c r="AF456" i="1"/>
  <c r="AG456" i="1"/>
  <c r="AH456" i="1"/>
  <c r="AI456" i="1"/>
  <c r="Y457" i="1"/>
  <c r="Z457" i="1"/>
  <c r="AP457" i="1" s="1"/>
  <c r="AA457" i="1"/>
  <c r="AB457" i="1"/>
  <c r="AC457" i="1"/>
  <c r="AD457" i="1"/>
  <c r="AE457" i="1"/>
  <c r="AF457" i="1"/>
  <c r="AG457" i="1"/>
  <c r="AH457" i="1"/>
  <c r="AI457" i="1"/>
  <c r="Y458" i="1"/>
  <c r="Z458" i="1" s="1"/>
  <c r="AA458" i="1"/>
  <c r="AB458" i="1"/>
  <c r="AC458" i="1"/>
  <c r="AD458" i="1"/>
  <c r="AE458" i="1"/>
  <c r="AF458" i="1"/>
  <c r="AG458" i="1"/>
  <c r="AH458" i="1"/>
  <c r="AI458" i="1"/>
  <c r="Y459" i="1"/>
  <c r="Z459" i="1" s="1"/>
  <c r="AP459" i="1" s="1"/>
  <c r="AA459" i="1"/>
  <c r="AB459" i="1"/>
  <c r="AC459" i="1"/>
  <c r="AD459" i="1"/>
  <c r="AE459" i="1"/>
  <c r="AF459" i="1"/>
  <c r="AG459" i="1"/>
  <c r="AH459" i="1"/>
  <c r="AI459" i="1"/>
  <c r="Y460" i="1"/>
  <c r="Z460" i="1"/>
  <c r="AA460" i="1"/>
  <c r="AB460" i="1"/>
  <c r="AC460" i="1"/>
  <c r="AD460" i="1"/>
  <c r="AE460" i="1"/>
  <c r="AF460" i="1"/>
  <c r="AG460" i="1"/>
  <c r="AH460" i="1"/>
  <c r="AI460" i="1"/>
  <c r="Y461" i="1"/>
  <c r="Z461" i="1" s="1"/>
  <c r="AP461" i="1" s="1"/>
  <c r="AA461" i="1"/>
  <c r="AB461" i="1"/>
  <c r="AC461" i="1"/>
  <c r="AD461" i="1"/>
  <c r="AE461" i="1"/>
  <c r="AF461" i="1"/>
  <c r="AG461" i="1"/>
  <c r="AH461" i="1"/>
  <c r="AI461" i="1"/>
  <c r="Y462" i="1"/>
  <c r="Z462" i="1" s="1"/>
  <c r="AP462" i="1" s="1"/>
  <c r="AA462" i="1"/>
  <c r="AB462" i="1"/>
  <c r="AC462" i="1"/>
  <c r="AD462" i="1"/>
  <c r="AE462" i="1"/>
  <c r="AF462" i="1"/>
  <c r="AG462" i="1"/>
  <c r="AH462" i="1"/>
  <c r="AI462" i="1"/>
  <c r="AP193" i="1" l="1"/>
  <c r="AR193" i="1"/>
  <c r="AP377" i="1"/>
  <c r="AR377" i="1"/>
  <c r="AP28" i="1"/>
  <c r="AR28" i="1"/>
  <c r="AJ175" i="1"/>
  <c r="AK175" i="1" s="1"/>
  <c r="AL175" i="1" s="1"/>
  <c r="AM175" i="1" s="1"/>
  <c r="AP38" i="1"/>
  <c r="AR38" i="1"/>
  <c r="AP148" i="1"/>
  <c r="AR148" i="1"/>
  <c r="AK371" i="1"/>
  <c r="AL371" i="1" s="1"/>
  <c r="AM371" i="1" s="1"/>
  <c r="AP337" i="1"/>
  <c r="AR337" i="1"/>
  <c r="AP324" i="1"/>
  <c r="AR324" i="1"/>
  <c r="AJ14" i="1"/>
  <c r="AK14" i="1" s="1"/>
  <c r="AL14" i="1" s="1"/>
  <c r="AM14" i="1" s="1"/>
  <c r="AP400" i="1"/>
  <c r="AR400" i="1"/>
  <c r="AK381" i="1"/>
  <c r="AL381" i="1" s="1"/>
  <c r="AM381" i="1" s="1"/>
  <c r="AJ44" i="1"/>
  <c r="AK44" i="1" s="1"/>
  <c r="AL44" i="1" s="1"/>
  <c r="AM44" i="1" s="1"/>
  <c r="AK451" i="1"/>
  <c r="AL451" i="1" s="1"/>
  <c r="AM451" i="1" s="1"/>
  <c r="AR165" i="1"/>
  <c r="AJ396" i="1"/>
  <c r="AP84" i="1"/>
  <c r="AJ390" i="1"/>
  <c r="AJ295" i="1"/>
  <c r="AI68" i="1"/>
  <c r="AJ279" i="1"/>
  <c r="AI115" i="1"/>
  <c r="AJ115" i="1" s="1"/>
  <c r="AK115" i="1" s="1"/>
  <c r="AL115" i="1" s="1"/>
  <c r="AM115" i="1" s="1"/>
  <c r="AJ407" i="1"/>
  <c r="AK407" i="1" s="1"/>
  <c r="AJ398" i="1"/>
  <c r="AK398" i="1" s="1"/>
  <c r="AL398" i="1" s="1"/>
  <c r="AM398" i="1" s="1"/>
  <c r="AI282" i="1"/>
  <c r="AJ282" i="1" s="1"/>
  <c r="AI203" i="1"/>
  <c r="AJ203" i="1" s="1"/>
  <c r="AK203" i="1" s="1"/>
  <c r="AL203" i="1" s="1"/>
  <c r="AM203" i="1" s="1"/>
  <c r="AI44" i="1"/>
  <c r="AJ316" i="1"/>
  <c r="AI197" i="1"/>
  <c r="AJ197" i="1" s="1"/>
  <c r="AI175" i="1"/>
  <c r="AJ413" i="1"/>
  <c r="AK413" i="1" s="1"/>
  <c r="AL413" i="1" s="1"/>
  <c r="AM413" i="1" s="1"/>
  <c r="AJ381" i="1"/>
  <c r="AI283" i="1"/>
  <c r="AK283" i="1" s="1"/>
  <c r="AL283" i="1" s="1"/>
  <c r="AM283" i="1" s="1"/>
  <c r="AI231" i="1"/>
  <c r="AJ231" i="1" s="1"/>
  <c r="AK231" i="1" s="1"/>
  <c r="AL231" i="1" s="1"/>
  <c r="AM231" i="1" s="1"/>
  <c r="AI116" i="1"/>
  <c r="AI83" i="1"/>
  <c r="AJ83" i="1" s="1"/>
  <c r="AK83" i="1" s="1"/>
  <c r="AL83" i="1" s="1"/>
  <c r="AM83" i="1" s="1"/>
  <c r="AI61" i="1"/>
  <c r="AJ61" i="1" s="1"/>
  <c r="AK61" i="1" s="1"/>
  <c r="AL61" i="1" s="1"/>
  <c r="AM61" i="1" s="1"/>
  <c r="AJ15" i="1"/>
  <c r="AK15" i="1" s="1"/>
  <c r="AL15" i="1" s="1"/>
  <c r="AM15" i="1" s="1"/>
  <c r="AI14" i="1"/>
  <c r="AR447" i="1"/>
  <c r="AR330" i="1"/>
  <c r="AR176" i="1"/>
  <c r="AR21" i="1"/>
  <c r="AJ450" i="1"/>
  <c r="AI160" i="1"/>
  <c r="AJ108" i="1"/>
  <c r="AJ380" i="1"/>
  <c r="AK380" i="1" s="1"/>
  <c r="AL380" i="1" s="1"/>
  <c r="AM380" i="1" s="1"/>
  <c r="AI333" i="1"/>
  <c r="AJ333" i="1" s="1"/>
  <c r="AK333" i="1" s="1"/>
  <c r="AL333" i="1" s="1"/>
  <c r="AM333" i="1" s="1"/>
  <c r="AI326" i="1"/>
  <c r="AI136" i="1"/>
  <c r="AJ136" i="1" s="1"/>
  <c r="AK136" i="1" s="1"/>
  <c r="AL136" i="1" s="1"/>
  <c r="AM136" i="1" s="1"/>
  <c r="AP236" i="1"/>
  <c r="AP174" i="1"/>
  <c r="AK448" i="1"/>
  <c r="AL448" i="1" s="1"/>
  <c r="AM448" i="1" s="1"/>
  <c r="AP442" i="1"/>
  <c r="AJ164" i="1"/>
  <c r="AK164" i="1" s="1"/>
  <c r="AL164" i="1" s="1"/>
  <c r="AM164" i="1" s="1"/>
  <c r="AJ438" i="1"/>
  <c r="AR411" i="1"/>
  <c r="AJ122" i="1"/>
  <c r="AK122" i="1" s="1"/>
  <c r="AL122" i="1" s="1"/>
  <c r="AM122" i="1" s="1"/>
  <c r="AJ371" i="1"/>
  <c r="AI22" i="1"/>
  <c r="AJ22" i="1" s="1"/>
  <c r="AK22" i="1" s="1"/>
  <c r="AL22" i="1" s="1"/>
  <c r="AM22" i="1" s="1"/>
  <c r="AP419" i="1"/>
  <c r="AR368" i="1"/>
  <c r="AR232" i="1"/>
  <c r="AJ456" i="1"/>
  <c r="AJ447" i="1"/>
  <c r="AK426" i="1"/>
  <c r="AL426" i="1" s="1"/>
  <c r="AM426" i="1" s="1"/>
  <c r="AJ425" i="1"/>
  <c r="AK397" i="1"/>
  <c r="AI354" i="1"/>
  <c r="AJ354" i="1" s="1"/>
  <c r="AK354" i="1" s="1"/>
  <c r="AL354" i="1" s="1"/>
  <c r="AM354" i="1" s="1"/>
  <c r="AJ334" i="1"/>
  <c r="AK334" i="1" s="1"/>
  <c r="AL334" i="1" s="1"/>
  <c r="AM334" i="1" s="1"/>
  <c r="AK330" i="1"/>
  <c r="AL330" i="1" s="1"/>
  <c r="AM330" i="1" s="1"/>
  <c r="AI212" i="1"/>
  <c r="AR457" i="1"/>
  <c r="AR348" i="1"/>
  <c r="AR291" i="1"/>
  <c r="AR247" i="1"/>
  <c r="AR238" i="1"/>
  <c r="AP186" i="1"/>
  <c r="AP137" i="1"/>
  <c r="AR108" i="1"/>
  <c r="AI321" i="1"/>
  <c r="AJ321" i="1" s="1"/>
  <c r="AK321" i="1" s="1"/>
  <c r="AL321" i="1" s="1"/>
  <c r="AM321" i="1" s="1"/>
  <c r="AI315" i="1"/>
  <c r="AJ315" i="1" s="1"/>
  <c r="AK315" i="1" s="1"/>
  <c r="AL315" i="1" s="1"/>
  <c r="AM315" i="1" s="1"/>
  <c r="AJ140" i="1"/>
  <c r="AK140" i="1" s="1"/>
  <c r="AL140" i="1" s="1"/>
  <c r="AM140" i="1" s="1"/>
  <c r="AI275" i="1"/>
  <c r="AJ275" i="1" s="1"/>
  <c r="AI270" i="1"/>
  <c r="AI118" i="1"/>
  <c r="AI40" i="1"/>
  <c r="AR261" i="1"/>
  <c r="AJ331" i="1"/>
  <c r="AK331" i="1" s="1"/>
  <c r="AL331" i="1" s="1"/>
  <c r="AM331" i="1" s="1"/>
  <c r="AI291" i="1"/>
  <c r="AI46" i="1"/>
  <c r="AJ46" i="1" s="1"/>
  <c r="AR333" i="1"/>
  <c r="AR315" i="1"/>
  <c r="AR131" i="1"/>
  <c r="AI108" i="1"/>
  <c r="AP350" i="1"/>
  <c r="AI211" i="1"/>
  <c r="AJ211" i="1" s="1"/>
  <c r="AI168" i="1"/>
  <c r="AP239" i="1"/>
  <c r="AR109" i="1"/>
  <c r="AP41" i="1"/>
  <c r="AJ457" i="1"/>
  <c r="AK457" i="1" s="1"/>
  <c r="AL457" i="1" s="1"/>
  <c r="AM457" i="1" s="1"/>
  <c r="AK419" i="1"/>
  <c r="AL419" i="1" s="1"/>
  <c r="AM419" i="1" s="1"/>
  <c r="AJ418" i="1"/>
  <c r="AK418" i="1" s="1"/>
  <c r="AL418" i="1" s="1"/>
  <c r="AM418" i="1" s="1"/>
  <c r="AJ207" i="1"/>
  <c r="AK207" i="1" s="1"/>
  <c r="AL207" i="1" s="1"/>
  <c r="AM207" i="1" s="1"/>
  <c r="AI35" i="1"/>
  <c r="AP356" i="1"/>
  <c r="AR272" i="1"/>
  <c r="AR255" i="1"/>
  <c r="AR57" i="1"/>
  <c r="AR47" i="1"/>
  <c r="AJ435" i="1"/>
  <c r="AI325" i="1"/>
  <c r="AI269" i="1"/>
  <c r="AJ269" i="1" s="1"/>
  <c r="AK269" i="1" s="1"/>
  <c r="AL269" i="1" s="1"/>
  <c r="AM269" i="1" s="1"/>
  <c r="AI246" i="1"/>
  <c r="AJ246" i="1" s="1"/>
  <c r="AK246" i="1" s="1"/>
  <c r="AL246" i="1" s="1"/>
  <c r="AM246" i="1" s="1"/>
  <c r="AI223" i="1"/>
  <c r="AJ223" i="1" s="1"/>
  <c r="AK223" i="1" s="1"/>
  <c r="AL223" i="1" s="1"/>
  <c r="AM223" i="1" s="1"/>
  <c r="AI139" i="1"/>
  <c r="AJ139" i="1" s="1"/>
  <c r="AI19" i="1"/>
  <c r="AJ19" i="1" s="1"/>
  <c r="AR365" i="1"/>
  <c r="AR280" i="1"/>
  <c r="AR246" i="1"/>
  <c r="AR166" i="1"/>
  <c r="AR96" i="1"/>
  <c r="AP74" i="1"/>
  <c r="AR74" i="1"/>
  <c r="AP15" i="1"/>
  <c r="AR15" i="1"/>
  <c r="AR18" i="1"/>
  <c r="AP18" i="1"/>
  <c r="AP448" i="1"/>
  <c r="AR448" i="1"/>
  <c r="AP311" i="1"/>
  <c r="AR311" i="1"/>
  <c r="AP185" i="1"/>
  <c r="AR185" i="1"/>
  <c r="AP39" i="1"/>
  <c r="AR39" i="1"/>
  <c r="AR230" i="1"/>
  <c r="AP230" i="1"/>
  <c r="AP235" i="1"/>
  <c r="AR235" i="1"/>
  <c r="AP141" i="1"/>
  <c r="AR141" i="1"/>
  <c r="AP394" i="1"/>
  <c r="AR394" i="1"/>
  <c r="AP156" i="1"/>
  <c r="AR156" i="1"/>
  <c r="AP298" i="1"/>
  <c r="AR298" i="1"/>
  <c r="AR387" i="1"/>
  <c r="AP387" i="1"/>
  <c r="AR313" i="1"/>
  <c r="AP313" i="1"/>
  <c r="AP268" i="1"/>
  <c r="AR268" i="1"/>
  <c r="AP202" i="1"/>
  <c r="AR202" i="1"/>
  <c r="AR455" i="1"/>
  <c r="AP455" i="1"/>
  <c r="AP374" i="1"/>
  <c r="AR374" i="1"/>
  <c r="AP302" i="1"/>
  <c r="AR302" i="1"/>
  <c r="AP224" i="1"/>
  <c r="AR224" i="1"/>
  <c r="AP135" i="1"/>
  <c r="AR135" i="1"/>
  <c r="AP170" i="1"/>
  <c r="AR170" i="1"/>
  <c r="AK364" i="1"/>
  <c r="AL364" i="1" s="1"/>
  <c r="AM364" i="1" s="1"/>
  <c r="AP342" i="1"/>
  <c r="AR342" i="1"/>
  <c r="AP180" i="1"/>
  <c r="AR180" i="1"/>
  <c r="AK456" i="1"/>
  <c r="AL456" i="1" s="1"/>
  <c r="AM456" i="1" s="1"/>
  <c r="AR441" i="1"/>
  <c r="AP441" i="1"/>
  <c r="AP159" i="1"/>
  <c r="AR159" i="1"/>
  <c r="AP125" i="1"/>
  <c r="AR125" i="1"/>
  <c r="AI329" i="1"/>
  <c r="AJ329" i="1" s="1"/>
  <c r="AK329" i="1" s="1"/>
  <c r="AL329" i="1" s="1"/>
  <c r="AM329" i="1" s="1"/>
  <c r="AI299" i="1"/>
  <c r="AJ299" i="1" s="1"/>
  <c r="AJ270" i="1"/>
  <c r="AK270" i="1" s="1"/>
  <c r="AL270" i="1" s="1"/>
  <c r="AM270" i="1" s="1"/>
  <c r="AI247" i="1"/>
  <c r="AJ247" i="1" s="1"/>
  <c r="AK247" i="1" s="1"/>
  <c r="AL247" i="1" s="1"/>
  <c r="AM247" i="1" s="1"/>
  <c r="AI163" i="1"/>
  <c r="AJ163" i="1" s="1"/>
  <c r="AK163" i="1" s="1"/>
  <c r="AL163" i="1" s="1"/>
  <c r="AM163" i="1" s="1"/>
  <c r="AI13" i="1"/>
  <c r="AP398" i="1"/>
  <c r="AR369" i="1"/>
  <c r="AP360" i="1"/>
  <c r="AP352" i="1"/>
  <c r="AP335" i="1"/>
  <c r="AR309" i="1"/>
  <c r="AR282" i="1"/>
  <c r="AR257" i="1"/>
  <c r="AR249" i="1"/>
  <c r="AP215" i="1"/>
  <c r="AP100" i="1"/>
  <c r="AP68" i="1"/>
  <c r="AJ376" i="1"/>
  <c r="AK376" i="1" s="1"/>
  <c r="AL376" i="1" s="1"/>
  <c r="AM376" i="1" s="1"/>
  <c r="AI119" i="1"/>
  <c r="AR449" i="1"/>
  <c r="AR264" i="1"/>
  <c r="AR88" i="1"/>
  <c r="AP50" i="1"/>
  <c r="AR32" i="1"/>
  <c r="AP325" i="1"/>
  <c r="AR395" i="1"/>
  <c r="AP386" i="1"/>
  <c r="AR349" i="1"/>
  <c r="AR332" i="1"/>
  <c r="AR211" i="1"/>
  <c r="AI59" i="1"/>
  <c r="AJ59" i="1" s="1"/>
  <c r="AJ311" i="1"/>
  <c r="AK311" i="1" s="1"/>
  <c r="AL311" i="1" s="1"/>
  <c r="AM311" i="1" s="1"/>
  <c r="AP254" i="1"/>
  <c r="AR220" i="1"/>
  <c r="AP191" i="1"/>
  <c r="AR296" i="1"/>
  <c r="AR73" i="1"/>
  <c r="AR27" i="1"/>
  <c r="AJ449" i="1"/>
  <c r="AK449" i="1" s="1"/>
  <c r="AL449" i="1" s="1"/>
  <c r="AM449" i="1" s="1"/>
  <c r="AK369" i="1"/>
  <c r="AL369" i="1" s="1"/>
  <c r="AM369" i="1" s="1"/>
  <c r="AJ306" i="1"/>
  <c r="AK306" i="1" s="1"/>
  <c r="AL306" i="1" s="1"/>
  <c r="AM306" i="1" s="1"/>
  <c r="AK292" i="1"/>
  <c r="AI245" i="1"/>
  <c r="AJ245" i="1" s="1"/>
  <c r="AI188" i="1"/>
  <c r="AJ188" i="1" s="1"/>
  <c r="AK188" i="1" s="1"/>
  <c r="AL188" i="1" s="1"/>
  <c r="AM188" i="1" s="1"/>
  <c r="AI125" i="1"/>
  <c r="AJ125" i="1" s="1"/>
  <c r="AK125" i="1" s="1"/>
  <c r="AL125" i="1" s="1"/>
  <c r="AM125" i="1" s="1"/>
  <c r="AI79" i="1"/>
  <c r="AP438" i="1"/>
  <c r="AR383" i="1"/>
  <c r="AR303" i="1"/>
  <c r="AR277" i="1"/>
  <c r="AR269" i="1"/>
  <c r="AR260" i="1"/>
  <c r="AR209" i="1"/>
  <c r="AP199" i="1"/>
  <c r="AR126" i="1"/>
  <c r="AP83" i="1"/>
  <c r="AR62" i="1"/>
  <c r="AI174" i="1"/>
  <c r="AP456" i="1"/>
  <c r="AR157" i="1"/>
  <c r="AR55" i="1"/>
  <c r="AP228" i="1"/>
  <c r="AI99" i="1"/>
  <c r="AR426" i="1"/>
  <c r="AR408" i="1"/>
  <c r="AP354" i="1"/>
  <c r="AR243" i="1"/>
  <c r="AR189" i="1"/>
  <c r="AP181" i="1"/>
  <c r="AP115" i="1"/>
  <c r="AR53" i="1"/>
  <c r="AP16" i="1"/>
  <c r="AJ168" i="1"/>
  <c r="AI52" i="1"/>
  <c r="AJ52" i="1" s="1"/>
  <c r="AK52" i="1" s="1"/>
  <c r="AL52" i="1" s="1"/>
  <c r="AM52" i="1" s="1"/>
  <c r="AI47" i="1"/>
  <c r="AJ47" i="1" s="1"/>
  <c r="AR452" i="1"/>
  <c r="AR444" i="1"/>
  <c r="AR437" i="1"/>
  <c r="AR417" i="1"/>
  <c r="AR392" i="1"/>
  <c r="AP363" i="1"/>
  <c r="AR346" i="1"/>
  <c r="AR320" i="1"/>
  <c r="AR294" i="1"/>
  <c r="AR252" i="1"/>
  <c r="AP226" i="1"/>
  <c r="AR218" i="1"/>
  <c r="AR198" i="1"/>
  <c r="AP172" i="1"/>
  <c r="AR164" i="1"/>
  <c r="AR154" i="1"/>
  <c r="AP104" i="1"/>
  <c r="AP44" i="1"/>
  <c r="AR26" i="1"/>
  <c r="AJ443" i="1"/>
  <c r="AK443" i="1" s="1"/>
  <c r="AL443" i="1" s="1"/>
  <c r="AM443" i="1" s="1"/>
  <c r="AJ424" i="1"/>
  <c r="AK424" i="1" s="1"/>
  <c r="AL424" i="1" s="1"/>
  <c r="AM424" i="1" s="1"/>
  <c r="AJ417" i="1"/>
  <c r="AK417" i="1" s="1"/>
  <c r="AL417" i="1" s="1"/>
  <c r="AM417" i="1" s="1"/>
  <c r="AJ363" i="1"/>
  <c r="AK363" i="1" s="1"/>
  <c r="AL363" i="1" s="1"/>
  <c r="AM363" i="1" s="1"/>
  <c r="AI332" i="1"/>
  <c r="AJ332" i="1" s="1"/>
  <c r="AJ212" i="1"/>
  <c r="AK212" i="1" s="1"/>
  <c r="AL212" i="1" s="1"/>
  <c r="AM212" i="1" s="1"/>
  <c r="AJ118" i="1"/>
  <c r="AK118" i="1" s="1"/>
  <c r="AL118" i="1" s="1"/>
  <c r="AM118" i="1" s="1"/>
  <c r="AR399" i="1"/>
  <c r="AR371" i="1"/>
  <c r="AR353" i="1"/>
  <c r="AR336" i="1"/>
  <c r="AR259" i="1"/>
  <c r="AR188" i="1"/>
  <c r="AP144" i="1"/>
  <c r="AP114" i="1"/>
  <c r="AP34" i="1"/>
  <c r="AR222" i="1"/>
  <c r="AJ23" i="1"/>
  <c r="AR404" i="1"/>
  <c r="AR149" i="1"/>
  <c r="AI305" i="1"/>
  <c r="AI253" i="1"/>
  <c r="AJ253" i="1" s="1"/>
  <c r="AJ414" i="1"/>
  <c r="AK414" i="1" s="1"/>
  <c r="AL414" i="1" s="1"/>
  <c r="AM414" i="1" s="1"/>
  <c r="AJ391" i="1"/>
  <c r="AK450" i="1"/>
  <c r="AL450" i="1" s="1"/>
  <c r="AM450" i="1" s="1"/>
  <c r="AJ283" i="1"/>
  <c r="AR407" i="1"/>
  <c r="AP328" i="1"/>
  <c r="AR283" i="1"/>
  <c r="AR275" i="1"/>
  <c r="AR233" i="1"/>
  <c r="AR225" i="1"/>
  <c r="AR171" i="1"/>
  <c r="AP91" i="1"/>
  <c r="AK425" i="1"/>
  <c r="AL425" i="1" s="1"/>
  <c r="AM425" i="1" s="1"/>
  <c r="AJ420" i="1"/>
  <c r="AK420" i="1" s="1"/>
  <c r="AL420" i="1" s="1"/>
  <c r="AM420" i="1" s="1"/>
  <c r="AJ370" i="1"/>
  <c r="AK370" i="1" s="1"/>
  <c r="AI206" i="1"/>
  <c r="AJ68" i="1"/>
  <c r="AK68" i="1" s="1"/>
  <c r="AL68" i="1" s="1"/>
  <c r="AM68" i="1" s="1"/>
  <c r="AI45" i="1"/>
  <c r="AJ45" i="1" s="1"/>
  <c r="AK45" i="1" s="1"/>
  <c r="AL45" i="1" s="1"/>
  <c r="AM45" i="1" s="1"/>
  <c r="AR459" i="1"/>
  <c r="AR443" i="1"/>
  <c r="AR436" i="1"/>
  <c r="AR424" i="1"/>
  <c r="AP266" i="1"/>
  <c r="AR153" i="1"/>
  <c r="AR143" i="1"/>
  <c r="AR133" i="1"/>
  <c r="AR113" i="1"/>
  <c r="AR59" i="1"/>
  <c r="AR51" i="1"/>
  <c r="AP42" i="1"/>
  <c r="AR33" i="1"/>
  <c r="AR24" i="1"/>
  <c r="AJ216" i="1"/>
  <c r="AK216" i="1" s="1"/>
  <c r="AJ364" i="1"/>
  <c r="AI304" i="1"/>
  <c r="AJ304" i="1" s="1"/>
  <c r="AP450" i="1"/>
  <c r="AP406" i="1"/>
  <c r="AR379" i="1"/>
  <c r="AP187" i="1"/>
  <c r="AP87" i="1"/>
  <c r="AR87" i="1"/>
  <c r="AR99" i="1"/>
  <c r="AP99" i="1"/>
  <c r="AP409" i="1"/>
  <c r="AR409" i="1"/>
  <c r="AP112" i="1"/>
  <c r="AR112" i="1"/>
  <c r="AR142" i="1"/>
  <c r="AP142" i="1"/>
  <c r="AR380" i="1"/>
  <c r="AP380" i="1"/>
  <c r="AP393" i="1"/>
  <c r="AR393" i="1"/>
  <c r="AP77" i="1"/>
  <c r="AR77" i="1"/>
  <c r="AP121" i="1"/>
  <c r="AR121" i="1"/>
  <c r="AP129" i="1"/>
  <c r="AR129" i="1"/>
  <c r="AR107" i="1"/>
  <c r="AR85" i="1"/>
  <c r="AP70" i="1"/>
  <c r="AP197" i="1"/>
  <c r="AR197" i="1"/>
  <c r="AP179" i="1"/>
  <c r="AR179" i="1"/>
  <c r="AP321" i="1"/>
  <c r="AR321" i="1"/>
  <c r="AP304" i="1"/>
  <c r="AR234" i="1"/>
  <c r="AP234" i="1"/>
  <c r="AP229" i="1"/>
  <c r="AR229" i="1"/>
  <c r="AR127" i="1"/>
  <c r="AP385" i="1"/>
  <c r="AR385" i="1"/>
  <c r="AP35" i="1"/>
  <c r="AR35" i="1"/>
  <c r="AP305" i="1"/>
  <c r="AR305" i="1"/>
  <c r="AP190" i="1"/>
  <c r="AR190" i="1"/>
  <c r="AR361" i="1"/>
  <c r="AP105" i="1"/>
  <c r="AP460" i="1"/>
  <c r="AR460" i="1"/>
  <c r="AP326" i="1"/>
  <c r="AR440" i="1"/>
  <c r="AP440" i="1"/>
  <c r="AP340" i="1"/>
  <c r="AR340" i="1"/>
  <c r="AP256" i="1"/>
  <c r="AR256" i="1"/>
  <c r="AP251" i="1"/>
  <c r="AR251" i="1"/>
  <c r="AR98" i="1"/>
  <c r="AP98" i="1"/>
  <c r="AP56" i="1"/>
  <c r="AR56" i="1"/>
  <c r="AP339" i="1"/>
  <c r="AP310" i="1"/>
  <c r="AR265" i="1"/>
  <c r="AP244" i="1"/>
  <c r="AR119" i="1"/>
  <c r="AR17" i="1"/>
  <c r="AR351" i="1"/>
  <c r="AP351" i="1"/>
  <c r="AP317" i="1"/>
  <c r="AR317" i="1"/>
  <c r="AP295" i="1"/>
  <c r="AR295" i="1"/>
  <c r="AP245" i="1"/>
  <c r="AR245" i="1"/>
  <c r="AP61" i="1"/>
  <c r="AR61" i="1"/>
  <c r="AP20" i="1"/>
  <c r="AR20" i="1"/>
  <c r="AR433" i="1"/>
  <c r="AR375" i="1"/>
  <c r="AR110" i="1"/>
  <c r="AR81" i="1"/>
  <c r="AR306" i="1"/>
  <c r="AP306" i="1"/>
  <c r="AP123" i="1"/>
  <c r="AR123" i="1"/>
  <c r="AR106" i="1"/>
  <c r="AP106" i="1"/>
  <c r="AP429" i="1"/>
  <c r="AR429" i="1"/>
  <c r="AP373" i="1"/>
  <c r="AR373" i="1"/>
  <c r="AR338" i="1"/>
  <c r="AP338" i="1"/>
  <c r="AR290" i="1"/>
  <c r="AP290" i="1"/>
  <c r="AR178" i="1"/>
  <c r="AP178" i="1"/>
  <c r="AP128" i="1"/>
  <c r="AR128" i="1"/>
  <c r="AP54" i="1"/>
  <c r="AR54" i="1"/>
  <c r="AP49" i="1"/>
  <c r="AR49" i="1"/>
  <c r="AP23" i="1"/>
  <c r="AR23" i="1"/>
  <c r="AR453" i="1"/>
  <c r="AR403" i="1"/>
  <c r="AP382" i="1"/>
  <c r="AR213" i="1"/>
  <c r="AP183" i="1"/>
  <c r="AR169" i="1"/>
  <c r="AR147" i="1"/>
  <c r="AR132" i="1"/>
  <c r="AP103" i="1"/>
  <c r="AP48" i="1"/>
  <c r="AR40" i="1"/>
  <c r="AP458" i="1"/>
  <c r="AR458" i="1"/>
  <c r="AR418" i="1"/>
  <c r="AP418" i="1"/>
  <c r="AL407" i="1"/>
  <c r="AM407" i="1" s="1"/>
  <c r="AP357" i="1"/>
  <c r="AR357" i="1"/>
  <c r="AP173" i="1"/>
  <c r="AR173" i="1"/>
  <c r="AR461" i="1"/>
  <c r="AP432" i="1"/>
  <c r="AR425" i="1"/>
  <c r="AR389" i="1"/>
  <c r="AR366" i="1"/>
  <c r="AP359" i="1"/>
  <c r="AP300" i="1"/>
  <c r="AR293" i="1"/>
  <c r="AR204" i="1"/>
  <c r="AR124" i="1"/>
  <c r="AR80" i="1"/>
  <c r="AP412" i="1"/>
  <c r="AR412" i="1"/>
  <c r="AR82" i="1"/>
  <c r="AP82" i="1"/>
  <c r="AR223" i="1"/>
  <c r="AP223" i="1"/>
  <c r="AP118" i="1"/>
  <c r="AR118" i="1"/>
  <c r="AR152" i="1"/>
  <c r="AR184" i="1"/>
  <c r="AP184" i="1"/>
  <c r="AP155" i="1"/>
  <c r="AR155" i="1"/>
  <c r="AP420" i="1"/>
  <c r="AR420" i="1"/>
  <c r="AP19" i="1"/>
  <c r="AR378" i="1"/>
  <c r="AP378" i="1"/>
  <c r="AP276" i="1"/>
  <c r="AR276" i="1"/>
  <c r="AP263" i="1"/>
  <c r="AR263" i="1"/>
  <c r="AP221" i="1"/>
  <c r="AR221" i="1"/>
  <c r="AP58" i="1"/>
  <c r="AR58" i="1"/>
  <c r="AP289" i="1"/>
  <c r="AP231" i="1"/>
  <c r="AR210" i="1"/>
  <c r="AP210" i="1"/>
  <c r="AR192" i="1"/>
  <c r="AR434" i="1"/>
  <c r="AP434" i="1"/>
  <c r="AP319" i="1"/>
  <c r="AR319" i="1"/>
  <c r="AP25" i="1"/>
  <c r="AR25" i="1"/>
  <c r="AP427" i="1"/>
  <c r="AP281" i="1"/>
  <c r="AR207" i="1"/>
  <c r="AR177" i="1"/>
  <c r="AP97" i="1"/>
  <c r="AR67" i="1"/>
  <c r="AR362" i="1"/>
  <c r="AP362" i="1"/>
  <c r="AP117" i="1"/>
  <c r="AR117" i="1"/>
  <c r="AP69" i="1"/>
  <c r="AR69" i="1"/>
  <c r="AR410" i="1"/>
  <c r="AP258" i="1"/>
  <c r="AP454" i="1"/>
  <c r="AR454" i="1"/>
  <c r="AP435" i="1"/>
  <c r="AR435" i="1"/>
  <c r="AR370" i="1"/>
  <c r="AP370" i="1"/>
  <c r="AR312" i="1"/>
  <c r="AP312" i="1"/>
  <c r="AP301" i="1"/>
  <c r="AR301" i="1"/>
  <c r="AP201" i="1"/>
  <c r="AR201" i="1"/>
  <c r="AP31" i="1"/>
  <c r="AR31" i="1"/>
  <c r="AR446" i="1"/>
  <c r="AR381" i="1"/>
  <c r="AP242" i="1"/>
  <c r="AP227" i="1"/>
  <c r="AR182" i="1"/>
  <c r="AR138" i="1"/>
  <c r="AR116" i="1"/>
  <c r="AP102" i="1"/>
  <c r="AR22" i="1"/>
  <c r="AP139" i="1"/>
  <c r="AR139" i="1"/>
  <c r="AR430" i="1"/>
  <c r="AR92" i="1"/>
  <c r="AR250" i="1"/>
  <c r="AP250" i="1"/>
  <c r="AR136" i="1"/>
  <c r="AP416" i="1"/>
  <c r="AR416" i="1"/>
  <c r="AR145" i="1"/>
  <c r="AP145" i="1"/>
  <c r="AR134" i="1"/>
  <c r="AP134" i="1"/>
  <c r="AP65" i="1"/>
  <c r="AR65" i="1"/>
  <c r="AP397" i="1"/>
  <c r="AR397" i="1"/>
  <c r="AR273" i="1"/>
  <c r="AP273" i="1"/>
  <c r="AR95" i="1"/>
  <c r="AP95" i="1"/>
  <c r="AR78" i="1"/>
  <c r="AP78" i="1"/>
  <c r="AP45" i="1"/>
  <c r="AR45" i="1"/>
  <c r="AR413" i="1"/>
  <c r="AP216" i="1"/>
  <c r="AR158" i="1"/>
  <c r="AP150" i="1"/>
  <c r="AR284" i="1"/>
  <c r="AP284" i="1"/>
  <c r="AP195" i="1"/>
  <c r="AR195" i="1"/>
  <c r="AR161" i="1"/>
  <c r="AP161" i="1"/>
  <c r="AR428" i="1"/>
  <c r="AP428" i="1"/>
  <c r="AP200" i="1"/>
  <c r="AR90" i="1"/>
  <c r="AP75" i="1"/>
  <c r="AR347" i="1"/>
  <c r="AP151" i="1"/>
  <c r="AR151" i="1"/>
  <c r="AR111" i="1"/>
  <c r="AP111" i="1"/>
  <c r="AP13" i="1"/>
  <c r="AR13" i="1"/>
  <c r="AP391" i="1"/>
  <c r="AP214" i="1"/>
  <c r="AR163" i="1"/>
  <c r="AP376" i="1"/>
  <c r="AR376" i="1"/>
  <c r="AP101" i="1"/>
  <c r="AR101" i="1"/>
  <c r="AR66" i="1"/>
  <c r="AP66" i="1"/>
  <c r="AP367" i="1"/>
  <c r="AP331" i="1"/>
  <c r="AR205" i="1"/>
  <c r="AR140" i="1"/>
  <c r="AP422" i="1"/>
  <c r="AR422" i="1"/>
  <c r="AP323" i="1"/>
  <c r="AR323" i="1"/>
  <c r="AP288" i="1"/>
  <c r="AR288" i="1"/>
  <c r="AP206" i="1"/>
  <c r="AR206" i="1"/>
  <c r="AP168" i="1"/>
  <c r="AR168" i="1"/>
  <c r="AP72" i="1"/>
  <c r="AR72" i="1"/>
  <c r="AP52" i="1"/>
  <c r="AR52" i="1"/>
  <c r="AR431" i="1"/>
  <c r="AP402" i="1"/>
  <c r="AR388" i="1"/>
  <c r="AR358" i="1"/>
  <c r="AR343" i="1"/>
  <c r="AP314" i="1"/>
  <c r="AR299" i="1"/>
  <c r="AR285" i="1"/>
  <c r="AP278" i="1"/>
  <c r="AR219" i="1"/>
  <c r="AR160" i="1"/>
  <c r="AP146" i="1"/>
  <c r="AR86" i="1"/>
  <c r="AR63" i="1"/>
  <c r="AP451" i="1"/>
  <c r="AR451" i="1"/>
  <c r="AR390" i="1"/>
  <c r="AP390" i="1"/>
  <c r="AP384" i="1"/>
  <c r="AR384" i="1"/>
  <c r="AR194" i="1"/>
  <c r="AP194" i="1"/>
  <c r="AR329" i="1"/>
  <c r="AP322" i="1"/>
  <c r="AP292" i="1"/>
  <c r="AR270" i="1"/>
  <c r="AR248" i="1"/>
  <c r="AR196" i="1"/>
  <c r="AR93" i="1"/>
  <c r="AR79" i="1"/>
  <c r="AP30" i="1"/>
  <c r="AP307" i="1"/>
  <c r="AR307" i="1"/>
  <c r="AP240" i="1"/>
  <c r="AR240" i="1"/>
  <c r="AP217" i="1"/>
  <c r="AR217" i="1"/>
  <c r="AR37" i="1"/>
  <c r="AP37" i="1"/>
  <c r="AR372" i="1"/>
  <c r="AP423" i="1"/>
  <c r="AR423" i="1"/>
  <c r="AP318" i="1"/>
  <c r="AR318" i="1"/>
  <c r="AP71" i="1"/>
  <c r="AR401" i="1"/>
  <c r="AP401" i="1"/>
  <c r="AP267" i="1"/>
  <c r="AR267" i="1"/>
  <c r="AR212" i="1"/>
  <c r="AP212" i="1"/>
  <c r="AL190" i="1"/>
  <c r="AM190" i="1" s="1"/>
  <c r="AR162" i="1"/>
  <c r="AP162" i="1"/>
  <c r="AP89" i="1"/>
  <c r="AR89" i="1"/>
  <c r="AP43" i="1"/>
  <c r="AR43" i="1"/>
  <c r="AR414" i="1"/>
  <c r="AR344" i="1"/>
  <c r="AP274" i="1"/>
  <c r="AR241" i="1"/>
  <c r="AR208" i="1"/>
  <c r="AR462" i="1"/>
  <c r="AR345" i="1"/>
  <c r="AR334" i="1"/>
  <c r="AR167" i="1"/>
  <c r="AP60" i="1"/>
  <c r="AP14" i="1"/>
  <c r="AL292" i="1"/>
  <c r="AM292" i="1" s="1"/>
  <c r="AL397" i="1"/>
  <c r="AM397" i="1" s="1"/>
  <c r="AL216" i="1"/>
  <c r="AM216" i="1" s="1"/>
  <c r="AP29" i="1"/>
  <c r="AR29" i="1"/>
  <c r="AR445" i="1"/>
  <c r="AL370" i="1"/>
  <c r="AM370" i="1" s="1"/>
  <c r="AI159" i="1"/>
  <c r="AJ159" i="1" s="1"/>
  <c r="AI134" i="1"/>
  <c r="AI66" i="1"/>
  <c r="AJ66" i="1" s="1"/>
  <c r="AK66" i="1" s="1"/>
  <c r="AL66" i="1" s="1"/>
  <c r="AM66" i="1" s="1"/>
  <c r="AJ445" i="1"/>
  <c r="AK445" i="1"/>
  <c r="AL445" i="1" s="1"/>
  <c r="AM445" i="1" s="1"/>
  <c r="AJ429" i="1"/>
  <c r="AK429" i="1"/>
  <c r="AL429" i="1" s="1"/>
  <c r="AM429" i="1" s="1"/>
  <c r="AJ361" i="1"/>
  <c r="AK361" i="1" s="1"/>
  <c r="AL361" i="1" s="1"/>
  <c r="AM361" i="1" s="1"/>
  <c r="AI313" i="1"/>
  <c r="AI165" i="1"/>
  <c r="AJ165" i="1" s="1"/>
  <c r="AJ453" i="1"/>
  <c r="AK453" i="1"/>
  <c r="AL453" i="1" s="1"/>
  <c r="AM453" i="1" s="1"/>
  <c r="AJ403" i="1"/>
  <c r="AK403" i="1"/>
  <c r="AL403" i="1" s="1"/>
  <c r="AM403" i="1" s="1"/>
  <c r="AJ383" i="1"/>
  <c r="AK383" i="1"/>
  <c r="AL383" i="1" s="1"/>
  <c r="AM383" i="1" s="1"/>
  <c r="AI16" i="1"/>
  <c r="AJ16" i="1"/>
  <c r="AK16" i="1" s="1"/>
  <c r="AL16" i="1" s="1"/>
  <c r="AM16" i="1" s="1"/>
  <c r="AI256" i="1"/>
  <c r="AJ256" i="1" s="1"/>
  <c r="AK256" i="1" s="1"/>
  <c r="AL256" i="1" s="1"/>
  <c r="AM256" i="1" s="1"/>
  <c r="AJ458" i="1"/>
  <c r="AK458" i="1" s="1"/>
  <c r="AL458" i="1" s="1"/>
  <c r="AM458" i="1" s="1"/>
  <c r="AK362" i="1"/>
  <c r="AL362" i="1" s="1"/>
  <c r="AM362" i="1" s="1"/>
  <c r="AI336" i="1"/>
  <c r="AJ336" i="1"/>
  <c r="AK336" i="1" s="1"/>
  <c r="AL336" i="1" s="1"/>
  <c r="AM336" i="1" s="1"/>
  <c r="AI259" i="1"/>
  <c r="AJ259" i="1"/>
  <c r="AK259" i="1"/>
  <c r="AL259" i="1" s="1"/>
  <c r="AM259" i="1" s="1"/>
  <c r="AJ446" i="1"/>
  <c r="AK446" i="1" s="1"/>
  <c r="AL446" i="1" s="1"/>
  <c r="AM446" i="1" s="1"/>
  <c r="AJ436" i="1"/>
  <c r="AK436" i="1" s="1"/>
  <c r="AL436" i="1" s="1"/>
  <c r="AM436" i="1" s="1"/>
  <c r="AI95" i="1"/>
  <c r="AJ95" i="1" s="1"/>
  <c r="AI150" i="1"/>
  <c r="AJ150" i="1" s="1"/>
  <c r="AJ444" i="1"/>
  <c r="AK444" i="1"/>
  <c r="AL444" i="1" s="1"/>
  <c r="AM444" i="1" s="1"/>
  <c r="AJ359" i="1"/>
  <c r="AK359" i="1" s="1"/>
  <c r="AL359" i="1" s="1"/>
  <c r="AM359" i="1" s="1"/>
  <c r="AJ433" i="1"/>
  <c r="AK433" i="1"/>
  <c r="AL433" i="1" s="1"/>
  <c r="AM433" i="1" s="1"/>
  <c r="AI264" i="1"/>
  <c r="AJ264" i="1"/>
  <c r="AI144" i="1"/>
  <c r="AK144" i="1" s="1"/>
  <c r="AL144" i="1" s="1"/>
  <c r="AM144" i="1" s="1"/>
  <c r="AJ144" i="1"/>
  <c r="AI242" i="1"/>
  <c r="AJ242" i="1" s="1"/>
  <c r="AI126" i="1"/>
  <c r="AJ126" i="1"/>
  <c r="AI17" i="1"/>
  <c r="AJ17" i="1"/>
  <c r="AK17" i="1"/>
  <c r="AL17" i="1" s="1"/>
  <c r="AM17" i="1" s="1"/>
  <c r="AJ427" i="1"/>
  <c r="AK427" i="1" s="1"/>
  <c r="AL427" i="1" s="1"/>
  <c r="AM427" i="1" s="1"/>
  <c r="AJ422" i="1"/>
  <c r="AK422" i="1" s="1"/>
  <c r="AL422" i="1" s="1"/>
  <c r="AM422" i="1" s="1"/>
  <c r="AJ377" i="1"/>
  <c r="AK377" i="1" s="1"/>
  <c r="AL377" i="1" s="1"/>
  <c r="AM377" i="1" s="1"/>
  <c r="AI278" i="1"/>
  <c r="AJ278" i="1" s="1"/>
  <c r="AI36" i="1"/>
  <c r="AJ36" i="1" s="1"/>
  <c r="AJ415" i="1"/>
  <c r="AK415" i="1" s="1"/>
  <c r="AL415" i="1" s="1"/>
  <c r="AM415" i="1" s="1"/>
  <c r="AJ394" i="1"/>
  <c r="AK394" i="1" s="1"/>
  <c r="AL394" i="1" s="1"/>
  <c r="AM394" i="1" s="1"/>
  <c r="AJ366" i="1"/>
  <c r="AK366" i="1" s="1"/>
  <c r="AL366" i="1" s="1"/>
  <c r="AM366" i="1" s="1"/>
  <c r="AI303" i="1"/>
  <c r="AJ303" i="1" s="1"/>
  <c r="AK303" i="1" s="1"/>
  <c r="AL303" i="1" s="1"/>
  <c r="AM303" i="1" s="1"/>
  <c r="AI281" i="1"/>
  <c r="AJ281" i="1"/>
  <c r="AK281" i="1" s="1"/>
  <c r="AL281" i="1" s="1"/>
  <c r="AM281" i="1" s="1"/>
  <c r="AJ459" i="1"/>
  <c r="AK459" i="1"/>
  <c r="AL459" i="1" s="1"/>
  <c r="AM459" i="1" s="1"/>
  <c r="AK447" i="1"/>
  <c r="AL447" i="1" s="1"/>
  <c r="AM447" i="1" s="1"/>
  <c r="AJ428" i="1"/>
  <c r="AK428" i="1" s="1"/>
  <c r="AL428" i="1" s="1"/>
  <c r="AM428" i="1" s="1"/>
  <c r="AK378" i="1"/>
  <c r="AL378" i="1" s="1"/>
  <c r="AM378" i="1" s="1"/>
  <c r="AK304" i="1"/>
  <c r="AL304" i="1" s="1"/>
  <c r="AM304" i="1" s="1"/>
  <c r="AI213" i="1"/>
  <c r="AJ213" i="1"/>
  <c r="AJ360" i="1"/>
  <c r="AK360" i="1" s="1"/>
  <c r="AL360" i="1" s="1"/>
  <c r="AM360" i="1" s="1"/>
  <c r="AI307" i="1"/>
  <c r="AJ307" i="1" s="1"/>
  <c r="AK307" i="1" s="1"/>
  <c r="AL307" i="1" s="1"/>
  <c r="AM307" i="1" s="1"/>
  <c r="AI235" i="1"/>
  <c r="AJ235" i="1" s="1"/>
  <c r="AK235" i="1" s="1"/>
  <c r="AL235" i="1" s="1"/>
  <c r="AM235" i="1" s="1"/>
  <c r="AI196" i="1"/>
  <c r="AJ196" i="1"/>
  <c r="AK196" i="1" s="1"/>
  <c r="AL196" i="1" s="1"/>
  <c r="AM196" i="1" s="1"/>
  <c r="AI131" i="1"/>
  <c r="AJ131" i="1"/>
  <c r="AJ441" i="1"/>
  <c r="AK441" i="1" s="1"/>
  <c r="AL441" i="1" s="1"/>
  <c r="AM441" i="1" s="1"/>
  <c r="AJ416" i="1"/>
  <c r="AK416" i="1"/>
  <c r="AL416" i="1" s="1"/>
  <c r="AM416" i="1" s="1"/>
  <c r="AK412" i="1"/>
  <c r="AL412" i="1" s="1"/>
  <c r="AM412" i="1" s="1"/>
  <c r="AJ409" i="1"/>
  <c r="AK409" i="1" s="1"/>
  <c r="AL409" i="1" s="1"/>
  <c r="AM409" i="1" s="1"/>
  <c r="AJ388" i="1"/>
  <c r="AK388" i="1" s="1"/>
  <c r="AL388" i="1" s="1"/>
  <c r="AM388" i="1" s="1"/>
  <c r="AJ385" i="1"/>
  <c r="AK385" i="1"/>
  <c r="AL385" i="1" s="1"/>
  <c r="AM385" i="1" s="1"/>
  <c r="AJ374" i="1"/>
  <c r="AK374" i="1" s="1"/>
  <c r="AL374" i="1" s="1"/>
  <c r="AM374" i="1" s="1"/>
  <c r="AI358" i="1"/>
  <c r="AI351" i="1"/>
  <c r="AJ351" i="1" s="1"/>
  <c r="AI341" i="1"/>
  <c r="AJ341" i="1" s="1"/>
  <c r="AI290" i="1"/>
  <c r="AJ290" i="1" s="1"/>
  <c r="AI244" i="1"/>
  <c r="AJ244" i="1" s="1"/>
  <c r="AJ185" i="1"/>
  <c r="AK185" i="1" s="1"/>
  <c r="AL185" i="1" s="1"/>
  <c r="AM185" i="1" s="1"/>
  <c r="AI173" i="1"/>
  <c r="AJ173" i="1" s="1"/>
  <c r="AI127" i="1"/>
  <c r="AJ127" i="1" s="1"/>
  <c r="AK127" i="1" s="1"/>
  <c r="AL127" i="1" s="1"/>
  <c r="AM127" i="1" s="1"/>
  <c r="AJ114" i="1"/>
  <c r="AK114" i="1"/>
  <c r="AL114" i="1" s="1"/>
  <c r="AM114" i="1" s="1"/>
  <c r="AI249" i="1"/>
  <c r="AI201" i="1"/>
  <c r="AJ201" i="1" s="1"/>
  <c r="AK201" i="1"/>
  <c r="AL201" i="1" s="1"/>
  <c r="AM201" i="1" s="1"/>
  <c r="AJ170" i="1"/>
  <c r="AK170" i="1" s="1"/>
  <c r="AL170" i="1" s="1"/>
  <c r="AM170" i="1" s="1"/>
  <c r="AI50" i="1"/>
  <c r="AJ50" i="1" s="1"/>
  <c r="AK50" i="1" s="1"/>
  <c r="AL50" i="1" s="1"/>
  <c r="AM50" i="1" s="1"/>
  <c r="AI209" i="1"/>
  <c r="AJ209" i="1"/>
  <c r="AK209" i="1" s="1"/>
  <c r="AL209" i="1" s="1"/>
  <c r="AM209" i="1" s="1"/>
  <c r="AI193" i="1"/>
  <c r="AI20" i="1"/>
  <c r="AJ20" i="1" s="1"/>
  <c r="AK20" i="1" s="1"/>
  <c r="AL20" i="1" s="1"/>
  <c r="AM20" i="1" s="1"/>
  <c r="AJ460" i="1"/>
  <c r="AK460" i="1" s="1"/>
  <c r="AL460" i="1" s="1"/>
  <c r="AM460" i="1" s="1"/>
  <c r="AJ387" i="1"/>
  <c r="AK387" i="1" s="1"/>
  <c r="AL387" i="1" s="1"/>
  <c r="AM387" i="1" s="1"/>
  <c r="AI384" i="1"/>
  <c r="AJ384" i="1" s="1"/>
  <c r="AK384" i="1" s="1"/>
  <c r="AL384" i="1" s="1"/>
  <c r="AM384" i="1" s="1"/>
  <c r="AI346" i="1"/>
  <c r="AJ346" i="1"/>
  <c r="AI340" i="1"/>
  <c r="AJ340" i="1" s="1"/>
  <c r="AI285" i="1"/>
  <c r="AJ285" i="1" s="1"/>
  <c r="AI200" i="1"/>
  <c r="AJ200" i="1" s="1"/>
  <c r="AK200" i="1" s="1"/>
  <c r="AL200" i="1" s="1"/>
  <c r="AM200" i="1" s="1"/>
  <c r="AJ411" i="1"/>
  <c r="AK411" i="1" s="1"/>
  <c r="AL411" i="1" s="1"/>
  <c r="AM411" i="1" s="1"/>
  <c r="AI357" i="1"/>
  <c r="AI350" i="1"/>
  <c r="AJ350" i="1"/>
  <c r="AI328" i="1"/>
  <c r="AJ328" i="1" s="1"/>
  <c r="AI268" i="1"/>
  <c r="AJ268" i="1"/>
  <c r="AK268" i="1" s="1"/>
  <c r="AL268" i="1" s="1"/>
  <c r="AM268" i="1" s="1"/>
  <c r="AI260" i="1"/>
  <c r="AI162" i="1"/>
  <c r="AJ162" i="1" s="1"/>
  <c r="AI120" i="1"/>
  <c r="AJ120" i="1"/>
  <c r="AJ430" i="1"/>
  <c r="AK430" i="1" s="1"/>
  <c r="AL430" i="1" s="1"/>
  <c r="AM430" i="1" s="1"/>
  <c r="AJ367" i="1"/>
  <c r="AK367" i="1" s="1"/>
  <c r="AL367" i="1" s="1"/>
  <c r="AM367" i="1" s="1"/>
  <c r="AI272" i="1"/>
  <c r="AJ272" i="1"/>
  <c r="AI229" i="1"/>
  <c r="AJ229" i="1" s="1"/>
  <c r="AK229" i="1" s="1"/>
  <c r="AL229" i="1" s="1"/>
  <c r="AM229" i="1" s="1"/>
  <c r="AJ434" i="1"/>
  <c r="AK434" i="1"/>
  <c r="AL434" i="1" s="1"/>
  <c r="AM434" i="1" s="1"/>
  <c r="AI289" i="1"/>
  <c r="AJ289" i="1" s="1"/>
  <c r="AI254" i="1"/>
  <c r="AJ254" i="1" s="1"/>
  <c r="AI251" i="1"/>
  <c r="AJ251" i="1" s="1"/>
  <c r="AI204" i="1"/>
  <c r="AI138" i="1"/>
  <c r="AJ138" i="1" s="1"/>
  <c r="AI103" i="1"/>
  <c r="AJ103" i="1"/>
  <c r="AJ93" i="1"/>
  <c r="AK93" i="1" s="1"/>
  <c r="AL93" i="1" s="1"/>
  <c r="AM93" i="1" s="1"/>
  <c r="AI85" i="1"/>
  <c r="AJ85" i="1"/>
  <c r="AK85" i="1" s="1"/>
  <c r="AL85" i="1" s="1"/>
  <c r="AM85" i="1" s="1"/>
  <c r="AI43" i="1"/>
  <c r="AJ43" i="1" s="1"/>
  <c r="AK43" i="1" s="1"/>
  <c r="AL43" i="1" s="1"/>
  <c r="AM43" i="1" s="1"/>
  <c r="AJ442" i="1"/>
  <c r="AK442" i="1" s="1"/>
  <c r="AL442" i="1" s="1"/>
  <c r="AM442" i="1" s="1"/>
  <c r="AK423" i="1"/>
  <c r="AL423" i="1" s="1"/>
  <c r="AM423" i="1" s="1"/>
  <c r="AI308" i="1"/>
  <c r="AJ308" i="1" s="1"/>
  <c r="AI286" i="1"/>
  <c r="AI248" i="1"/>
  <c r="AJ248" i="1"/>
  <c r="AK248" i="1" s="1"/>
  <c r="AL248" i="1" s="1"/>
  <c r="AM248" i="1" s="1"/>
  <c r="AI176" i="1"/>
  <c r="AJ176" i="1"/>
  <c r="AK176" i="1"/>
  <c r="AL176" i="1" s="1"/>
  <c r="AM176" i="1" s="1"/>
  <c r="AK108" i="1"/>
  <c r="AL108" i="1" s="1"/>
  <c r="AM108" i="1" s="1"/>
  <c r="AI21" i="1"/>
  <c r="AJ21" i="1" s="1"/>
  <c r="AI276" i="1"/>
  <c r="AJ276" i="1" s="1"/>
  <c r="AI263" i="1"/>
  <c r="AJ263" i="1" s="1"/>
  <c r="AI233" i="1"/>
  <c r="AJ169" i="1"/>
  <c r="AK169" i="1" s="1"/>
  <c r="AL169" i="1" s="1"/>
  <c r="AM169" i="1" s="1"/>
  <c r="AI135" i="1"/>
  <c r="AJ135" i="1" s="1"/>
  <c r="AJ365" i="1"/>
  <c r="AK365" i="1" s="1"/>
  <c r="AL365" i="1" s="1"/>
  <c r="AM365" i="1" s="1"/>
  <c r="AI335" i="1"/>
  <c r="AJ335" i="1"/>
  <c r="AK335" i="1" s="1"/>
  <c r="AL335" i="1" s="1"/>
  <c r="AM335" i="1" s="1"/>
  <c r="AI312" i="1"/>
  <c r="AK312" i="1" s="1"/>
  <c r="AL312" i="1" s="1"/>
  <c r="AM312" i="1" s="1"/>
  <c r="AJ312" i="1"/>
  <c r="AJ462" i="1"/>
  <c r="AK462" i="1" s="1"/>
  <c r="AL462" i="1" s="1"/>
  <c r="AM462" i="1" s="1"/>
  <c r="AK368" i="1"/>
  <c r="AL368" i="1" s="1"/>
  <c r="AM368" i="1" s="1"/>
  <c r="AI208" i="1"/>
  <c r="AJ208" i="1"/>
  <c r="AK208" i="1" s="1"/>
  <c r="AL208" i="1" s="1"/>
  <c r="AM208" i="1" s="1"/>
  <c r="AI91" i="1"/>
  <c r="AJ91" i="1" s="1"/>
  <c r="AJ452" i="1"/>
  <c r="AK452" i="1" s="1"/>
  <c r="AL452" i="1" s="1"/>
  <c r="AM452" i="1" s="1"/>
  <c r="AK435" i="1"/>
  <c r="AL435" i="1" s="1"/>
  <c r="AM435" i="1" s="1"/>
  <c r="AJ432" i="1"/>
  <c r="AK432" i="1" s="1"/>
  <c r="AL432" i="1" s="1"/>
  <c r="AM432" i="1" s="1"/>
  <c r="AJ402" i="1"/>
  <c r="AK402" i="1" s="1"/>
  <c r="AL402" i="1" s="1"/>
  <c r="AM402" i="1" s="1"/>
  <c r="AJ393" i="1"/>
  <c r="AK393" i="1"/>
  <c r="AL393" i="1" s="1"/>
  <c r="AM393" i="1" s="1"/>
  <c r="AJ382" i="1"/>
  <c r="AK382" i="1" s="1"/>
  <c r="AL382" i="1" s="1"/>
  <c r="AM382" i="1" s="1"/>
  <c r="AI323" i="1"/>
  <c r="AJ323" i="1"/>
  <c r="AK323" i="1" s="1"/>
  <c r="AL323" i="1" s="1"/>
  <c r="AM323" i="1" s="1"/>
  <c r="AI309" i="1"/>
  <c r="AJ309" i="1" s="1"/>
  <c r="AK275" i="1"/>
  <c r="AL275" i="1" s="1"/>
  <c r="AM275" i="1" s="1"/>
  <c r="AI273" i="1"/>
  <c r="AJ273" i="1" s="1"/>
  <c r="AI261" i="1"/>
  <c r="AI252" i="1"/>
  <c r="AJ252" i="1" s="1"/>
  <c r="AK252" i="1" s="1"/>
  <c r="AL252" i="1" s="1"/>
  <c r="AM252" i="1" s="1"/>
  <c r="AI234" i="1"/>
  <c r="AJ234" i="1" s="1"/>
  <c r="AJ227" i="1"/>
  <c r="AK227" i="1" s="1"/>
  <c r="AL227" i="1" s="1"/>
  <c r="AM227" i="1" s="1"/>
  <c r="AI186" i="1"/>
  <c r="AJ186" i="1"/>
  <c r="AI149" i="1"/>
  <c r="AJ149" i="1"/>
  <c r="AI56" i="1"/>
  <c r="AJ56" i="1"/>
  <c r="AK56" i="1"/>
  <c r="AL56" i="1" s="1"/>
  <c r="AM56" i="1" s="1"/>
  <c r="AI30" i="1"/>
  <c r="AJ30" i="1" s="1"/>
  <c r="AK30" i="1" s="1"/>
  <c r="AL30" i="1" s="1"/>
  <c r="AM30" i="1" s="1"/>
  <c r="AJ399" i="1"/>
  <c r="AK399" i="1" s="1"/>
  <c r="AL399" i="1" s="1"/>
  <c r="AM399" i="1" s="1"/>
  <c r="AI324" i="1"/>
  <c r="AJ324" i="1"/>
  <c r="AI296" i="1"/>
  <c r="AJ296" i="1"/>
  <c r="AK296" i="1" s="1"/>
  <c r="AL296" i="1" s="1"/>
  <c r="AM296" i="1" s="1"/>
  <c r="AI239" i="1"/>
  <c r="AJ239" i="1"/>
  <c r="AI147" i="1"/>
  <c r="AJ73" i="1"/>
  <c r="AI222" i="1"/>
  <c r="AJ222" i="1"/>
  <c r="AK222" i="1" s="1"/>
  <c r="AL222" i="1" s="1"/>
  <c r="AM222" i="1" s="1"/>
  <c r="AI219" i="1"/>
  <c r="AJ219" i="1" s="1"/>
  <c r="AI102" i="1"/>
  <c r="AJ102" i="1" s="1"/>
  <c r="AK102" i="1" s="1"/>
  <c r="AL102" i="1" s="1"/>
  <c r="AM102" i="1" s="1"/>
  <c r="AI76" i="1"/>
  <c r="AJ76" i="1"/>
  <c r="AI55" i="1"/>
  <c r="AJ55" i="1"/>
  <c r="AJ454" i="1"/>
  <c r="AK454" i="1" s="1"/>
  <c r="AL454" i="1" s="1"/>
  <c r="AM454" i="1" s="1"/>
  <c r="AJ400" i="1"/>
  <c r="AK400" i="1" s="1"/>
  <c r="AL400" i="1" s="1"/>
  <c r="AM400" i="1" s="1"/>
  <c r="AI243" i="1"/>
  <c r="AI153" i="1"/>
  <c r="AI117" i="1"/>
  <c r="AJ117" i="1" s="1"/>
  <c r="AI70" i="1"/>
  <c r="AJ70" i="1" s="1"/>
  <c r="AJ461" i="1"/>
  <c r="AK461" i="1" s="1"/>
  <c r="AL461" i="1" s="1"/>
  <c r="AM461" i="1" s="1"/>
  <c r="AJ408" i="1"/>
  <c r="AK408" i="1" s="1"/>
  <c r="AL408" i="1" s="1"/>
  <c r="AM408" i="1" s="1"/>
  <c r="AI314" i="1"/>
  <c r="AJ314" i="1" s="1"/>
  <c r="AI217" i="1"/>
  <c r="AJ217" i="1"/>
  <c r="AK217" i="1"/>
  <c r="AL217" i="1" s="1"/>
  <c r="AM217" i="1" s="1"/>
  <c r="AI214" i="1"/>
  <c r="AJ214" i="1" s="1"/>
  <c r="AK197" i="1"/>
  <c r="AL197" i="1" s="1"/>
  <c r="AM197" i="1" s="1"/>
  <c r="AI181" i="1"/>
  <c r="AJ181" i="1" s="1"/>
  <c r="AI142" i="1"/>
  <c r="AJ142" i="1" s="1"/>
  <c r="AI105" i="1"/>
  <c r="AJ105" i="1" s="1"/>
  <c r="AK105" i="1" s="1"/>
  <c r="AL105" i="1" s="1"/>
  <c r="AM105" i="1" s="1"/>
  <c r="AI64" i="1"/>
  <c r="AJ64" i="1" s="1"/>
  <c r="AI49" i="1"/>
  <c r="AJ49" i="1" s="1"/>
  <c r="AK49" i="1" s="1"/>
  <c r="AL49" i="1" s="1"/>
  <c r="AM49" i="1" s="1"/>
  <c r="AJ40" i="1"/>
  <c r="AK40" i="1" s="1"/>
  <c r="AL40" i="1" s="1"/>
  <c r="AM40" i="1" s="1"/>
  <c r="AJ404" i="1"/>
  <c r="AK404" i="1"/>
  <c r="AL404" i="1" s="1"/>
  <c r="AM404" i="1" s="1"/>
  <c r="AJ373" i="1"/>
  <c r="AK373" i="1"/>
  <c r="AL373" i="1" s="1"/>
  <c r="AM373" i="1" s="1"/>
  <c r="AK353" i="1"/>
  <c r="AL353" i="1" s="1"/>
  <c r="AM353" i="1" s="1"/>
  <c r="AI337" i="1"/>
  <c r="AJ337" i="1" s="1"/>
  <c r="AI318" i="1"/>
  <c r="AJ318" i="1" s="1"/>
  <c r="AI226" i="1"/>
  <c r="AJ226" i="1" s="1"/>
  <c r="AK226" i="1" s="1"/>
  <c r="AL226" i="1" s="1"/>
  <c r="AM226" i="1" s="1"/>
  <c r="AI96" i="1"/>
  <c r="AJ96" i="1" s="1"/>
  <c r="AI58" i="1"/>
  <c r="AJ58" i="1" s="1"/>
  <c r="AJ392" i="1"/>
  <c r="AK392" i="1" s="1"/>
  <c r="AL392" i="1" s="1"/>
  <c r="AM392" i="1" s="1"/>
  <c r="AI301" i="1"/>
  <c r="AJ301" i="1" s="1"/>
  <c r="AI297" i="1"/>
  <c r="AJ297" i="1" s="1"/>
  <c r="AK297" i="1" s="1"/>
  <c r="AL297" i="1" s="1"/>
  <c r="AM297" i="1" s="1"/>
  <c r="AI124" i="1"/>
  <c r="AJ124" i="1"/>
  <c r="AK124" i="1"/>
  <c r="AL124" i="1" s="1"/>
  <c r="AM124" i="1" s="1"/>
  <c r="AI29" i="1"/>
  <c r="AJ29" i="1" s="1"/>
  <c r="AJ431" i="1"/>
  <c r="AK431" i="1" s="1"/>
  <c r="AL431" i="1" s="1"/>
  <c r="AM431" i="1" s="1"/>
  <c r="AJ401" i="1"/>
  <c r="AK401" i="1" s="1"/>
  <c r="AL401" i="1" s="1"/>
  <c r="AM401" i="1" s="1"/>
  <c r="AI344" i="1"/>
  <c r="AI154" i="1"/>
  <c r="AJ154" i="1" s="1"/>
  <c r="AI100" i="1"/>
  <c r="AJ100" i="1"/>
  <c r="AK100" i="1"/>
  <c r="AL100" i="1" s="1"/>
  <c r="AM100" i="1" s="1"/>
  <c r="AJ18" i="1"/>
  <c r="AK18" i="1"/>
  <c r="AL18" i="1" s="1"/>
  <c r="AM18" i="1" s="1"/>
  <c r="AK391" i="1"/>
  <c r="AL391" i="1" s="1"/>
  <c r="AM391" i="1" s="1"/>
  <c r="AI280" i="1"/>
  <c r="AJ280" i="1" s="1"/>
  <c r="AK280" i="1" s="1"/>
  <c r="AL280" i="1" s="1"/>
  <c r="AM280" i="1" s="1"/>
  <c r="AI230" i="1"/>
  <c r="AJ230" i="1" s="1"/>
  <c r="AI218" i="1"/>
  <c r="AJ218" i="1" s="1"/>
  <c r="AI205" i="1"/>
  <c r="AJ205" i="1" s="1"/>
  <c r="AJ193" i="1"/>
  <c r="AK193" i="1" s="1"/>
  <c r="AL193" i="1" s="1"/>
  <c r="AM193" i="1" s="1"/>
  <c r="AI143" i="1"/>
  <c r="AJ143" i="1" s="1"/>
  <c r="AI104" i="1"/>
  <c r="AJ104" i="1"/>
  <c r="AK104" i="1" s="1"/>
  <c r="AL104" i="1" s="1"/>
  <c r="AM104" i="1" s="1"/>
  <c r="AI86" i="1"/>
  <c r="AK86" i="1" s="1"/>
  <c r="AL86" i="1" s="1"/>
  <c r="AM86" i="1" s="1"/>
  <c r="AI80" i="1"/>
  <c r="AJ80" i="1" s="1"/>
  <c r="AK80" i="1"/>
  <c r="AL80" i="1" s="1"/>
  <c r="AM80" i="1" s="1"/>
  <c r="AJ440" i="1"/>
  <c r="AK440" i="1" s="1"/>
  <c r="AL440" i="1" s="1"/>
  <c r="AM440" i="1" s="1"/>
  <c r="AJ421" i="1"/>
  <c r="AK421" i="1" s="1"/>
  <c r="AL421" i="1" s="1"/>
  <c r="AM421" i="1" s="1"/>
  <c r="AI345" i="1"/>
  <c r="AJ345" i="1" s="1"/>
  <c r="AJ319" i="1"/>
  <c r="AK319" i="1" s="1"/>
  <c r="AL319" i="1" s="1"/>
  <c r="AM319" i="1" s="1"/>
  <c r="AI302" i="1"/>
  <c r="AJ302" i="1"/>
  <c r="AK302" i="1" s="1"/>
  <c r="AL302" i="1" s="1"/>
  <c r="AM302" i="1" s="1"/>
  <c r="AI277" i="1"/>
  <c r="AJ277" i="1" s="1"/>
  <c r="AI255" i="1"/>
  <c r="AJ255" i="1" s="1"/>
  <c r="AK255" i="1" s="1"/>
  <c r="AL255" i="1" s="1"/>
  <c r="AM255" i="1" s="1"/>
  <c r="AI177" i="1"/>
  <c r="AK177" i="1" s="1"/>
  <c r="AL177" i="1" s="1"/>
  <c r="AM177" i="1" s="1"/>
  <c r="AJ177" i="1"/>
  <c r="AI27" i="1"/>
  <c r="AJ27" i="1" s="1"/>
  <c r="AJ410" i="1"/>
  <c r="AK410" i="1" s="1"/>
  <c r="AL410" i="1" s="1"/>
  <c r="AM410" i="1" s="1"/>
  <c r="AJ386" i="1"/>
  <c r="AK386" i="1" s="1"/>
  <c r="AL386" i="1" s="1"/>
  <c r="AM386" i="1" s="1"/>
  <c r="AJ375" i="1"/>
  <c r="AK375" i="1" s="1"/>
  <c r="AL375" i="1" s="1"/>
  <c r="AM375" i="1" s="1"/>
  <c r="AJ353" i="1"/>
  <c r="AI352" i="1"/>
  <c r="AJ352" i="1" s="1"/>
  <c r="AK352" i="1" s="1"/>
  <c r="AL352" i="1" s="1"/>
  <c r="AM352" i="1" s="1"/>
  <c r="AI327" i="1"/>
  <c r="AJ327" i="1" s="1"/>
  <c r="AJ291" i="1"/>
  <c r="AK291" i="1" s="1"/>
  <c r="AL291" i="1" s="1"/>
  <c r="AM291" i="1" s="1"/>
  <c r="AK287" i="1"/>
  <c r="AL287" i="1" s="1"/>
  <c r="AM287" i="1" s="1"/>
  <c r="AI267" i="1"/>
  <c r="AJ267" i="1"/>
  <c r="AK267" i="1" s="1"/>
  <c r="AL267" i="1" s="1"/>
  <c r="AM267" i="1" s="1"/>
  <c r="AI250" i="1"/>
  <c r="AJ250" i="1" s="1"/>
  <c r="AI183" i="1"/>
  <c r="AJ183" i="1" s="1"/>
  <c r="AK183" i="1" s="1"/>
  <c r="AL183" i="1" s="1"/>
  <c r="AM183" i="1" s="1"/>
  <c r="AI180" i="1"/>
  <c r="AJ180" i="1" s="1"/>
  <c r="AI158" i="1"/>
  <c r="AJ158" i="1" s="1"/>
  <c r="AI128" i="1"/>
  <c r="AJ128" i="1"/>
  <c r="AK128" i="1" s="1"/>
  <c r="AL128" i="1" s="1"/>
  <c r="AM128" i="1" s="1"/>
  <c r="AI92" i="1"/>
  <c r="AJ92" i="1"/>
  <c r="AI89" i="1"/>
  <c r="AJ89" i="1" s="1"/>
  <c r="AI167" i="1"/>
  <c r="AJ167" i="1"/>
  <c r="AK167" i="1"/>
  <c r="AL167" i="1" s="1"/>
  <c r="AM167" i="1" s="1"/>
  <c r="AI77" i="1"/>
  <c r="AJ77" i="1" s="1"/>
  <c r="AI53" i="1"/>
  <c r="AJ53" i="1" s="1"/>
  <c r="AJ31" i="1"/>
  <c r="AK31" i="1" s="1"/>
  <c r="AL31" i="1" s="1"/>
  <c r="AM31" i="1" s="1"/>
  <c r="AK396" i="1"/>
  <c r="AL396" i="1" s="1"/>
  <c r="AM396" i="1" s="1"/>
  <c r="AI338" i="1"/>
  <c r="AJ338" i="1" s="1"/>
  <c r="AI293" i="1"/>
  <c r="AI257" i="1"/>
  <c r="AJ257" i="1" s="1"/>
  <c r="AI236" i="1"/>
  <c r="AI224" i="1"/>
  <c r="AJ224" i="1" s="1"/>
  <c r="AI156" i="1"/>
  <c r="AJ156" i="1" s="1"/>
  <c r="AI87" i="1"/>
  <c r="AI71" i="1"/>
  <c r="AJ71" i="1" s="1"/>
  <c r="AK71" i="1" s="1"/>
  <c r="AL71" i="1" s="1"/>
  <c r="AM71" i="1" s="1"/>
  <c r="AI25" i="1"/>
  <c r="AJ25" i="1" s="1"/>
  <c r="AI228" i="1"/>
  <c r="AI220" i="1"/>
  <c r="AJ220" i="1"/>
  <c r="AK220" i="1"/>
  <c r="AL220" i="1" s="1"/>
  <c r="AM220" i="1" s="1"/>
  <c r="AI198" i="1"/>
  <c r="AI178" i="1"/>
  <c r="AJ178" i="1" s="1"/>
  <c r="AI152" i="1"/>
  <c r="AJ152" i="1" s="1"/>
  <c r="AJ148" i="1"/>
  <c r="AK148" i="1" s="1"/>
  <c r="AL148" i="1" s="1"/>
  <c r="AM148" i="1" s="1"/>
  <c r="AI112" i="1"/>
  <c r="AJ112" i="1" s="1"/>
  <c r="AK112" i="1" s="1"/>
  <c r="AL112" i="1" s="1"/>
  <c r="AM112" i="1" s="1"/>
  <c r="AI106" i="1"/>
  <c r="AJ106" i="1" s="1"/>
  <c r="AI94" i="1"/>
  <c r="AJ94" i="1"/>
  <c r="AI38" i="1"/>
  <c r="AJ38" i="1" s="1"/>
  <c r="AK38" i="1"/>
  <c r="AL38" i="1" s="1"/>
  <c r="AM38" i="1" s="1"/>
  <c r="AI133" i="1"/>
  <c r="AJ133" i="1" s="1"/>
  <c r="AI84" i="1"/>
  <c r="AJ84" i="1" s="1"/>
  <c r="AJ395" i="1"/>
  <c r="AK395" i="1" s="1"/>
  <c r="AL395" i="1" s="1"/>
  <c r="AM395" i="1" s="1"/>
  <c r="AJ347" i="1"/>
  <c r="AK347" i="1" s="1"/>
  <c r="AL347" i="1" s="1"/>
  <c r="AM347" i="1" s="1"/>
  <c r="AJ240" i="1"/>
  <c r="AK240" i="1"/>
  <c r="AL240" i="1" s="1"/>
  <c r="AM240" i="1" s="1"/>
  <c r="AJ437" i="1"/>
  <c r="AK437" i="1"/>
  <c r="AL437" i="1" s="1"/>
  <c r="AM437" i="1" s="1"/>
  <c r="AK348" i="1"/>
  <c r="AL348" i="1" s="1"/>
  <c r="AM348" i="1" s="1"/>
  <c r="AJ325" i="1"/>
  <c r="AK325" i="1"/>
  <c r="AL325" i="1" s="1"/>
  <c r="AM325" i="1" s="1"/>
  <c r="AI288" i="1"/>
  <c r="AJ288" i="1"/>
  <c r="AI349" i="1"/>
  <c r="AI262" i="1"/>
  <c r="AJ262" i="1"/>
  <c r="AK262" i="1" s="1"/>
  <c r="AL262" i="1" s="1"/>
  <c r="AM262" i="1" s="1"/>
  <c r="AI215" i="1"/>
  <c r="AJ215" i="1"/>
  <c r="AI194" i="1"/>
  <c r="AJ187" i="1"/>
  <c r="AK187" i="1" s="1"/>
  <c r="AL187" i="1" s="1"/>
  <c r="AM187" i="1" s="1"/>
  <c r="AI356" i="1"/>
  <c r="AJ356" i="1" s="1"/>
  <c r="AK316" i="1"/>
  <c r="AL316" i="1" s="1"/>
  <c r="AM316" i="1" s="1"/>
  <c r="AI284" i="1"/>
  <c r="AJ284" i="1" s="1"/>
  <c r="AI266" i="1"/>
  <c r="AJ232" i="1"/>
  <c r="AK232" i="1" s="1"/>
  <c r="AL232" i="1" s="1"/>
  <c r="AM232" i="1" s="1"/>
  <c r="AI182" i="1"/>
  <c r="AJ182" i="1" s="1"/>
  <c r="AI109" i="1"/>
  <c r="AJ109" i="1"/>
  <c r="AK109" i="1" s="1"/>
  <c r="AL109" i="1" s="1"/>
  <c r="AM109" i="1" s="1"/>
  <c r="AI65" i="1"/>
  <c r="AJ65" i="1" s="1"/>
  <c r="AI62" i="1"/>
  <c r="AJ62" i="1" s="1"/>
  <c r="AJ57" i="1"/>
  <c r="AK57" i="1" s="1"/>
  <c r="AL57" i="1" s="1"/>
  <c r="AM57" i="1" s="1"/>
  <c r="AI48" i="1"/>
  <c r="AK48" i="1" s="1"/>
  <c r="AL48" i="1" s="1"/>
  <c r="AM48" i="1" s="1"/>
  <c r="AJ48" i="1"/>
  <c r="AJ405" i="1"/>
  <c r="AK405" i="1"/>
  <c r="AL405" i="1" s="1"/>
  <c r="AM405" i="1" s="1"/>
  <c r="AI298" i="1"/>
  <c r="AJ298" i="1"/>
  <c r="AI265" i="1"/>
  <c r="AJ389" i="1"/>
  <c r="AK389" i="1" s="1"/>
  <c r="AL389" i="1" s="1"/>
  <c r="AM389" i="1" s="1"/>
  <c r="AI355" i="1"/>
  <c r="AI343" i="1"/>
  <c r="AJ343" i="1" s="1"/>
  <c r="AK406" i="1"/>
  <c r="AL406" i="1" s="1"/>
  <c r="AM406" i="1" s="1"/>
  <c r="AK438" i="1"/>
  <c r="AL438" i="1" s="1"/>
  <c r="AM438" i="1" s="1"/>
  <c r="AK390" i="1"/>
  <c r="AL390" i="1" s="1"/>
  <c r="AM390" i="1" s="1"/>
  <c r="AJ372" i="1"/>
  <c r="AK372" i="1" s="1"/>
  <c r="AL372" i="1" s="1"/>
  <c r="AM372" i="1" s="1"/>
  <c r="AI339" i="1"/>
  <c r="AJ339" i="1" s="1"/>
  <c r="AK339" i="1"/>
  <c r="AL339" i="1" s="1"/>
  <c r="AM339" i="1" s="1"/>
  <c r="AI310" i="1"/>
  <c r="AJ310" i="1" s="1"/>
  <c r="AJ258" i="1"/>
  <c r="AK258" i="1" s="1"/>
  <c r="AL258" i="1" s="1"/>
  <c r="AM258" i="1" s="1"/>
  <c r="AI191" i="1"/>
  <c r="AJ191" i="1"/>
  <c r="AI161" i="1"/>
  <c r="AJ161" i="1" s="1"/>
  <c r="AI157" i="1"/>
  <c r="AJ157" i="1" s="1"/>
  <c r="AK157" i="1" s="1"/>
  <c r="AL157" i="1" s="1"/>
  <c r="AM157" i="1" s="1"/>
  <c r="AI137" i="1"/>
  <c r="AJ137" i="1" s="1"/>
  <c r="AI42" i="1"/>
  <c r="AJ42" i="1" s="1"/>
  <c r="AK42" i="1" s="1"/>
  <c r="AL42" i="1" s="1"/>
  <c r="AM42" i="1" s="1"/>
  <c r="AI32" i="1"/>
  <c r="AJ32" i="1" s="1"/>
  <c r="AI322" i="1"/>
  <c r="AJ322" i="1" s="1"/>
  <c r="AI317" i="1"/>
  <c r="AK295" i="1"/>
  <c r="AL295" i="1" s="1"/>
  <c r="AM295" i="1" s="1"/>
  <c r="AI271" i="1"/>
  <c r="AI238" i="1"/>
  <c r="AJ238" i="1" s="1"/>
  <c r="AI225" i="1"/>
  <c r="AJ225" i="1"/>
  <c r="AI221" i="1"/>
  <c r="AJ221" i="1" s="1"/>
  <c r="AI195" i="1"/>
  <c r="AJ195" i="1" s="1"/>
  <c r="AI172" i="1"/>
  <c r="AJ172" i="1" s="1"/>
  <c r="AI141" i="1"/>
  <c r="AJ130" i="1"/>
  <c r="AK130" i="1"/>
  <c r="AL130" i="1" s="1"/>
  <c r="AM130" i="1" s="1"/>
  <c r="AI78" i="1"/>
  <c r="AJ78" i="1" s="1"/>
  <c r="AK78" i="1"/>
  <c r="AL78" i="1" s="1"/>
  <c r="AM78" i="1" s="1"/>
  <c r="AI72" i="1"/>
  <c r="AJ72" i="1" s="1"/>
  <c r="AI54" i="1"/>
  <c r="AJ54" i="1" s="1"/>
  <c r="AK54" i="1" s="1"/>
  <c r="AL54" i="1" s="1"/>
  <c r="AM54" i="1" s="1"/>
  <c r="AI26" i="1"/>
  <c r="AI107" i="1"/>
  <c r="AJ107" i="1" s="1"/>
  <c r="AK101" i="1"/>
  <c r="AL101" i="1" s="1"/>
  <c r="AM101" i="1" s="1"/>
  <c r="AI82" i="1"/>
  <c r="AI75" i="1"/>
  <c r="AJ75" i="1" s="1"/>
  <c r="AI67" i="1"/>
  <c r="AK211" i="1"/>
  <c r="AL211" i="1" s="1"/>
  <c r="AM211" i="1" s="1"/>
  <c r="AI171" i="1"/>
  <c r="AJ171" i="1" s="1"/>
  <c r="AI151" i="1"/>
  <c r="AJ151" i="1" s="1"/>
  <c r="AI146" i="1"/>
  <c r="AJ146" i="1" s="1"/>
  <c r="AI90" i="1"/>
  <c r="AJ90" i="1" s="1"/>
  <c r="AK90" i="1" s="1"/>
  <c r="AL90" i="1" s="1"/>
  <c r="AM90" i="1" s="1"/>
  <c r="AK46" i="1"/>
  <c r="AL46" i="1" s="1"/>
  <c r="AM46" i="1" s="1"/>
  <c r="AI320" i="1"/>
  <c r="AJ294" i="1"/>
  <c r="AK294" i="1" s="1"/>
  <c r="AL294" i="1" s="1"/>
  <c r="AM294" i="1" s="1"/>
  <c r="AK279" i="1"/>
  <c r="AL279" i="1" s="1"/>
  <c r="AM279" i="1" s="1"/>
  <c r="AJ274" i="1"/>
  <c r="AK274" i="1" s="1"/>
  <c r="AL274" i="1" s="1"/>
  <c r="AM274" i="1" s="1"/>
  <c r="AI237" i="1"/>
  <c r="AJ237" i="1" s="1"/>
  <c r="AI199" i="1"/>
  <c r="AJ199" i="1" s="1"/>
  <c r="AK199" i="1" s="1"/>
  <c r="AL199" i="1" s="1"/>
  <c r="AM199" i="1" s="1"/>
  <c r="AI132" i="1"/>
  <c r="AI34" i="1"/>
  <c r="AJ34" i="1" s="1"/>
  <c r="AK34" i="1" s="1"/>
  <c r="AL34" i="1" s="1"/>
  <c r="AM34" i="1" s="1"/>
  <c r="AI189" i="1"/>
  <c r="AJ189" i="1" s="1"/>
  <c r="AK189" i="1" s="1"/>
  <c r="AL189" i="1" s="1"/>
  <c r="AM189" i="1" s="1"/>
  <c r="AJ129" i="1"/>
  <c r="AK129" i="1" s="1"/>
  <c r="AL129" i="1" s="1"/>
  <c r="AM129" i="1" s="1"/>
  <c r="AI123" i="1"/>
  <c r="AJ116" i="1"/>
  <c r="AK116" i="1" s="1"/>
  <c r="AL116" i="1" s="1"/>
  <c r="AM116" i="1" s="1"/>
  <c r="AI60" i="1"/>
  <c r="AK342" i="1"/>
  <c r="AL342" i="1" s="1"/>
  <c r="AM342" i="1" s="1"/>
  <c r="AI202" i="1"/>
  <c r="AJ202" i="1" s="1"/>
  <c r="AK202" i="1" s="1"/>
  <c r="AL202" i="1" s="1"/>
  <c r="AM202" i="1" s="1"/>
  <c r="AI184" i="1"/>
  <c r="AK168" i="1"/>
  <c r="AL168" i="1" s="1"/>
  <c r="AM168" i="1" s="1"/>
  <c r="AI97" i="1"/>
  <c r="AJ69" i="1"/>
  <c r="AK69" i="1"/>
  <c r="AL69" i="1" s="1"/>
  <c r="AM69" i="1" s="1"/>
  <c r="AK23" i="1"/>
  <c r="AL23" i="1" s="1"/>
  <c r="AM23" i="1" s="1"/>
  <c r="AI300" i="1"/>
  <c r="AI241" i="1"/>
  <c r="AI41" i="1"/>
  <c r="AI121" i="1"/>
  <c r="AI110" i="1"/>
  <c r="AJ110" i="1"/>
  <c r="AI37" i="1"/>
  <c r="AI24" i="1"/>
  <c r="AJ160" i="1"/>
  <c r="AK160" i="1" s="1"/>
  <c r="AL160" i="1" s="1"/>
  <c r="AM160" i="1" s="1"/>
  <c r="AI155" i="1"/>
  <c r="AJ155" i="1" s="1"/>
  <c r="AJ99" i="1"/>
  <c r="AK99" i="1" s="1"/>
  <c r="AL99" i="1" s="1"/>
  <c r="AM99" i="1" s="1"/>
  <c r="AI88" i="1"/>
  <c r="AJ88" i="1"/>
  <c r="AI51" i="1"/>
  <c r="AJ51" i="1" s="1"/>
  <c r="AI179" i="1"/>
  <c r="AJ111" i="1"/>
  <c r="AK111" i="1"/>
  <c r="AL111" i="1" s="1"/>
  <c r="AM111" i="1" s="1"/>
  <c r="AI73" i="1"/>
  <c r="AI39" i="1"/>
  <c r="AJ39" i="1"/>
  <c r="AI33" i="1"/>
  <c r="AJ33" i="1" s="1"/>
  <c r="AK33" i="1" s="1"/>
  <c r="AL33" i="1" s="1"/>
  <c r="AM33" i="1" s="1"/>
  <c r="AJ86" i="1"/>
  <c r="AI74" i="1"/>
  <c r="AJ74" i="1" s="1"/>
  <c r="AI28" i="1"/>
  <c r="AK28" i="1" s="1"/>
  <c r="AL28" i="1" s="1"/>
  <c r="AM28" i="1" s="1"/>
  <c r="AJ28" i="1"/>
  <c r="AI192" i="1"/>
  <c r="AJ192" i="1" s="1"/>
  <c r="AI166" i="1"/>
  <c r="AJ166" i="1" s="1"/>
  <c r="AK166" i="1" s="1"/>
  <c r="AL166" i="1" s="1"/>
  <c r="AM166" i="1" s="1"/>
  <c r="AI145" i="1"/>
  <c r="AJ145" i="1"/>
  <c r="AI113" i="1"/>
  <c r="AI98" i="1"/>
  <c r="AJ98" i="1" s="1"/>
  <c r="AI81" i="1"/>
  <c r="AJ81" i="1" s="1"/>
  <c r="AI63" i="1"/>
  <c r="AJ63" i="1" s="1"/>
  <c r="AJ210" i="1"/>
  <c r="AK210" i="1" s="1"/>
  <c r="AL210" i="1" s="1"/>
  <c r="AM210" i="1" s="1"/>
  <c r="AI129" i="1"/>
  <c r="AK35" i="1" l="1"/>
  <c r="AL35" i="1" s="1"/>
  <c r="AM35" i="1" s="1"/>
  <c r="AK91" i="1"/>
  <c r="AL91" i="1" s="1"/>
  <c r="AM91" i="1" s="1"/>
  <c r="AK149" i="1"/>
  <c r="AL149" i="1" s="1"/>
  <c r="AM149" i="1" s="1"/>
  <c r="AJ35" i="1"/>
  <c r="AK19" i="1"/>
  <c r="AL19" i="1" s="1"/>
  <c r="AM19" i="1" s="1"/>
  <c r="AK139" i="1"/>
  <c r="AL139" i="1" s="1"/>
  <c r="AM139" i="1" s="1"/>
  <c r="AK191" i="1"/>
  <c r="AL191" i="1" s="1"/>
  <c r="AM191" i="1" s="1"/>
  <c r="AJ206" i="1"/>
  <c r="AK206" i="1" s="1"/>
  <c r="AL206" i="1" s="1"/>
  <c r="AM206" i="1" s="1"/>
  <c r="AK186" i="1"/>
  <c r="AL186" i="1" s="1"/>
  <c r="AM186" i="1" s="1"/>
  <c r="AK138" i="1"/>
  <c r="AL138" i="1" s="1"/>
  <c r="AM138" i="1" s="1"/>
  <c r="AJ326" i="1"/>
  <c r="AK326" i="1" s="1"/>
  <c r="AL326" i="1" s="1"/>
  <c r="AM326" i="1" s="1"/>
  <c r="AK282" i="1"/>
  <c r="AL282" i="1" s="1"/>
  <c r="AM282" i="1" s="1"/>
  <c r="AK81" i="1"/>
  <c r="AL81" i="1" s="1"/>
  <c r="AM81" i="1" s="1"/>
  <c r="AJ174" i="1"/>
  <c r="AK174" i="1" s="1"/>
  <c r="AL174" i="1" s="1"/>
  <c r="AM174" i="1" s="1"/>
  <c r="AK67" i="1"/>
  <c r="AL67" i="1" s="1"/>
  <c r="AM67" i="1" s="1"/>
  <c r="AK32" i="1"/>
  <c r="AL32" i="1" s="1"/>
  <c r="AM32" i="1" s="1"/>
  <c r="AK250" i="1"/>
  <c r="AL250" i="1" s="1"/>
  <c r="AM250" i="1" s="1"/>
  <c r="AK324" i="1"/>
  <c r="AL324" i="1" s="1"/>
  <c r="AM324" i="1" s="1"/>
  <c r="AK234" i="1"/>
  <c r="AL234" i="1" s="1"/>
  <c r="AM234" i="1" s="1"/>
  <c r="AK120" i="1"/>
  <c r="AL120" i="1" s="1"/>
  <c r="AM120" i="1" s="1"/>
  <c r="AK242" i="1"/>
  <c r="AL242" i="1" s="1"/>
  <c r="AM242" i="1" s="1"/>
  <c r="AK332" i="1"/>
  <c r="AL332" i="1" s="1"/>
  <c r="AM332" i="1" s="1"/>
  <c r="AJ79" i="1"/>
  <c r="AK79" i="1" s="1"/>
  <c r="AL79" i="1" s="1"/>
  <c r="AM79" i="1" s="1"/>
  <c r="AJ67" i="1"/>
  <c r="AK253" i="1"/>
  <c r="AL253" i="1" s="1"/>
  <c r="AM253" i="1" s="1"/>
  <c r="AK218" i="1"/>
  <c r="AL218" i="1" s="1"/>
  <c r="AM218" i="1" s="1"/>
  <c r="AK21" i="1"/>
  <c r="AL21" i="1" s="1"/>
  <c r="AM21" i="1" s="1"/>
  <c r="AK340" i="1"/>
  <c r="AL340" i="1" s="1"/>
  <c r="AM340" i="1" s="1"/>
  <c r="AJ119" i="1"/>
  <c r="AK119" i="1" s="1"/>
  <c r="AL119" i="1" s="1"/>
  <c r="AM119" i="1" s="1"/>
  <c r="AK158" i="1"/>
  <c r="AL158" i="1" s="1"/>
  <c r="AM158" i="1" s="1"/>
  <c r="AK338" i="1"/>
  <c r="AL338" i="1" s="1"/>
  <c r="AM338" i="1" s="1"/>
  <c r="AK251" i="1"/>
  <c r="AL251" i="1" s="1"/>
  <c r="AM251" i="1" s="1"/>
  <c r="AK278" i="1"/>
  <c r="AL278" i="1" s="1"/>
  <c r="AM278" i="1" s="1"/>
  <c r="AJ305" i="1"/>
  <c r="AK305" i="1" s="1"/>
  <c r="AL305" i="1" s="1"/>
  <c r="AM305" i="1" s="1"/>
  <c r="AK181" i="1"/>
  <c r="AL181" i="1" s="1"/>
  <c r="AM181" i="1" s="1"/>
  <c r="AK264" i="1"/>
  <c r="AL264" i="1" s="1"/>
  <c r="AM264" i="1" s="1"/>
  <c r="AJ134" i="1"/>
  <c r="AK134" i="1" s="1"/>
  <c r="AL134" i="1" s="1"/>
  <c r="AM134" i="1" s="1"/>
  <c r="AK131" i="1"/>
  <c r="AL131" i="1" s="1"/>
  <c r="AM131" i="1" s="1"/>
  <c r="AK254" i="1"/>
  <c r="AL254" i="1" s="1"/>
  <c r="AM254" i="1" s="1"/>
  <c r="AK39" i="1"/>
  <c r="AL39" i="1" s="1"/>
  <c r="AM39" i="1" s="1"/>
  <c r="AK76" i="1"/>
  <c r="AL76" i="1" s="1"/>
  <c r="AM76" i="1" s="1"/>
  <c r="AK145" i="1"/>
  <c r="AL145" i="1" s="1"/>
  <c r="AM145" i="1" s="1"/>
  <c r="AK73" i="1"/>
  <c r="AL73" i="1" s="1"/>
  <c r="AM73" i="1" s="1"/>
  <c r="AK110" i="1"/>
  <c r="AL110" i="1" s="1"/>
  <c r="AM110" i="1" s="1"/>
  <c r="AK172" i="1"/>
  <c r="AL172" i="1" s="1"/>
  <c r="AM172" i="1" s="1"/>
  <c r="AK103" i="1"/>
  <c r="AL103" i="1" s="1"/>
  <c r="AM103" i="1" s="1"/>
  <c r="AK350" i="1"/>
  <c r="AL350" i="1" s="1"/>
  <c r="AM350" i="1" s="1"/>
  <c r="AK126" i="1"/>
  <c r="AL126" i="1" s="1"/>
  <c r="AM126" i="1" s="1"/>
  <c r="AK150" i="1"/>
  <c r="AL150" i="1" s="1"/>
  <c r="AM150" i="1" s="1"/>
  <c r="AK72" i="1"/>
  <c r="AL72" i="1" s="1"/>
  <c r="AM72" i="1" s="1"/>
  <c r="AK263" i="1"/>
  <c r="AL263" i="1" s="1"/>
  <c r="AM263" i="1" s="1"/>
  <c r="AK346" i="1"/>
  <c r="AL346" i="1" s="1"/>
  <c r="AM346" i="1" s="1"/>
  <c r="AK106" i="1"/>
  <c r="AL106" i="1" s="1"/>
  <c r="AM106" i="1" s="1"/>
  <c r="AJ260" i="1"/>
  <c r="AK260" i="1" s="1"/>
  <c r="AL260" i="1" s="1"/>
  <c r="AM260" i="1" s="1"/>
  <c r="AK215" i="1"/>
  <c r="AL215" i="1" s="1"/>
  <c r="AM215" i="1" s="1"/>
  <c r="AK92" i="1"/>
  <c r="AL92" i="1" s="1"/>
  <c r="AM92" i="1" s="1"/>
  <c r="AK143" i="1"/>
  <c r="AL143" i="1" s="1"/>
  <c r="AM143" i="1" s="1"/>
  <c r="AK70" i="1"/>
  <c r="AL70" i="1" s="1"/>
  <c r="AM70" i="1" s="1"/>
  <c r="AJ60" i="1"/>
  <c r="AK60" i="1" s="1"/>
  <c r="AL60" i="1" s="1"/>
  <c r="AM60" i="1" s="1"/>
  <c r="AJ123" i="1"/>
  <c r="AK123" i="1" s="1"/>
  <c r="AL123" i="1" s="1"/>
  <c r="AM123" i="1" s="1"/>
  <c r="AK89" i="1"/>
  <c r="AL89" i="1" s="1"/>
  <c r="AM89" i="1" s="1"/>
  <c r="AK165" i="1"/>
  <c r="AL165" i="1" s="1"/>
  <c r="AM165" i="1" s="1"/>
  <c r="AK314" i="1"/>
  <c r="AL314" i="1" s="1"/>
  <c r="AM314" i="1" s="1"/>
  <c r="AJ313" i="1"/>
  <c r="AK313" i="1" s="1"/>
  <c r="AL313" i="1" s="1"/>
  <c r="AM313" i="1" s="1"/>
  <c r="AK299" i="1"/>
  <c r="AL299" i="1" s="1"/>
  <c r="AM299" i="1" s="1"/>
  <c r="AK152" i="1"/>
  <c r="AL152" i="1" s="1"/>
  <c r="AM152" i="1" s="1"/>
  <c r="AK58" i="1"/>
  <c r="AL58" i="1" s="1"/>
  <c r="AM58" i="1" s="1"/>
  <c r="AK117" i="1"/>
  <c r="AL117" i="1" s="1"/>
  <c r="AM117" i="1" s="1"/>
  <c r="AK272" i="1"/>
  <c r="AL272" i="1" s="1"/>
  <c r="AM272" i="1" s="1"/>
  <c r="AJ357" i="1"/>
  <c r="AK357" i="1" s="1"/>
  <c r="AL357" i="1" s="1"/>
  <c r="AM357" i="1" s="1"/>
  <c r="AK173" i="1"/>
  <c r="AL173" i="1" s="1"/>
  <c r="AM173" i="1" s="1"/>
  <c r="AK25" i="1"/>
  <c r="AL25" i="1" s="1"/>
  <c r="AM25" i="1" s="1"/>
  <c r="AK192" i="1"/>
  <c r="AL192" i="1" s="1"/>
  <c r="AM192" i="1" s="1"/>
  <c r="AK237" i="1"/>
  <c r="AL237" i="1" s="1"/>
  <c r="AM237" i="1" s="1"/>
  <c r="AJ147" i="1"/>
  <c r="AK147" i="1" s="1"/>
  <c r="AL147" i="1" s="1"/>
  <c r="AM147" i="1" s="1"/>
  <c r="AK245" i="1"/>
  <c r="AL245" i="1" s="1"/>
  <c r="AM245" i="1" s="1"/>
  <c r="AK156" i="1"/>
  <c r="AL156" i="1" s="1"/>
  <c r="AM156" i="1" s="1"/>
  <c r="AK63" i="1"/>
  <c r="AL63" i="1" s="1"/>
  <c r="AM63" i="1" s="1"/>
  <c r="AK59" i="1"/>
  <c r="AL59" i="1" s="1"/>
  <c r="AM59" i="1" s="1"/>
  <c r="AK36" i="1"/>
  <c r="AL36" i="1" s="1"/>
  <c r="AM36" i="1" s="1"/>
  <c r="AJ13" i="1"/>
  <c r="AK13" i="1" s="1"/>
  <c r="AL13" i="1" s="1"/>
  <c r="AM13" i="1" s="1"/>
  <c r="AK88" i="1"/>
  <c r="AL88" i="1" s="1"/>
  <c r="AM88" i="1" s="1"/>
  <c r="AK239" i="1"/>
  <c r="AL239" i="1" s="1"/>
  <c r="AM239" i="1" s="1"/>
  <c r="AK351" i="1"/>
  <c r="AL351" i="1" s="1"/>
  <c r="AM351" i="1" s="1"/>
  <c r="AK289" i="1"/>
  <c r="AL289" i="1" s="1"/>
  <c r="AM289" i="1" s="1"/>
  <c r="AK55" i="1"/>
  <c r="AL55" i="1" s="1"/>
  <c r="AM55" i="1" s="1"/>
  <c r="AK301" i="1"/>
  <c r="AL301" i="1" s="1"/>
  <c r="AM301" i="1" s="1"/>
  <c r="AK77" i="1"/>
  <c r="AL77" i="1" s="1"/>
  <c r="AM77" i="1" s="1"/>
  <c r="AK205" i="1"/>
  <c r="AL205" i="1" s="1"/>
  <c r="AM205" i="1" s="1"/>
  <c r="AK151" i="1"/>
  <c r="AL151" i="1" s="1"/>
  <c r="AM151" i="1" s="1"/>
  <c r="AK47" i="1"/>
  <c r="AL47" i="1" s="1"/>
  <c r="AM47" i="1" s="1"/>
  <c r="AK213" i="1"/>
  <c r="AL213" i="1" s="1"/>
  <c r="AM213" i="1" s="1"/>
  <c r="AK121" i="1"/>
  <c r="AL121" i="1" s="1"/>
  <c r="AM121" i="1" s="1"/>
  <c r="AK204" i="1"/>
  <c r="AL204" i="1" s="1"/>
  <c r="AM204" i="1" s="1"/>
  <c r="AK26" i="1"/>
  <c r="AL26" i="1" s="1"/>
  <c r="AM26" i="1" s="1"/>
  <c r="AK243" i="1"/>
  <c r="AL243" i="1" s="1"/>
  <c r="AM243" i="1" s="1"/>
  <c r="AJ249" i="1"/>
  <c r="AK249" i="1" s="1"/>
  <c r="AL249" i="1" s="1"/>
  <c r="AM249" i="1" s="1"/>
  <c r="AJ194" i="1"/>
  <c r="AK194" i="1" s="1"/>
  <c r="AL194" i="1" s="1"/>
  <c r="AM194" i="1" s="1"/>
  <c r="AK51" i="1"/>
  <c r="AL51" i="1" s="1"/>
  <c r="AM51" i="1" s="1"/>
  <c r="AK29" i="1"/>
  <c r="AL29" i="1" s="1"/>
  <c r="AM29" i="1" s="1"/>
  <c r="AJ204" i="1"/>
  <c r="AJ121" i="1"/>
  <c r="AJ265" i="1"/>
  <c r="AK265" i="1" s="1"/>
  <c r="AL265" i="1" s="1"/>
  <c r="AM265" i="1" s="1"/>
  <c r="AK107" i="1"/>
  <c r="AL107" i="1" s="1"/>
  <c r="AM107" i="1" s="1"/>
  <c r="AK310" i="1"/>
  <c r="AL310" i="1" s="1"/>
  <c r="AM310" i="1" s="1"/>
  <c r="AK178" i="1"/>
  <c r="AL178" i="1" s="1"/>
  <c r="AM178" i="1" s="1"/>
  <c r="AJ241" i="1"/>
  <c r="AK241" i="1"/>
  <c r="AL241" i="1" s="1"/>
  <c r="AM241" i="1" s="1"/>
  <c r="AK96" i="1"/>
  <c r="AL96" i="1" s="1"/>
  <c r="AM96" i="1" s="1"/>
  <c r="AK146" i="1"/>
  <c r="AL146" i="1" s="1"/>
  <c r="AM146" i="1" s="1"/>
  <c r="AK273" i="1"/>
  <c r="AL273" i="1" s="1"/>
  <c r="AM273" i="1" s="1"/>
  <c r="AJ233" i="1"/>
  <c r="AK233" i="1" s="1"/>
  <c r="AL233" i="1" s="1"/>
  <c r="AM233" i="1" s="1"/>
  <c r="AJ358" i="1"/>
  <c r="AK358" i="1" s="1"/>
  <c r="AL358" i="1" s="1"/>
  <c r="AM358" i="1" s="1"/>
  <c r="AJ82" i="1"/>
  <c r="AK82" i="1" s="1"/>
  <c r="AL82" i="1" s="1"/>
  <c r="AM82" i="1" s="1"/>
  <c r="AJ26" i="1"/>
  <c r="AK221" i="1"/>
  <c r="AL221" i="1" s="1"/>
  <c r="AM221" i="1" s="1"/>
  <c r="AK94" i="1"/>
  <c r="AL94" i="1" s="1"/>
  <c r="AM94" i="1" s="1"/>
  <c r="AK53" i="1"/>
  <c r="AL53" i="1" s="1"/>
  <c r="AM53" i="1" s="1"/>
  <c r="AK277" i="1"/>
  <c r="AL277" i="1" s="1"/>
  <c r="AM277" i="1" s="1"/>
  <c r="AK154" i="1"/>
  <c r="AL154" i="1" s="1"/>
  <c r="AM154" i="1" s="1"/>
  <c r="AK64" i="1"/>
  <c r="AL64" i="1" s="1"/>
  <c r="AM64" i="1" s="1"/>
  <c r="AJ153" i="1"/>
  <c r="AK153" i="1" s="1"/>
  <c r="AL153" i="1" s="1"/>
  <c r="AM153" i="1" s="1"/>
  <c r="AK219" i="1"/>
  <c r="AL219" i="1" s="1"/>
  <c r="AM219" i="1" s="1"/>
  <c r="AJ87" i="1"/>
  <c r="AK87" i="1" s="1"/>
  <c r="AL87" i="1" s="1"/>
  <c r="AM87" i="1" s="1"/>
  <c r="AJ266" i="1"/>
  <c r="AK266" i="1" s="1"/>
  <c r="AL266" i="1" s="1"/>
  <c r="AM266" i="1" s="1"/>
  <c r="AK230" i="1"/>
  <c r="AL230" i="1" s="1"/>
  <c r="AM230" i="1" s="1"/>
  <c r="AJ179" i="1"/>
  <c r="AK179" i="1" s="1"/>
  <c r="AL179" i="1" s="1"/>
  <c r="AM179" i="1" s="1"/>
  <c r="AJ243" i="1"/>
  <c r="AJ286" i="1"/>
  <c r="AK286" i="1" s="1"/>
  <c r="AL286" i="1" s="1"/>
  <c r="AM286" i="1" s="1"/>
  <c r="AK343" i="1"/>
  <c r="AL343" i="1" s="1"/>
  <c r="AM343" i="1" s="1"/>
  <c r="AK322" i="1"/>
  <c r="AL322" i="1" s="1"/>
  <c r="AM322" i="1" s="1"/>
  <c r="AK318" i="1"/>
  <c r="AL318" i="1" s="1"/>
  <c r="AM318" i="1" s="1"/>
  <c r="AK162" i="1"/>
  <c r="AL162" i="1" s="1"/>
  <c r="AM162" i="1" s="1"/>
  <c r="AK244" i="1"/>
  <c r="AL244" i="1" s="1"/>
  <c r="AM244" i="1" s="1"/>
  <c r="AJ320" i="1"/>
  <c r="AK320" i="1" s="1"/>
  <c r="AL320" i="1" s="1"/>
  <c r="AM320" i="1" s="1"/>
  <c r="AJ184" i="1"/>
  <c r="AK184" i="1" s="1"/>
  <c r="AL184" i="1" s="1"/>
  <c r="AM184" i="1" s="1"/>
  <c r="AJ355" i="1"/>
  <c r="AK355" i="1" s="1"/>
  <c r="AL355" i="1" s="1"/>
  <c r="AM355" i="1" s="1"/>
  <c r="AJ293" i="1"/>
  <c r="AK293" i="1"/>
  <c r="AL293" i="1" s="1"/>
  <c r="AM293" i="1" s="1"/>
  <c r="AK180" i="1"/>
  <c r="AL180" i="1" s="1"/>
  <c r="AM180" i="1" s="1"/>
  <c r="AK345" i="1"/>
  <c r="AL345" i="1" s="1"/>
  <c r="AM345" i="1" s="1"/>
  <c r="AJ113" i="1"/>
  <c r="AK113" i="1" s="1"/>
  <c r="AL113" i="1" s="1"/>
  <c r="AM113" i="1" s="1"/>
  <c r="AK341" i="1"/>
  <c r="AL341" i="1" s="1"/>
  <c r="AM341" i="1" s="1"/>
  <c r="AK327" i="1"/>
  <c r="AL327" i="1" s="1"/>
  <c r="AM327" i="1" s="1"/>
  <c r="AK135" i="1"/>
  <c r="AL135" i="1" s="1"/>
  <c r="AM135" i="1" s="1"/>
  <c r="AJ141" i="1"/>
  <c r="AK141" i="1" s="1"/>
  <c r="AL141" i="1" s="1"/>
  <c r="AM141" i="1" s="1"/>
  <c r="AJ41" i="1"/>
  <c r="AK41" i="1" s="1"/>
  <c r="AL41" i="1" s="1"/>
  <c r="AM41" i="1" s="1"/>
  <c r="AJ261" i="1"/>
  <c r="AK261" i="1" s="1"/>
  <c r="AL261" i="1" s="1"/>
  <c r="AM261" i="1" s="1"/>
  <c r="AJ132" i="1"/>
  <c r="AK132" i="1"/>
  <c r="AL132" i="1" s="1"/>
  <c r="AM132" i="1" s="1"/>
  <c r="AJ198" i="1"/>
  <c r="AK198" i="1" s="1"/>
  <c r="AL198" i="1" s="1"/>
  <c r="AM198" i="1" s="1"/>
  <c r="AJ349" i="1"/>
  <c r="AK349" i="1" s="1"/>
  <c r="AL349" i="1" s="1"/>
  <c r="AM349" i="1" s="1"/>
  <c r="AK285" i="1"/>
  <c r="AL285" i="1" s="1"/>
  <c r="AM285" i="1" s="1"/>
  <c r="AJ37" i="1"/>
  <c r="AK37" i="1" s="1"/>
  <c r="AL37" i="1" s="1"/>
  <c r="AM37" i="1" s="1"/>
  <c r="AK238" i="1"/>
  <c r="AL238" i="1" s="1"/>
  <c r="AM238" i="1" s="1"/>
  <c r="AK288" i="1"/>
  <c r="AL288" i="1" s="1"/>
  <c r="AM288" i="1" s="1"/>
  <c r="AK133" i="1"/>
  <c r="AL133" i="1" s="1"/>
  <c r="AM133" i="1" s="1"/>
  <c r="AJ236" i="1"/>
  <c r="AK236" i="1" s="1"/>
  <c r="AL236" i="1" s="1"/>
  <c r="AM236" i="1" s="1"/>
  <c r="AJ344" i="1"/>
  <c r="AK344" i="1" s="1"/>
  <c r="AL344" i="1" s="1"/>
  <c r="AM344" i="1" s="1"/>
  <c r="AK309" i="1"/>
  <c r="AL309" i="1" s="1"/>
  <c r="AM309" i="1" s="1"/>
  <c r="AK276" i="1"/>
  <c r="AL276" i="1" s="1"/>
  <c r="AM276" i="1" s="1"/>
  <c r="AK308" i="1"/>
  <c r="AL308" i="1" s="1"/>
  <c r="AM308" i="1" s="1"/>
  <c r="AK159" i="1"/>
  <c r="AL159" i="1" s="1"/>
  <c r="AM159" i="1" s="1"/>
  <c r="AK328" i="1"/>
  <c r="AL328" i="1" s="1"/>
  <c r="AM328" i="1" s="1"/>
  <c r="AK298" i="1"/>
  <c r="AL298" i="1" s="1"/>
  <c r="AM298" i="1" s="1"/>
  <c r="AK214" i="1"/>
  <c r="AL214" i="1" s="1"/>
  <c r="AM214" i="1" s="1"/>
  <c r="AK182" i="1"/>
  <c r="AL182" i="1" s="1"/>
  <c r="AM182" i="1" s="1"/>
  <c r="AK75" i="1"/>
  <c r="AL75" i="1" s="1"/>
  <c r="AM75" i="1" s="1"/>
  <c r="AJ300" i="1"/>
  <c r="AK300" i="1" s="1"/>
  <c r="AL300" i="1" s="1"/>
  <c r="AM300" i="1" s="1"/>
  <c r="AK171" i="1"/>
  <c r="AL171" i="1" s="1"/>
  <c r="AM171" i="1" s="1"/>
  <c r="AK284" i="1"/>
  <c r="AL284" i="1" s="1"/>
  <c r="AM284" i="1" s="1"/>
  <c r="AK155" i="1"/>
  <c r="AL155" i="1" s="1"/>
  <c r="AM155" i="1" s="1"/>
  <c r="AJ24" i="1"/>
  <c r="AK24" i="1" s="1"/>
  <c r="AL24" i="1" s="1"/>
  <c r="AM24" i="1" s="1"/>
  <c r="AK225" i="1"/>
  <c r="AL225" i="1" s="1"/>
  <c r="AM225" i="1" s="1"/>
  <c r="AK224" i="1"/>
  <c r="AL224" i="1" s="1"/>
  <c r="AM224" i="1" s="1"/>
  <c r="AK74" i="1"/>
  <c r="AL74" i="1" s="1"/>
  <c r="AM74" i="1" s="1"/>
  <c r="AK195" i="1"/>
  <c r="AL195" i="1" s="1"/>
  <c r="AM195" i="1" s="1"/>
  <c r="AJ97" i="1"/>
  <c r="AK97" i="1"/>
  <c r="AL97" i="1" s="1"/>
  <c r="AM97" i="1" s="1"/>
  <c r="AK161" i="1"/>
  <c r="AL161" i="1" s="1"/>
  <c r="AM161" i="1" s="1"/>
  <c r="AK62" i="1"/>
  <c r="AL62" i="1" s="1"/>
  <c r="AM62" i="1" s="1"/>
  <c r="AK356" i="1"/>
  <c r="AL356" i="1" s="1"/>
  <c r="AM356" i="1" s="1"/>
  <c r="AJ228" i="1"/>
  <c r="AK228" i="1"/>
  <c r="AL228" i="1" s="1"/>
  <c r="AM228" i="1" s="1"/>
  <c r="AK257" i="1"/>
  <c r="AL257" i="1" s="1"/>
  <c r="AM257" i="1" s="1"/>
  <c r="AK142" i="1"/>
  <c r="AL142" i="1" s="1"/>
  <c r="AM142" i="1" s="1"/>
  <c r="AK290" i="1"/>
  <c r="AL290" i="1" s="1"/>
  <c r="AM290" i="1" s="1"/>
  <c r="AK95" i="1"/>
  <c r="AL95" i="1" s="1"/>
  <c r="AM95" i="1" s="1"/>
  <c r="AK137" i="1"/>
  <c r="AL137" i="1" s="1"/>
  <c r="AM137" i="1" s="1"/>
  <c r="AK84" i="1"/>
  <c r="AL84" i="1" s="1"/>
  <c r="AM84" i="1" s="1"/>
  <c r="AK98" i="1"/>
  <c r="AL98" i="1" s="1"/>
  <c r="AM98" i="1" s="1"/>
  <c r="AJ271" i="1"/>
  <c r="AK271" i="1" s="1"/>
  <c r="AL271" i="1" s="1"/>
  <c r="AM271" i="1" s="1"/>
  <c r="AK65" i="1"/>
  <c r="AL65" i="1" s="1"/>
  <c r="AM65" i="1" s="1"/>
  <c r="AK27" i="1"/>
  <c r="AL27" i="1" s="1"/>
  <c r="AM27" i="1" s="1"/>
  <c r="AK337" i="1"/>
  <c r="AL337" i="1" s="1"/>
  <c r="AM337" i="1" s="1"/>
  <c r="AJ317" i="1"/>
  <c r="AK317" i="1" s="1"/>
  <c r="AL317" i="1" s="1"/>
  <c r="AM317" i="1" s="1"/>
  <c r="Z3" i="1" l="1"/>
  <c r="AA7" i="5"/>
  <c r="V7" i="5"/>
  <c r="AE6" i="5"/>
  <c r="Y6" i="5"/>
  <c r="Z6" i="5" s="1"/>
  <c r="AD6" i="5" s="1"/>
  <c r="AE5" i="5"/>
  <c r="Y5" i="5"/>
  <c r="Z5" i="5" s="1"/>
  <c r="AE4" i="5"/>
  <c r="Y4" i="5"/>
  <c r="Z4" i="5" s="1"/>
  <c r="AE3" i="5"/>
  <c r="Y3" i="5"/>
  <c r="AE2" i="5"/>
  <c r="Y2" i="5"/>
  <c r="Z2" i="5" s="1"/>
  <c r="AD2" i="5" s="1"/>
  <c r="W7" i="4"/>
  <c r="T7" i="4"/>
  <c r="Z6" i="4"/>
  <c r="U6" i="4"/>
  <c r="V6" i="4" s="1"/>
  <c r="Z5" i="4"/>
  <c r="U5" i="4"/>
  <c r="V5" i="4" s="1"/>
  <c r="Z4" i="4"/>
  <c r="U4" i="4"/>
  <c r="V4" i="4" s="1"/>
  <c r="Z3" i="4"/>
  <c r="U3" i="4"/>
  <c r="V3" i="4" s="1"/>
  <c r="Z2" i="4"/>
  <c r="U2" i="4"/>
  <c r="W7" i="3"/>
  <c r="T7" i="3"/>
  <c r="Z6" i="3"/>
  <c r="U6" i="3"/>
  <c r="V6" i="3" s="1"/>
  <c r="Z5" i="3"/>
  <c r="U5" i="3"/>
  <c r="V5" i="3" s="1"/>
  <c r="Z4" i="3"/>
  <c r="U4" i="3"/>
  <c r="V4" i="3" s="1"/>
  <c r="Z3" i="3"/>
  <c r="U3" i="3"/>
  <c r="V3" i="3" s="1"/>
  <c r="Z2" i="3"/>
  <c r="U2" i="3"/>
  <c r="V2" i="3" s="1"/>
  <c r="Y2" i="3" s="1"/>
  <c r="U7" i="4" l="1"/>
  <c r="Y7" i="5"/>
  <c r="AD4" i="5"/>
  <c r="AC4" i="5"/>
  <c r="AD5" i="5"/>
  <c r="AC5" i="5"/>
  <c r="AC2" i="5"/>
  <c r="AC6" i="5"/>
  <c r="Z3" i="5"/>
  <c r="X5" i="4"/>
  <c r="Y5" i="4"/>
  <c r="Y3" i="4"/>
  <c r="X3" i="4"/>
  <c r="Y4" i="4"/>
  <c r="X4" i="4"/>
  <c r="X6" i="4"/>
  <c r="Y6" i="4"/>
  <c r="V2" i="4"/>
  <c r="Y5" i="3"/>
  <c r="X5" i="3"/>
  <c r="Y3" i="3"/>
  <c r="X3" i="3"/>
  <c r="Y4" i="3"/>
  <c r="X4" i="3"/>
  <c r="Y6" i="3"/>
  <c r="X6" i="3"/>
  <c r="V7" i="3"/>
  <c r="U7" i="3"/>
  <c r="X2" i="3"/>
  <c r="Z7" i="5" l="1"/>
  <c r="AD3" i="5"/>
  <c r="AC3" i="5"/>
  <c r="AC7" i="5" s="1"/>
  <c r="V7" i="4"/>
  <c r="Y2" i="4"/>
  <c r="X2" i="4"/>
  <c r="X7" i="4" s="1"/>
  <c r="X7" i="3"/>
  <c r="AS9" i="1" l="1"/>
  <c r="AS10" i="1"/>
  <c r="AS11" i="1"/>
  <c r="AS12" i="1"/>
  <c r="AS8" i="1" l="1"/>
  <c r="R3" i="1"/>
  <c r="AB12" i="1"/>
  <c r="AA12" i="1"/>
  <c r="Y12" i="1"/>
  <c r="Z12" i="1" s="1"/>
  <c r="AP12" i="1" s="1"/>
  <c r="AB11" i="1"/>
  <c r="AC11" i="1" s="1"/>
  <c r="AD11" i="1" s="1"/>
  <c r="AE11" i="1" s="1"/>
  <c r="AA11" i="1"/>
  <c r="Y11" i="1"/>
  <c r="Z11" i="1" s="1"/>
  <c r="AP11" i="1" s="1"/>
  <c r="AB10" i="1"/>
  <c r="AA10" i="1"/>
  <c r="Y10" i="1"/>
  <c r="Z10" i="1" s="1"/>
  <c r="AB9" i="1"/>
  <c r="AA9" i="1"/>
  <c r="Y9" i="1"/>
  <c r="Z9" i="1" s="1"/>
  <c r="AP9" i="1" s="1"/>
  <c r="AC8" i="1"/>
  <c r="AD8" i="1" s="1"/>
  <c r="AE8" i="1" s="1"/>
  <c r="AB8" i="1"/>
  <c r="AA8" i="1"/>
  <c r="Y8" i="1"/>
  <c r="Z8" i="1" l="1"/>
  <c r="Y465" i="1"/>
  <c r="AC12" i="1"/>
  <c r="AD12" i="1"/>
  <c r="AE12" i="1" s="1"/>
  <c r="AF12" i="1" s="1"/>
  <c r="AG12" i="1" s="1"/>
  <c r="AH12" i="1" s="1"/>
  <c r="AC10" i="1"/>
  <c r="AD10" i="1"/>
  <c r="AE10" i="1" s="1"/>
  <c r="AF10" i="1" s="1"/>
  <c r="AG10" i="1" s="1"/>
  <c r="AC9" i="1"/>
  <c r="AD9" i="1" s="1"/>
  <c r="AP10" i="1"/>
  <c r="AR10" i="1"/>
  <c r="AR12" i="1"/>
  <c r="AR11" i="1"/>
  <c r="AR9" i="1"/>
  <c r="AC465" i="1"/>
  <c r="AB465" i="1"/>
  <c r="AA465" i="1"/>
  <c r="AF11" i="1"/>
  <c r="AG11" i="1" s="1"/>
  <c r="AF8" i="1"/>
  <c r="AP8" i="1" l="1"/>
  <c r="Z465" i="1"/>
  <c r="AR8" i="1"/>
  <c r="AP465" i="1"/>
  <c r="AD465" i="1"/>
  <c r="AE9" i="1"/>
  <c r="AE465" i="1" s="1"/>
  <c r="AF9" i="1"/>
  <c r="AG9" i="1" s="1"/>
  <c r="AI12" i="1"/>
  <c r="AH9" i="1"/>
  <c r="AG8" i="1"/>
  <c r="AH10" i="1"/>
  <c r="AI10" i="1" s="1"/>
  <c r="AH11" i="1"/>
  <c r="AJ12" i="1" l="1"/>
  <c r="AK12" i="1" s="1"/>
  <c r="AL12" i="1" s="1"/>
  <c r="AM12" i="1" s="1"/>
  <c r="AI9" i="1"/>
  <c r="AJ9" i="1" s="1"/>
  <c r="AI11" i="1"/>
  <c r="AJ11" i="1" s="1"/>
  <c r="AJ10" i="1"/>
  <c r="AK10" i="1" s="1"/>
  <c r="AL10" i="1" s="1"/>
  <c r="AM10" i="1" s="1"/>
  <c r="AH8" i="1"/>
  <c r="AK11" i="1" l="1"/>
  <c r="AL11" i="1" s="1"/>
  <c r="AM11" i="1" s="1"/>
  <c r="AK9" i="1"/>
  <c r="AL9" i="1" s="1"/>
  <c r="AM9" i="1" s="1"/>
  <c r="AI8" i="1"/>
  <c r="AJ8" i="1" s="1"/>
  <c r="AK8" i="1" s="1"/>
  <c r="AL8" i="1" s="1"/>
  <c r="AM8" i="1" l="1"/>
  <c r="AM465" i="1" s="1"/>
  <c r="S3" i="1" s="1"/>
  <c r="AL465" i="1"/>
</calcChain>
</file>

<file path=xl/sharedStrings.xml><?xml version="1.0" encoding="utf-8"?>
<sst xmlns="http://schemas.openxmlformats.org/spreadsheetml/2006/main" count="7879" uniqueCount="2370">
  <si>
    <t>سجل المشترين (اسم المشروع)</t>
  </si>
  <si>
    <t xml:space="preserve">م </t>
  </si>
  <si>
    <t>اسم العميل</t>
  </si>
  <si>
    <t>رقم الهوية</t>
  </si>
  <si>
    <t>رقم الجوال</t>
  </si>
  <si>
    <t>رقم المنطقة (ZONE)</t>
  </si>
  <si>
    <t>رقم الوحدة</t>
  </si>
  <si>
    <t>رقم البلوك</t>
  </si>
  <si>
    <t>رقم العقد</t>
  </si>
  <si>
    <t>نوع العقد</t>
  </si>
  <si>
    <t>نوع التمويل</t>
  </si>
  <si>
    <t>اسم الجهة التمويلية</t>
  </si>
  <si>
    <t>تاريخ بيع الوحدة</t>
  </si>
  <si>
    <t>النسبة المستقطعة</t>
  </si>
  <si>
    <t>المحصل من بداية المشروع</t>
  </si>
  <si>
    <t xml:space="preserve">المبلغ المتبقي من قيمة الوحدة </t>
  </si>
  <si>
    <t>المجموع</t>
  </si>
  <si>
    <t>اسم المشروع</t>
  </si>
  <si>
    <t>اعلى سعر بيع</t>
  </si>
  <si>
    <t>اقل سعر بيع</t>
  </si>
  <si>
    <t>متوسط سعر البيع</t>
  </si>
  <si>
    <t>الوسيط (Median)</t>
  </si>
  <si>
    <t>المنوال القيمة الأكثر تكرارية</t>
  </si>
  <si>
    <t>نسبة التحصيل</t>
  </si>
  <si>
    <t>ملاحظة: لا يتم تعبئة المرفق</t>
  </si>
  <si>
    <t>عدد الوحدات المباعة</t>
  </si>
  <si>
    <t>قيمة الوحدات المباعة</t>
  </si>
  <si>
    <t>مبلغ الاشراف</t>
  </si>
  <si>
    <t>المساحة</t>
  </si>
  <si>
    <t>سعر المتر</t>
  </si>
  <si>
    <t>متوسط سعر المتر</t>
  </si>
  <si>
    <t>نوع الوحدة</t>
  </si>
  <si>
    <t>الحي</t>
  </si>
  <si>
    <t>تاريخ ترخيص المشروع</t>
  </si>
  <si>
    <t>نوع المشتري (الغاء /إعادة بيع)</t>
  </si>
  <si>
    <t xml:space="preserve">ملاحظة: في هذه الشريحة يتم إضافة المشتري الملغي  باللون الرمادي ويتم إضافة المشتري الجديد باللون الأبيض </t>
  </si>
  <si>
    <t>ملاحظة: في هذه الشريحة يتم إضافة ا الوحدات الملغية والتي لم يتم إعادة بيعها</t>
  </si>
  <si>
    <t>ملاحظة: في هذه الشريحة يتم إضافة  الوحدات المنجزة وتم صدور خطاب الموافقة على الإنجاز</t>
  </si>
  <si>
    <t>ملاحظة: في هذه الشريحة يتم إضافة التالي ( الوحدات المباعة والغير منجزة ، الوحدات المعاد بيعها ، الوحدات الملغية ولم يتم إعادة بيعها</t>
  </si>
  <si>
    <t>(5%) ضريبة التصرفات العقارية</t>
  </si>
  <si>
    <t>قيمة الوحدة شاملة ضريبة التصرفات العقارية</t>
  </si>
  <si>
    <t>سعر الوحدة قبل ضريبة التصرفات العقارية</t>
  </si>
  <si>
    <t>تاريخ التسليم</t>
  </si>
  <si>
    <t>المنطقة</t>
  </si>
  <si>
    <t>المدينة</t>
  </si>
  <si>
    <t>حالة التسليم</t>
  </si>
  <si>
    <t>إجمالي المبالغ المحصل  قيمتها دون الضريبة منذ بداية المشروع</t>
  </si>
  <si>
    <t>إجمالي المبالغ المحصل  قيمتها شامل الضريبة منذ بداية المشروع</t>
  </si>
  <si>
    <t>نوع الإقامة</t>
  </si>
  <si>
    <t>الجنسية</t>
  </si>
  <si>
    <t>عدد مرات بيع الوحدة</t>
  </si>
  <si>
    <t>رقم الدفعة</t>
  </si>
  <si>
    <t xml:space="preserve">نوع الـ ID ( أحوال وطنية ، إقامة ، جواز  </t>
  </si>
  <si>
    <t>الاشراف والمتابعة اليومية 2026</t>
  </si>
  <si>
    <t>الاشراف والمتابعة لعام2026</t>
  </si>
  <si>
    <t>امير سالم نماء العميري امير سالم نماء العميري</t>
  </si>
  <si>
    <t>وليد محمد المولد</t>
  </si>
  <si>
    <t>سلطان محمد جارالله المالكي</t>
  </si>
  <si>
    <t>محمد منصور محمد العيد</t>
  </si>
  <si>
    <t>فيصل شجاع خالد السبيعي</t>
  </si>
  <si>
    <t>سعدون مبارك النفيعي</t>
  </si>
  <si>
    <t>ماجد يحى معيني</t>
  </si>
  <si>
    <t>محمد حميد بن علي البوجباره</t>
  </si>
  <si>
    <t>سعود بن ناصر بن بخيت الصدعان</t>
  </si>
  <si>
    <t>عادل هادي لغبي</t>
  </si>
  <si>
    <t>عبدالله ناصر بخيت الصدعان</t>
  </si>
  <si>
    <t>محمد مفرح عسيري</t>
  </si>
  <si>
    <t>ضاوي خلف ضاوي العتيبي</t>
  </si>
  <si>
    <t>محمد سالم بلقيث الغانمي</t>
  </si>
  <si>
    <t>ابراهيم بن يحيى بن محنش حمدي</t>
  </si>
  <si>
    <t>مبارك سعد مبارك الدوسري</t>
  </si>
  <si>
    <t>عبدالاله هادي القحطاني</t>
  </si>
  <si>
    <t>جلوي غزاي العتيبي</t>
  </si>
  <si>
    <t>فهد ندر زيد البواردي</t>
  </si>
  <si>
    <t>عادل عطيه الزهراني</t>
  </si>
  <si>
    <t>فواز بن سعد بن علي السعران</t>
  </si>
  <si>
    <t>تركي بن حسن بن عمر العميري</t>
  </si>
  <si>
    <t>عبدالاله سعود طلق العتيبي</t>
  </si>
  <si>
    <t>ناصر ابراهيم ناصر الصامطي</t>
  </si>
  <si>
    <t>راشد سالم حمد المحسن</t>
  </si>
  <si>
    <t>حمود داهم القحطانى</t>
  </si>
  <si>
    <t>فهد بن علي بن عالي الغامدي</t>
  </si>
  <si>
    <t>محمد عامر الاسمري</t>
  </si>
  <si>
    <t>فهد داهم سعد القحطانى</t>
  </si>
  <si>
    <t>سعيد عثمان باجعفر</t>
  </si>
  <si>
    <t>عيد عايد بن عيد العميري</t>
  </si>
  <si>
    <t>تهاني بنت عايض بن مساعد العتيبي</t>
  </si>
  <si>
    <t>فيصل بن سلطان بن علي القحطاني</t>
  </si>
  <si>
    <t>يحيى بن علي النعمي</t>
  </si>
  <si>
    <t>زياد طهيف بن راشد الشكره</t>
  </si>
  <si>
    <t>عادل هادي غايب العميري</t>
  </si>
  <si>
    <t>احمد بن محمد بن احمد خرمي</t>
  </si>
  <si>
    <t>خليل حزام ابن علي المالكي</t>
  </si>
  <si>
    <t>رايد صنيهيت سعيد العتيبي</t>
  </si>
  <si>
    <t>عبدالعزيز  بن عبدالله بن عبده خرمي</t>
  </si>
  <si>
    <t>سعود عبدالله مداوي الوادعي</t>
  </si>
  <si>
    <t>زيد سليمان عبدالعزيز ال ورثان</t>
  </si>
  <si>
    <t>ظافر سعيد الحارثي</t>
  </si>
  <si>
    <t>مسفر سريهيد العتيبي</t>
  </si>
  <si>
    <t>زناد عبدالله الزهراني</t>
  </si>
  <si>
    <t>عبدالعزيز  احمد عوضه الشمراني</t>
  </si>
  <si>
    <t>شيخه عبدالعزيز فالح القحطاني</t>
  </si>
  <si>
    <t>شيخه ابراهيم بن سعود آل موسى</t>
  </si>
  <si>
    <t>منصور عايض مستور العتيبي</t>
  </si>
  <si>
    <t>محمد علي عبدالله الدوسري</t>
  </si>
  <si>
    <t>عبدالله بن عبدالكريم بن جويعد</t>
  </si>
  <si>
    <t>موسى ابراهيم بن ابراهيم حكمي</t>
  </si>
  <si>
    <t>احمد بن جابر بن عبده طوهري</t>
  </si>
  <si>
    <t>عبدالرحمن بن حسن بن علي خبراني</t>
  </si>
  <si>
    <t>سلطان بن جبران بن حسين قحطاني</t>
  </si>
  <si>
    <t>محمود بن محمد بن أحمد زهاني</t>
  </si>
  <si>
    <t>ياسر تركي الفهيد</t>
  </si>
  <si>
    <t>بسام جرادي بن سلمان ودعاني</t>
  </si>
  <si>
    <t>ابراهيم خليل بن ابراهيم رواس</t>
  </si>
  <si>
    <t>محمد عبدالله الغامدي</t>
  </si>
  <si>
    <t>ايمن بن سعود بن عطاالله العميري</t>
  </si>
  <si>
    <t>فيصل الحميدي المطيري</t>
  </si>
  <si>
    <t>ظافر راشد ظافر الدوسري</t>
  </si>
  <si>
    <t>عبدالرحمن راشد ظافر الدوسري</t>
  </si>
  <si>
    <t>سطام راشد ظافر الدوسري</t>
  </si>
  <si>
    <t>محمد  علي محمد هزازي</t>
  </si>
  <si>
    <t>عبدالله مشعي معجب الدوسري</t>
  </si>
  <si>
    <t>فراج بن راشد بن محمد الدوسري</t>
  </si>
  <si>
    <t>فيصل مسفر القحطاني</t>
  </si>
  <si>
    <t>احمد يحيي لغبى</t>
  </si>
  <si>
    <t>رياض طهيف بن راشد الشكره</t>
  </si>
  <si>
    <t>محمد عبدالله عبده خرمي</t>
  </si>
  <si>
    <t>عبدالرحمن ابراهيم ال قعود</t>
  </si>
  <si>
    <t>عبدالله بن مفرح الزهراني</t>
  </si>
  <si>
    <t>ساره محمد احمد الشهراني</t>
  </si>
  <si>
    <t>فهيد داهم القحطانى</t>
  </si>
  <si>
    <t>احمد محمد المشيخي</t>
  </si>
  <si>
    <t>عبدالله سالم المحسن</t>
  </si>
  <si>
    <t>خالد بن عبدالواحد القحطاني</t>
  </si>
  <si>
    <t>محمد فهد محمد العجالين</t>
  </si>
  <si>
    <t>عبدالرحمن بن الحميدي بن معتاد المطيري</t>
  </si>
  <si>
    <t>عبدالرحمن عبدالله العمري</t>
  </si>
  <si>
    <t>خالد علي عبده فقيهي</t>
  </si>
  <si>
    <t>عبدالعزيز بن مبارك بن موفي الدوسري</t>
  </si>
  <si>
    <t>محمد علي احمد البارقي</t>
  </si>
  <si>
    <t>نوره مفلح مبارك آل زعير</t>
  </si>
  <si>
    <t>ابراهيم حزام ابن علي المالكي</t>
  </si>
  <si>
    <t>ندى بنت محمد بن احمد خرمي</t>
  </si>
  <si>
    <t>سلطان   بن فهد بن محمد القحطاني</t>
  </si>
  <si>
    <t>هياء سعيدان  ال سالم</t>
  </si>
  <si>
    <t>محمد بن مسفر  بن ضيف الله العتيبي</t>
  </si>
  <si>
    <t>عبدالله منصور عبدالله الونيس</t>
  </si>
  <si>
    <t>سليمان داوود سلمان السعد</t>
  </si>
  <si>
    <t>ماجد حامد محمد المالكي</t>
  </si>
  <si>
    <t>علي عبده محمد حامضي</t>
  </si>
  <si>
    <t>سعوود العتيبي</t>
  </si>
  <si>
    <t>ياسين ظافر الشهري</t>
  </si>
  <si>
    <t>سامي خضر علي الزهراني</t>
  </si>
  <si>
    <t>محمد جازي العتيبي</t>
  </si>
  <si>
    <t>سلمان  شقير العتيبي</t>
  </si>
  <si>
    <t>عناد ذياب ناهض العتيبي</t>
  </si>
  <si>
    <t>علي حسن هزازي</t>
  </si>
  <si>
    <t>عبدالمحسن  سعيد السهلي</t>
  </si>
  <si>
    <t>ابراهيم  ناصر الدوسري</t>
  </si>
  <si>
    <t>سالم سعيد  الشهراني</t>
  </si>
  <si>
    <t>عبدالمحسن  ابراهيم الوادي</t>
  </si>
  <si>
    <t>يحيى بن هادي  بن محمد مجرشي</t>
  </si>
  <si>
    <t>عبدالمجيد  علي المسعود</t>
  </si>
  <si>
    <t>عبدالرحمن مفلح بن محمد القحطاني</t>
  </si>
  <si>
    <t>خالد بن عبدالله  بن هادي رياني</t>
  </si>
  <si>
    <t>عبدالرحمن بن  شافي بن عائض القحطاني</t>
  </si>
  <si>
    <t>عبدالعزيز الميموني</t>
  </si>
  <si>
    <t>فهد علي  بجوي</t>
  </si>
  <si>
    <t>فيصل فهد  سليمان</t>
  </si>
  <si>
    <t>عبد العزيز عبد الله  الهليل</t>
  </si>
  <si>
    <t>خلف بن ريض  بن مبارك الدوسري</t>
  </si>
  <si>
    <t>عبدالله  سعيد الشهراني</t>
  </si>
  <si>
    <t>نوال عياد بن  عبدالله الحربي</t>
  </si>
  <si>
    <t>طلال عبدالرحيم  محمد العمودي</t>
  </si>
  <si>
    <t>عبدالرحمن جارالله  المالكي</t>
  </si>
  <si>
    <t>متعب بن رضاء  الشمري</t>
  </si>
  <si>
    <t>عيسى مسعود  الدوسري</t>
  </si>
  <si>
    <t>عادل قناص  فنغيش الشمري</t>
  </si>
  <si>
    <t>عبدالله حسن  الفيفي</t>
  </si>
  <si>
    <t>عبدالله علي  عبدالله الاحمري</t>
  </si>
  <si>
    <t>عبدالجواد  عوض سعيد القحطاني</t>
  </si>
  <si>
    <t>فيصل حسين  عبدالله القحطانى</t>
  </si>
  <si>
    <t>فيصل محمد  ناصر القحطاني</t>
  </si>
  <si>
    <t>محمد علي هزازي</t>
  </si>
  <si>
    <t>خالد بن فالح  بن اسيمر الحربي</t>
  </si>
  <si>
    <t>علي عمر  طاهر عاتي</t>
  </si>
  <si>
    <t>ابراهيم بنيان  الشمري</t>
  </si>
  <si>
    <t>محمد يحي  مجرشي</t>
  </si>
  <si>
    <t>سعد زيد البواردي</t>
  </si>
  <si>
    <t>زيد محمد  زيد التميمي</t>
  </si>
  <si>
    <t>ساميه نزال  بن عصري العنزي</t>
  </si>
  <si>
    <t>نايف  حسن اليامي</t>
  </si>
  <si>
    <t>ياسر قناص  فنغيش الشمري</t>
  </si>
  <si>
    <t>ريان يوسف  بن براهيم السويد</t>
  </si>
  <si>
    <t>حمود صلاح  صالح العديني</t>
  </si>
  <si>
    <t>سلطان ناصر   سعد الدوسري</t>
  </si>
  <si>
    <t>عبدالعزيز  ابراهيم محمد الكناني</t>
  </si>
  <si>
    <t>عبدالله بن محمد  بن سالم الصيعري</t>
  </si>
  <si>
    <t>عبدالله محمد  العجمي</t>
  </si>
  <si>
    <t>محمد عبده  احمد ابو دوشه</t>
  </si>
  <si>
    <t>سعيد بخان بن  سالم الغامدي</t>
  </si>
  <si>
    <t>دهام عبدالمجيد  القويضي</t>
  </si>
  <si>
    <t>فهد صالح  صويلح المطيري</t>
  </si>
  <si>
    <t>يحى اسماعيل  علي الزهراني</t>
  </si>
  <si>
    <t>منصور  عواض المطيري</t>
  </si>
  <si>
    <t>فهد فهاد بن  علي العيفان</t>
  </si>
  <si>
    <t>سلطان مطلق  العتيبي</t>
  </si>
  <si>
    <t>سلطان حامد  بن ابراهيم الزهراني</t>
  </si>
  <si>
    <t>محمد بن احمد  بن طاهر عاتي</t>
  </si>
  <si>
    <t>وائل أحمد  يحيى الفيفي</t>
  </si>
  <si>
    <t>فهد بن محمد  بن علي الضفيان</t>
  </si>
  <si>
    <t>مسفر عايض فهد القحطاني</t>
  </si>
  <si>
    <t>عادل  احمد عاتي</t>
  </si>
  <si>
    <t>حمزه حسن عايض الشهراني</t>
  </si>
  <si>
    <t>حسين صالح  الصيعري</t>
  </si>
  <si>
    <t>سلطان عبدالله مسدف النعيمي</t>
  </si>
  <si>
    <t>احمد  محمد احمد عبدالله</t>
  </si>
  <si>
    <t>منير   زايد  حمدي الشيباني</t>
  </si>
  <si>
    <t>إسلام بن علي البيات</t>
  </si>
  <si>
    <t>عبدالعزيز عثمان  قوزي الشهري</t>
  </si>
  <si>
    <t>رميز محمد ربوعي</t>
  </si>
  <si>
    <t>ريم جازي بن كنيخر العتيبي</t>
  </si>
  <si>
    <t>هادي  محمد محمد حامظي</t>
  </si>
  <si>
    <t>عبدالله عيسى كريري</t>
  </si>
  <si>
    <t>عبدالله عويضه احمد الربعي</t>
  </si>
  <si>
    <t>علي حاصل علي عسيري</t>
  </si>
  <si>
    <t>عبدالرحمن بنيان الشمري</t>
  </si>
  <si>
    <t>رائد  ع احمد صرخي</t>
  </si>
  <si>
    <t>سلطان عمر بن محسن العتيبي</t>
  </si>
  <si>
    <t>فهيد مقعد السبيعي</t>
  </si>
  <si>
    <t>رقية بنت علي البيات</t>
  </si>
  <si>
    <t>عبدالله خزيم السهلي</t>
  </si>
  <si>
    <t>بدرية  بنت يحى بن هادي مشنوي</t>
  </si>
  <si>
    <t>فهد وقيان الدوسري</t>
  </si>
  <si>
    <t>حسن علي حكمي</t>
  </si>
  <si>
    <t>نايف جزاء مرزوق العتيبي</t>
  </si>
  <si>
    <t>راشد صلاح العديني</t>
  </si>
  <si>
    <t>عبدالله منصور الحربي</t>
  </si>
  <si>
    <t>عبدالله مسفر القحطاني</t>
  </si>
  <si>
    <t>عبدالرحمن عبدالله أبورقة</t>
  </si>
  <si>
    <t>عبدالمحسن بن حمدان سليمان السكران</t>
  </si>
  <si>
    <t>عبدالرحمن  محمد حسن حكمي</t>
  </si>
  <si>
    <t>سفر  بندر سفر الشاطري المطيري</t>
  </si>
  <si>
    <t>يحيى زكريا عاتي</t>
  </si>
  <si>
    <t>صالح محمد الغامدي</t>
  </si>
  <si>
    <t>أحمد عبدالمغني بخاري</t>
  </si>
  <si>
    <t>سلمان سعد مسفر القرني</t>
  </si>
  <si>
    <t>مريم  محمد علي هزازي</t>
  </si>
  <si>
    <t>خالد  محمد  عطاالله ال سعد</t>
  </si>
  <si>
    <t>راشد محمد بن فريج الدوسري</t>
  </si>
  <si>
    <t>عثمان ابراهيم احمد مباركي</t>
  </si>
  <si>
    <t>طلال عبدالله مطلق المقاطي</t>
  </si>
  <si>
    <t>علي عيسى كريري</t>
  </si>
  <si>
    <t>عبدالله  علي عبدالله المساعده الدوسري</t>
  </si>
  <si>
    <t>محمد فواز المالكي</t>
  </si>
  <si>
    <t>خالد  مبروك العديني</t>
  </si>
  <si>
    <t>متعب حسن حمدان المنتشري</t>
  </si>
  <si>
    <t>عايش  مذكر عبدالرحمن الحارثي</t>
  </si>
  <si>
    <t>خالد حسن عبدالله المالكي</t>
  </si>
  <si>
    <t>عبدالعزيز محمد الشهراني</t>
  </si>
  <si>
    <t>عبدالله  مقعد فهيد الصميلي السبيعي</t>
  </si>
  <si>
    <t>محمد عبدالله احمد دلاك</t>
  </si>
  <si>
    <t>صقر غرم الله الغامدي</t>
  </si>
  <si>
    <t>سامي محمد زايد عسيري</t>
  </si>
  <si>
    <t>عبدالله  عوضه العمري</t>
  </si>
  <si>
    <t>عبدالله عبدالرحمن الكليب</t>
  </si>
  <si>
    <t>سيف طهيف بن راشد الشكره</t>
  </si>
  <si>
    <t>خالد علي زين</t>
  </si>
  <si>
    <t>محمد ناصر محمد بن دبلان</t>
  </si>
  <si>
    <t>أحمد  حسن احمد الربعي</t>
  </si>
  <si>
    <t>يحي ابراهيم محمد مساوي</t>
  </si>
  <si>
    <t>حميد   جابر سحاري</t>
  </si>
  <si>
    <t>احمد محمد عبدالله الخميس</t>
  </si>
  <si>
    <t>خالد محمد ناصر الدرجاني</t>
  </si>
  <si>
    <t>صالح حامد العديني</t>
  </si>
  <si>
    <t>فيحان  متلع مرزوق المطيري</t>
  </si>
  <si>
    <t>منيره يحيى مفلح الشغيثري</t>
  </si>
  <si>
    <t>عبدالله ثامر سلطان الثوري  السبيعي</t>
  </si>
  <si>
    <t>عبدالله محمد علي مسيري</t>
  </si>
  <si>
    <t>سلطان  ناصر صنيتان الحربي</t>
  </si>
  <si>
    <t>عبدالرحمن محي يحي المالكي</t>
  </si>
  <si>
    <t>مشعل مطلق بن مشعي الدوسري</t>
  </si>
  <si>
    <t>محمد عويضه الربعي</t>
  </si>
  <si>
    <t>راشد علي ال طالب</t>
  </si>
  <si>
    <t>بجاد محمد سند القحطاني</t>
  </si>
  <si>
    <t>عبدالله محمد الأسمري</t>
  </si>
  <si>
    <t>عبدالكريم عبدالله الصحبي</t>
  </si>
  <si>
    <t>نفل بن علي بن محمد الصخابره</t>
  </si>
  <si>
    <t>فيصل رشود بن مهيزع</t>
  </si>
  <si>
    <t>أحمد محمد بن يحيى عواجي</t>
  </si>
  <si>
    <t>عائض  سعود ابن سعيد القحطاني</t>
  </si>
  <si>
    <t>سلطان  صالح بن مبارك بالعبيد</t>
  </si>
  <si>
    <t>هشام محمد عبده فقيري</t>
  </si>
  <si>
    <t>ماجد مبارك الفراج</t>
  </si>
  <si>
    <t>عبدالمجيد بن علي بن محمد الغامدي</t>
  </si>
  <si>
    <t>متعب  مقبل مذكر القحطاني</t>
  </si>
  <si>
    <t>سعود  سليمان النوفل</t>
  </si>
  <si>
    <t>علي حسن محمد سهلي</t>
  </si>
  <si>
    <t>عبدالله محمد ابوقيس</t>
  </si>
  <si>
    <t>تركي مداد العتيبي</t>
  </si>
  <si>
    <t>يحيى احمد طاهر عاتي</t>
  </si>
  <si>
    <t>سالم  علي محمد الغامدي</t>
  </si>
  <si>
    <t>تركي بن سعيد بن محمد الحارثي</t>
  </si>
  <si>
    <t>عبدالرحمن بن موسى بن حمود مسرحي</t>
  </si>
  <si>
    <t>عبدالله  راشد بن محمد الدوسري</t>
  </si>
  <si>
    <t>سامي علي يحي قشيش</t>
  </si>
  <si>
    <t>ناصر بن غلفان بن يحيى قشيش</t>
  </si>
  <si>
    <t>عبدالله محمد علي الشهري</t>
  </si>
  <si>
    <t>سلمان محمد علي حكمي</t>
  </si>
  <si>
    <t>منصور علي قاسم شراحيلي</t>
  </si>
  <si>
    <t>حمود  مبارك عبدالله ال ثواب</t>
  </si>
  <si>
    <t>بندر   ابراهيم محمد بن زعير</t>
  </si>
  <si>
    <t>فهد حسن محمد سهلي</t>
  </si>
  <si>
    <t>سلطان سعيد الغامدي</t>
  </si>
  <si>
    <t>ابراهيم محمد بن ابراهيم التميمي</t>
  </si>
  <si>
    <t>سلمان زبن متعب العتيبي</t>
  </si>
  <si>
    <t>ناصر محمد ناصر السيف</t>
  </si>
  <si>
    <t>احمد بن جابر بن علي الشهري</t>
  </si>
  <si>
    <t>عيسى  احمد كريري</t>
  </si>
  <si>
    <t>احمد يحيى حكمي</t>
  </si>
  <si>
    <t>ثامر مطلق بركي العتيبي</t>
  </si>
  <si>
    <t>شديد مطلق العتيبي</t>
  </si>
  <si>
    <t>عبدالعزيز ابراهيم البراهيم</t>
  </si>
  <si>
    <t>سلطان مهدي الحازمي</t>
  </si>
  <si>
    <t>ياسر مقبل عواض العصيمي</t>
  </si>
  <si>
    <t>ذياب  الحميدي بن معتاد المطيري</t>
  </si>
  <si>
    <t>فلاح  فهد فهيد القحطاني</t>
  </si>
  <si>
    <t>فهد هادي فهد القحطاني</t>
  </si>
  <si>
    <t>متعب  محمد الامير</t>
  </si>
  <si>
    <t>مهدي  حمد ناجي الدوسري</t>
  </si>
  <si>
    <t>ابراهيم بن عبدالله بن محمد عكور</t>
  </si>
  <si>
    <t>محمد سليمان حمدي</t>
  </si>
  <si>
    <t>عبدالله معمس بن شامان الرشيدي</t>
  </si>
  <si>
    <t>حسن يزيد الفيفي</t>
  </si>
  <si>
    <t>فريج محمد صيتان السبيعي</t>
  </si>
  <si>
    <t>محمد  حسن الاسمري</t>
  </si>
  <si>
    <t>ماجد محمد عبدالرحمن الشهري</t>
  </si>
  <si>
    <t>فراج عايض صنيدح البقمي</t>
  </si>
  <si>
    <t>فهد محمد فهد الطريقي</t>
  </si>
  <si>
    <t>مشاري  منصور محمد القحطاني</t>
  </si>
  <si>
    <t>فاطمه محمد سعود المتواسي</t>
  </si>
  <si>
    <t>عبدالرحمن سالم بن يحي الفيفي</t>
  </si>
  <si>
    <t>مسفر وقيان دحيم الدوسري</t>
  </si>
  <si>
    <t>ياسر  راشد عبدالله الجرفين الدوسري</t>
  </si>
  <si>
    <t>عبدالعزيز احمد يحيى الاعجم</t>
  </si>
  <si>
    <t>عبدالله عبيد خميس المتعاني</t>
  </si>
  <si>
    <t>محمد  عبدالله علي جراح</t>
  </si>
  <si>
    <t>علي محمد علي حساني</t>
  </si>
  <si>
    <t>عوض بن خلف بن عوض الروقي العتيبي</t>
  </si>
  <si>
    <t>سعيد بن سعد ال عثمان</t>
  </si>
  <si>
    <t>سلطان سند بن سعيد الروقي</t>
  </si>
  <si>
    <t>علي بن يحي بن علي قوفشي</t>
  </si>
  <si>
    <t>ظافر جمعان عبدالهادي الدوسري</t>
  </si>
  <si>
    <t>صالح بن محمد بن سالم الصيعري</t>
  </si>
  <si>
    <t>فوزان بن معيض بن شارع البقمي</t>
  </si>
  <si>
    <t>محمد  علي عولقي</t>
  </si>
  <si>
    <t>محمد عبدالله الحزيم</t>
  </si>
  <si>
    <t>عثمان  سعد عثمان بن حميد</t>
  </si>
  <si>
    <t>ناصر مسعود محمد القحطاني</t>
  </si>
  <si>
    <t>صنات بزيع العتيبي</t>
  </si>
  <si>
    <t>محمد ناصر علي</t>
  </si>
  <si>
    <t>حسن بن غلفان بن يحيى قشيش</t>
  </si>
  <si>
    <t>نواف بن عبدالله بن مفلح الدوسري</t>
  </si>
  <si>
    <t>عبدالرحمن  عبدالله العنزي</t>
  </si>
  <si>
    <t>عبدالرحمن محمد سالم الشهري</t>
  </si>
  <si>
    <t>محمد بن ناصر بن فهيد القحطاني</t>
  </si>
  <si>
    <t>نايف بن عماش بن عباس آل عمار</t>
  </si>
  <si>
    <t>عالي عايض سبيل الحربي</t>
  </si>
  <si>
    <t>عبدالله فهد فهيد القحطاني</t>
  </si>
  <si>
    <t>أنس بن عبدالله بن مفلح الدوسري</t>
  </si>
  <si>
    <t>طلال محمد القحطاني</t>
  </si>
  <si>
    <t>فيصل دهيم الدوسري</t>
  </si>
  <si>
    <t>سعيد مبارك الدوسري</t>
  </si>
  <si>
    <t>فواز شويمان عائض الرشيدي</t>
  </si>
  <si>
    <t>عبدالعزيز غانم بن مطلق الدوسري</t>
  </si>
  <si>
    <t>عبدالله مسفر موسى الشمراني</t>
  </si>
  <si>
    <t>سعد احمد الجبيري</t>
  </si>
  <si>
    <t>عبدالرحمن عبدالعزيز بن ناصر الهضيبي</t>
  </si>
  <si>
    <t>ثواب محمد عبيد السبيعي</t>
  </si>
  <si>
    <t>خالد سند دارع العميري</t>
  </si>
  <si>
    <t>عبدالعزيز فهد ناصر الشكره</t>
  </si>
  <si>
    <t>عبدالعزيز  بن غزاى بن مطر الحربي</t>
  </si>
  <si>
    <t>بندر بن هادي بن فهد القحطاني</t>
  </si>
  <si>
    <t>عبدالله ابراهيم سعود العبودي</t>
  </si>
  <si>
    <t>عايض فهيد القحطاني</t>
  </si>
  <si>
    <t>هزاع مناحي عسكر العتيبي</t>
  </si>
  <si>
    <t>ابراهيم سليمان ابراهيم الشبانات</t>
  </si>
  <si>
    <t>ابراهيم عيسى شعيب</t>
  </si>
  <si>
    <t>فهد بن مفرح بن محمد القحطاني</t>
  </si>
  <si>
    <t>احمد  عبدالله عبدالرحمن الشعيل</t>
  </si>
  <si>
    <t>ياسر سليمان عبدالكريم الرسيني</t>
  </si>
  <si>
    <t>عبدالعزيز يحي عبده عواف</t>
  </si>
  <si>
    <t>علي عبدالله الشمراني</t>
  </si>
  <si>
    <t>حسن حمود شريف</t>
  </si>
  <si>
    <t>عائشه بنت محمد بن احمد هزازي</t>
  </si>
  <si>
    <t>فارس بن محسن بن محمد العتيبي</t>
  </si>
  <si>
    <t>مسفر علي مسفر القحطاني</t>
  </si>
  <si>
    <t>عبدالله بن فهد بن ناصر الشكره</t>
  </si>
  <si>
    <t>عبدالله بن سعيد بن عبدالله الغامدي</t>
  </si>
  <si>
    <t>محمد مكى محمد زين</t>
  </si>
  <si>
    <t>سعد بن فهيد بن محمد النتيفات</t>
  </si>
  <si>
    <t>ابراهيم  مبارك عبدالعزيز الدواس</t>
  </si>
  <si>
    <t>سلمان  سعيد سالم الصيعري</t>
  </si>
  <si>
    <t>احمد علي محمد العماري</t>
  </si>
  <si>
    <t>سعد نغيش العلياني</t>
  </si>
  <si>
    <t>عبدالرحمن بن محمد بن هندي الغامدي</t>
  </si>
  <si>
    <t>منيره بنت عايض بن سبيل الحربي</t>
  </si>
  <si>
    <t>خالد ابراهيم محمد العروان</t>
  </si>
  <si>
    <t>محمد محسن فالح القحطاني</t>
  </si>
  <si>
    <t>عبدالله  الحميدي عفتان الحربي</t>
  </si>
  <si>
    <t>حمدان  زايد مسفر الحارثي</t>
  </si>
  <si>
    <t>عهود فهد الدخيل</t>
  </si>
  <si>
    <t>عبدالله سبيل العنزي</t>
  </si>
  <si>
    <t>وليد عليان جعثون الحربي</t>
  </si>
  <si>
    <t>حسين نهار الشهراني</t>
  </si>
  <si>
    <t>عبدالله  بن مطر بن برجس العتيبي</t>
  </si>
  <si>
    <t>عبدالعزيز بن سلطان بن فهد الحميد</t>
  </si>
  <si>
    <t>عبدالأله بن عبدالله بن مفلح الدوسري</t>
  </si>
  <si>
    <t>عايض ابن سعد القرني</t>
  </si>
  <si>
    <t>علي حمد الدوسري</t>
  </si>
  <si>
    <t>سلطان بن محمد بن عائض الحارثي</t>
  </si>
  <si>
    <t>عبدالله محمد ناصر الدرجاني</t>
  </si>
  <si>
    <t>ياسر  عبدالرحمن العويس</t>
  </si>
  <si>
    <t>عيسى بدر عيسى العتيبي</t>
  </si>
  <si>
    <t>علي فائز علي الشهري</t>
  </si>
  <si>
    <t>عبدالعزيز علي سعد الشهراني</t>
  </si>
  <si>
    <t>فواز محمد قيسي</t>
  </si>
  <si>
    <t>عادل طلال العتيبي</t>
  </si>
  <si>
    <t>عمر بن سعود بن ابراهيم السبيعي</t>
  </si>
  <si>
    <t>سلطان سالم ناصر القحطاني</t>
  </si>
  <si>
    <t>علي بن محمد بن علي المريشد</t>
  </si>
  <si>
    <t>فهد بن محمد بن شوعي مجرشي</t>
  </si>
  <si>
    <t>محمد بن ظافر بن ناصر القرني</t>
  </si>
  <si>
    <t>مسفر بن محمد بن شتين القحطاني</t>
  </si>
  <si>
    <t>علي محمد الشهري</t>
  </si>
  <si>
    <t>داود سليمان الكبان</t>
  </si>
  <si>
    <t>عبدالله يحيى ابراهيم الدوسري</t>
  </si>
  <si>
    <t>فيصل  رشيد شنيان الرويلي</t>
  </si>
  <si>
    <t>عبدالله محمد   سالم الشهري</t>
  </si>
  <si>
    <t>احمد منصور صنيتان الحربي</t>
  </si>
  <si>
    <t>محمد  شافي  محمد النتيفات</t>
  </si>
  <si>
    <t>محسن بن محمد بن حماد النتيفات</t>
  </si>
  <si>
    <t>سعود محمد سعد النتيفات</t>
  </si>
  <si>
    <t>عبيد بن علي بن عبيد الواسي</t>
  </si>
  <si>
    <t>عايض محمد سالم الشهري</t>
  </si>
  <si>
    <t>خالد دخيل الله بن ظافر الشبوي</t>
  </si>
  <si>
    <t>سلطانه  بنت رشيد بن شنيان الرويلي</t>
  </si>
  <si>
    <t>عبدالرحمن بن مشعل بن سعيد الحارثي</t>
  </si>
  <si>
    <t>خالد عبدالله الشهري</t>
  </si>
  <si>
    <t>مبارك  فيصل المطيري</t>
  </si>
  <si>
    <t>ناشي  مرثع صقر العميري</t>
  </si>
  <si>
    <t>قدري علي جبراني</t>
  </si>
  <si>
    <t>عبدالله بن سعد بن عبدالله آل هاشم</t>
  </si>
  <si>
    <t>عمرو ظافر العمري</t>
  </si>
  <si>
    <t>عمر سالم مسعد العلوي</t>
  </si>
  <si>
    <t>سلمان سالم ساعد الطلحي</t>
  </si>
  <si>
    <t>عبدالله محمد سالم الشهري</t>
  </si>
  <si>
    <t>عبدالعزيز مروان بن طالب</t>
  </si>
  <si>
    <t>علي سعيد الشهري</t>
  </si>
  <si>
    <t>علي محمد شوعي علوي</t>
  </si>
  <si>
    <t>عبدالله احمد مجدوع الشهري</t>
  </si>
  <si>
    <t>علي يحيى مباركي</t>
  </si>
  <si>
    <t>تركي  سعد عبدالرحمن المنيصير</t>
  </si>
  <si>
    <t>عبدالقادر عائض عواض المطيري</t>
  </si>
  <si>
    <t>علي عبدالله محمد الشهراني</t>
  </si>
  <si>
    <t>سعيد  عبدالله القحطاني</t>
  </si>
  <si>
    <t>دخيل الله علي العلياني</t>
  </si>
  <si>
    <t>عبدالرحمن علي يحي قشيش</t>
  </si>
  <si>
    <t>ناصر شبنان الغامدي</t>
  </si>
  <si>
    <t>سعيد  معيض القحطاني</t>
  </si>
  <si>
    <t>عادل عيسى علي الفيفي</t>
  </si>
  <si>
    <t>محمد عبدالرحمن الحويطي</t>
  </si>
  <si>
    <t>عبدالهادي محمد الشهري</t>
  </si>
  <si>
    <t>خالد عبدالله السبيعي</t>
  </si>
  <si>
    <t>جابر احمد محمد خير</t>
  </si>
  <si>
    <t>عبدالله بن سراج بن سعيد الزهراني</t>
  </si>
  <si>
    <t>عبدالرحمن علي جبران غفه</t>
  </si>
  <si>
    <t>عبدالله دوشي محسن طوهري</t>
  </si>
  <si>
    <t>ماجد  فيصل بجد المطيري</t>
  </si>
  <si>
    <t>تركى  عبدالرحمن بن علي بن شيحان</t>
  </si>
  <si>
    <t>عبدالله فهيد آل طلحاب</t>
  </si>
  <si>
    <t>مشعل عيد دخيل الله الشبوي</t>
  </si>
  <si>
    <t>بدر علي الشهري</t>
  </si>
  <si>
    <t>محمد  بن حمد بن بداح ال لحيان</t>
  </si>
  <si>
    <t>بندر محمد هادي أل بالقرب الشهراني</t>
  </si>
  <si>
    <t>فالح بن فليح بن حمزه الشطيطي المطيري</t>
  </si>
  <si>
    <t>مشاري بن شباب بن رزيق العضيله المطيري</t>
  </si>
  <si>
    <t>محمد بن حمد بن محمد العرجي القحطاني</t>
  </si>
  <si>
    <t>ثامر بن فيصل بن بجد المطيري</t>
  </si>
  <si>
    <t>يحيى بن سليمان بن علي محلي</t>
  </si>
  <si>
    <t>محمد بن عوض بن ناصر القربي الشهراني</t>
  </si>
  <si>
    <t>محمد بن أحمد بن محمد معيني</t>
  </si>
  <si>
    <t>فهد بن محمد بن عبده فقيري</t>
  </si>
  <si>
    <t>حسين بن محمد بن حسين القحطاني</t>
  </si>
  <si>
    <t>راشد بن محمد بن راشد الحركان</t>
  </si>
  <si>
    <t>اسماعيل بن نزار بن عمر كريز</t>
  </si>
  <si>
    <t>ابراهيم بن ماجد بن محمد الدوسري</t>
  </si>
  <si>
    <t>فهد بن راشد بن مطلق ال سعد   القحطاني</t>
  </si>
  <si>
    <t>راكان محمد حمود المعيلي</t>
  </si>
  <si>
    <t>محمد عبيد الله الحربي</t>
  </si>
  <si>
    <t>راشد بن الحميدي بن معتاد العضيله المطيري</t>
  </si>
  <si>
    <t>عبدالعزيز قيس سالم العلياني</t>
  </si>
  <si>
    <t>يحيى علي يحي  خ خبراني</t>
  </si>
  <si>
    <t>مؤسسة الإسكان التنموي الاهلية - سكن</t>
  </si>
  <si>
    <t>خالد طالع سفر  اليابسي المطيري</t>
  </si>
  <si>
    <t>خالد سعود محمد  ال رشود</t>
  </si>
  <si>
    <t>بندر  بن عبدالعزيز بن حمد بن حركان</t>
  </si>
  <si>
    <t>سعد بن محسن بن محمد  النتيفي</t>
  </si>
  <si>
    <t>عبدالله  سعد بن  معدي القحطاني</t>
  </si>
  <si>
    <t>جابر بن محسن بن محمد  النتيفي</t>
  </si>
  <si>
    <t>1085100160</t>
  </si>
  <si>
    <t>1064526070</t>
  </si>
  <si>
    <t>1009555044</t>
  </si>
  <si>
    <t>1094139522</t>
  </si>
  <si>
    <t>1073295659</t>
  </si>
  <si>
    <t>1082220557</t>
  </si>
  <si>
    <t>1077162889</t>
  </si>
  <si>
    <t>1092776069</t>
  </si>
  <si>
    <t>1106526476</t>
  </si>
  <si>
    <t>1100795747</t>
  </si>
  <si>
    <t>1106526468</t>
  </si>
  <si>
    <t>1077810008</t>
  </si>
  <si>
    <t>1077894853</t>
  </si>
  <si>
    <t>1079912554</t>
  </si>
  <si>
    <t>1126049293</t>
  </si>
  <si>
    <t>1084878840</t>
  </si>
  <si>
    <t>1079457311</t>
  </si>
  <si>
    <t>1057566497</t>
  </si>
  <si>
    <t>1067942902</t>
  </si>
  <si>
    <t>1061873202</t>
  </si>
  <si>
    <t>1089182750</t>
  </si>
  <si>
    <t>1087851596</t>
  </si>
  <si>
    <t>1093619086</t>
  </si>
  <si>
    <t>1082419340</t>
  </si>
  <si>
    <t>1086494299</t>
  </si>
  <si>
    <t>1057295683</t>
  </si>
  <si>
    <t>1055011165</t>
  </si>
  <si>
    <t>1037668074</t>
  </si>
  <si>
    <t>1086776034</t>
  </si>
  <si>
    <t>1035001344</t>
  </si>
  <si>
    <t>1075123677</t>
  </si>
  <si>
    <t>1060480363</t>
  </si>
  <si>
    <t>1063698037</t>
  </si>
  <si>
    <t>1049839978</t>
  </si>
  <si>
    <t>1092227618</t>
  </si>
  <si>
    <t>1077583530</t>
  </si>
  <si>
    <t>1124586163</t>
  </si>
  <si>
    <t>1092339280</t>
  </si>
  <si>
    <t>1086910740</t>
  </si>
  <si>
    <t>1096964141</t>
  </si>
  <si>
    <t>1063099616</t>
  </si>
  <si>
    <t>1119016663</t>
  </si>
  <si>
    <t>1059427789</t>
  </si>
  <si>
    <t>1049063462</t>
  </si>
  <si>
    <t>1083789949</t>
  </si>
  <si>
    <t>1080428806</t>
  </si>
  <si>
    <t>1077778684</t>
  </si>
  <si>
    <t>1092339215</t>
  </si>
  <si>
    <t>1078306774</t>
  </si>
  <si>
    <t>1108686393</t>
  </si>
  <si>
    <t>1005924640</t>
  </si>
  <si>
    <t>1091601128</t>
  </si>
  <si>
    <t>1103116867</t>
  </si>
  <si>
    <t>1102350970</t>
  </si>
  <si>
    <t>1102267620</t>
  </si>
  <si>
    <t>1088086499</t>
  </si>
  <si>
    <t>1050464872</t>
  </si>
  <si>
    <t>1090344803</t>
  </si>
  <si>
    <t>1101645321</t>
  </si>
  <si>
    <t>1057588590</t>
  </si>
  <si>
    <t>1075467140</t>
  </si>
  <si>
    <t>1099240317</t>
  </si>
  <si>
    <t>1071981920</t>
  </si>
  <si>
    <t>1077227260</t>
  </si>
  <si>
    <t>1099600817</t>
  </si>
  <si>
    <t>1152024590</t>
  </si>
  <si>
    <t>1038317879</t>
  </si>
  <si>
    <t>1094556899</t>
  </si>
  <si>
    <t>1073172353</t>
  </si>
  <si>
    <t>1053848972</t>
  </si>
  <si>
    <t>1117113744</t>
  </si>
  <si>
    <t>1100763471</t>
  </si>
  <si>
    <t>1048096406</t>
  </si>
  <si>
    <t>1008693374</t>
  </si>
  <si>
    <t>1011401435</t>
  </si>
  <si>
    <t>1057295667</t>
  </si>
  <si>
    <t>1040784165</t>
  </si>
  <si>
    <t>1022550030</t>
  </si>
  <si>
    <t>1017462118</t>
  </si>
  <si>
    <t>1072863416</t>
  </si>
  <si>
    <t>1099240382</t>
  </si>
  <si>
    <t>1090439801</t>
  </si>
  <si>
    <t>1006864142</t>
  </si>
  <si>
    <t>1085965968</t>
  </si>
  <si>
    <t>1082750314</t>
  </si>
  <si>
    <t>1083823300</t>
  </si>
  <si>
    <t>1086986484</t>
  </si>
  <si>
    <t>1092299146</t>
  </si>
  <si>
    <t>1102305206</t>
  </si>
  <si>
    <t>1040967943</t>
  </si>
  <si>
    <t>1084278108</t>
  </si>
  <si>
    <t>1089445538</t>
  </si>
  <si>
    <t>1037646112</t>
  </si>
  <si>
    <t>1060663331</t>
  </si>
  <si>
    <t>1073943589</t>
  </si>
  <si>
    <t>1087567234</t>
  </si>
  <si>
    <t>1063821225</t>
  </si>
  <si>
    <t>1061733018</t>
  </si>
  <si>
    <t>1077750618</t>
  </si>
  <si>
    <t>1060434832</t>
  </si>
  <si>
    <t>1062381072</t>
  </si>
  <si>
    <t>1072612631</t>
  </si>
  <si>
    <t>1041254341</t>
  </si>
  <si>
    <t>1110359278</t>
  </si>
  <si>
    <t>1056112368</t>
  </si>
  <si>
    <t>1064261124</t>
  </si>
  <si>
    <t>1110361183</t>
  </si>
  <si>
    <t>1082269141</t>
  </si>
  <si>
    <t>1096123060</t>
  </si>
  <si>
    <t>1075502508</t>
  </si>
  <si>
    <t>1078004999</t>
  </si>
  <si>
    <t>1078088851</t>
  </si>
  <si>
    <t>1067503621</t>
  </si>
  <si>
    <t>1081437889</t>
  </si>
  <si>
    <t>1080492745</t>
  </si>
  <si>
    <t>1112162381</t>
  </si>
  <si>
    <t>1049076308</t>
  </si>
  <si>
    <t>1036679486</t>
  </si>
  <si>
    <t>1057711150</t>
  </si>
  <si>
    <t>1003805809</t>
  </si>
  <si>
    <t>1008615781</t>
  </si>
  <si>
    <t>1047385586</t>
  </si>
  <si>
    <t>1085315818</t>
  </si>
  <si>
    <t>1063376352</t>
  </si>
  <si>
    <t>1060020227</t>
  </si>
  <si>
    <t>1059298669</t>
  </si>
  <si>
    <t>1081987776</t>
  </si>
  <si>
    <t>1097494841</t>
  </si>
  <si>
    <t>1056963208</t>
  </si>
  <si>
    <t>1083466696</t>
  </si>
  <si>
    <t>1011159728</t>
  </si>
  <si>
    <t>1056229881</t>
  </si>
  <si>
    <t>1060429089</t>
  </si>
  <si>
    <t>1072676958</t>
  </si>
  <si>
    <t>1037438734</t>
  </si>
  <si>
    <t>1065660548</t>
  </si>
  <si>
    <t>1082854066</t>
  </si>
  <si>
    <t>1089110652</t>
  </si>
  <si>
    <t>1092087418</t>
  </si>
  <si>
    <t>1089110868</t>
  </si>
  <si>
    <t>1063136517</t>
  </si>
  <si>
    <t>1082659671</t>
  </si>
  <si>
    <t>1021580558</t>
  </si>
  <si>
    <t>1016947994</t>
  </si>
  <si>
    <t>1034664480</t>
  </si>
  <si>
    <t>1078876107</t>
  </si>
  <si>
    <t>1034150977</t>
  </si>
  <si>
    <t>1057924290</t>
  </si>
  <si>
    <t>1070883077</t>
  </si>
  <si>
    <t>1000128965</t>
  </si>
  <si>
    <t>1078157235</t>
  </si>
  <si>
    <t>1015664509</t>
  </si>
  <si>
    <t>1067295459</t>
  </si>
  <si>
    <t>1009950476</t>
  </si>
  <si>
    <t>1074740398</t>
  </si>
  <si>
    <t>1100943156</t>
  </si>
  <si>
    <t>1091489649</t>
  </si>
  <si>
    <t>1061192777</t>
  </si>
  <si>
    <t>1111643019</t>
  </si>
  <si>
    <t>1093294898</t>
  </si>
  <si>
    <t>1089947806</t>
  </si>
  <si>
    <t>1032620153</t>
  </si>
  <si>
    <t>1120452824</t>
  </si>
  <si>
    <t>1018753663</t>
  </si>
  <si>
    <t>1062054331</t>
  </si>
  <si>
    <t>1054746860</t>
  </si>
  <si>
    <t>1057722454</t>
  </si>
  <si>
    <t>1047542152</t>
  </si>
  <si>
    <t>1001782943</t>
  </si>
  <si>
    <t>1060542279</t>
  </si>
  <si>
    <t>1095758015</t>
  </si>
  <si>
    <t>1068158623</t>
  </si>
  <si>
    <t>1074946573</t>
  </si>
  <si>
    <t>1060385463</t>
  </si>
  <si>
    <t>1060553458</t>
  </si>
  <si>
    <t>1018753614</t>
  </si>
  <si>
    <t>1071714388</t>
  </si>
  <si>
    <t>1048019390</t>
  </si>
  <si>
    <t>1078008529</t>
  </si>
  <si>
    <t>1055797664</t>
  </si>
  <si>
    <t>1056683160</t>
  </si>
  <si>
    <t>1089110876</t>
  </si>
  <si>
    <t>1110649314</t>
  </si>
  <si>
    <t>1064759184</t>
  </si>
  <si>
    <t>1096014079</t>
  </si>
  <si>
    <t>1048300113</t>
  </si>
  <si>
    <t>1079986269</t>
  </si>
  <si>
    <t>1030369308</t>
  </si>
  <si>
    <t>1085218616</t>
  </si>
  <si>
    <t>1086478011</t>
  </si>
  <si>
    <t>1079861207</t>
  </si>
  <si>
    <t>1105718744</t>
  </si>
  <si>
    <t>1043181666</t>
  </si>
  <si>
    <t>1091471829</t>
  </si>
  <si>
    <t>1059889723</t>
  </si>
  <si>
    <t>1038501225</t>
  </si>
  <si>
    <t>1078603600</t>
  </si>
  <si>
    <t>1018091114</t>
  </si>
  <si>
    <t>1074414119</t>
  </si>
  <si>
    <t>1045032693</t>
  </si>
  <si>
    <t>1087655815</t>
  </si>
  <si>
    <t>1087314140</t>
  </si>
  <si>
    <t>1085356853</t>
  </si>
  <si>
    <t>1088628993</t>
  </si>
  <si>
    <t>1095430375</t>
  </si>
  <si>
    <t>1098963190</t>
  </si>
  <si>
    <t>1071279283</t>
  </si>
  <si>
    <t>1064518945</t>
  </si>
  <si>
    <t>1091420362</t>
  </si>
  <si>
    <t>1004696660</t>
  </si>
  <si>
    <t>1039563273</t>
  </si>
  <si>
    <t>1092227626</t>
  </si>
  <si>
    <t>1074443803</t>
  </si>
  <si>
    <t>1014524811</t>
  </si>
  <si>
    <t>1069559910</t>
  </si>
  <si>
    <t>1100759701</t>
  </si>
  <si>
    <t>1100762432</t>
  </si>
  <si>
    <t>1087297295</t>
  </si>
  <si>
    <t>1069935722</t>
  </si>
  <si>
    <t>1070586829</t>
  </si>
  <si>
    <t>1017519263</t>
  </si>
  <si>
    <t>1019068616</t>
  </si>
  <si>
    <t>1064914391</t>
  </si>
  <si>
    <t>1086667811</t>
  </si>
  <si>
    <t>1079329122</t>
  </si>
  <si>
    <t>1093385191</t>
  </si>
  <si>
    <t>1107175778</t>
  </si>
  <si>
    <t>1042679314</t>
  </si>
  <si>
    <t>1082631563</t>
  </si>
  <si>
    <t>1109502300</t>
  </si>
  <si>
    <t>1045429477</t>
  </si>
  <si>
    <t>1051246054</t>
  </si>
  <si>
    <t>1076272986</t>
  </si>
  <si>
    <t>1087561682</t>
  </si>
  <si>
    <t>1088789464</t>
  </si>
  <si>
    <t>1012336150</t>
  </si>
  <si>
    <t>1089593147</t>
  </si>
  <si>
    <t>1058347103</t>
  </si>
  <si>
    <t>1091643799</t>
  </si>
  <si>
    <t>1065482893</t>
  </si>
  <si>
    <t>1079026918</t>
  </si>
  <si>
    <t>1000108504</t>
  </si>
  <si>
    <t>1036623278</t>
  </si>
  <si>
    <t>1070376049</t>
  </si>
  <si>
    <t>1057752584</t>
  </si>
  <si>
    <t>1091230977</t>
  </si>
  <si>
    <t>1036968541</t>
  </si>
  <si>
    <t>1097588006</t>
  </si>
  <si>
    <t>1079981799</t>
  </si>
  <si>
    <t>1084157708</t>
  </si>
  <si>
    <t>1087002521</t>
  </si>
  <si>
    <t>1090259936</t>
  </si>
  <si>
    <t>1075789162</t>
  </si>
  <si>
    <t>1077724852</t>
  </si>
  <si>
    <t>1067909398</t>
  </si>
  <si>
    <t>1079297881</t>
  </si>
  <si>
    <t>1022675050</t>
  </si>
  <si>
    <t>1075131753</t>
  </si>
  <si>
    <t>1084554748</t>
  </si>
  <si>
    <t>1082893643</t>
  </si>
  <si>
    <t>1005755895</t>
  </si>
  <si>
    <t>1087478556</t>
  </si>
  <si>
    <t>1082478221</t>
  </si>
  <si>
    <t>1041400217</t>
  </si>
  <si>
    <t>1008127191</t>
  </si>
  <si>
    <t>1085112561</t>
  </si>
  <si>
    <t>1016031153</t>
  </si>
  <si>
    <t>1053527915</t>
  </si>
  <si>
    <t>1055261547</t>
  </si>
  <si>
    <t>1070812837</t>
  </si>
  <si>
    <t>1091053189</t>
  </si>
  <si>
    <t>1087330229</t>
  </si>
  <si>
    <t>1098039587</t>
  </si>
  <si>
    <t>1071355174</t>
  </si>
  <si>
    <t>1000430379</t>
  </si>
  <si>
    <t>1097158222</t>
  </si>
  <si>
    <t>1030973570</t>
  </si>
  <si>
    <t>1079449219</t>
  </si>
  <si>
    <t>1086567045</t>
  </si>
  <si>
    <t>1059946150</t>
  </si>
  <si>
    <t>1016909978</t>
  </si>
  <si>
    <t>1028705869</t>
  </si>
  <si>
    <t>1094385927</t>
  </si>
  <si>
    <t>1088050388</t>
  </si>
  <si>
    <t>1128295589</t>
  </si>
  <si>
    <t>1064411893</t>
  </si>
  <si>
    <t>1101004453</t>
  </si>
  <si>
    <t>1069141404</t>
  </si>
  <si>
    <t>1083553485</t>
  </si>
  <si>
    <t>1041191220</t>
  </si>
  <si>
    <t>1100538618</t>
  </si>
  <si>
    <t>1093592044</t>
  </si>
  <si>
    <t>1091407690</t>
  </si>
  <si>
    <t>1048515967</t>
  </si>
  <si>
    <t>1053946909</t>
  </si>
  <si>
    <t>1095899736</t>
  </si>
  <si>
    <t>1093877098</t>
  </si>
  <si>
    <t>1091730372</t>
  </si>
  <si>
    <t>1027040664</t>
  </si>
  <si>
    <t>1104535388</t>
  </si>
  <si>
    <t>1091978120</t>
  </si>
  <si>
    <t>1093429262</t>
  </si>
  <si>
    <t>1092683505</t>
  </si>
  <si>
    <t>1054764673</t>
  </si>
  <si>
    <t>1043766375</t>
  </si>
  <si>
    <t>1058975465</t>
  </si>
  <si>
    <t>1103773782</t>
  </si>
  <si>
    <t>1116972025</t>
  </si>
  <si>
    <t>1072579434</t>
  </si>
  <si>
    <t>1090098185</t>
  </si>
  <si>
    <t>1092822566</t>
  </si>
  <si>
    <t>1112557317</t>
  </si>
  <si>
    <t>1092531290</t>
  </si>
  <si>
    <t>1086732714</t>
  </si>
  <si>
    <t>1092256088</t>
  </si>
  <si>
    <t>1029338454</t>
  </si>
  <si>
    <t>1081480905</t>
  </si>
  <si>
    <t>1060681465</t>
  </si>
  <si>
    <t>1103509467</t>
  </si>
  <si>
    <t>1116997220</t>
  </si>
  <si>
    <t>1131099093</t>
  </si>
  <si>
    <t>1072388893</t>
  </si>
  <si>
    <t>1076732484</t>
  </si>
  <si>
    <t>1064250952</t>
  </si>
  <si>
    <t>1099261867</t>
  </si>
  <si>
    <t>1091018489</t>
  </si>
  <si>
    <t>1103768196</t>
  </si>
  <si>
    <t>1098039595</t>
  </si>
  <si>
    <t>1064608183</t>
  </si>
  <si>
    <t>1044190427</t>
  </si>
  <si>
    <t>1085113817</t>
  </si>
  <si>
    <t>1079867832</t>
  </si>
  <si>
    <t>1123539809</t>
  </si>
  <si>
    <t>1103896716</t>
  </si>
  <si>
    <t>1086354360</t>
  </si>
  <si>
    <t>1074552322</t>
  </si>
  <si>
    <t>1123827535</t>
  </si>
  <si>
    <t>1058057488</t>
  </si>
  <si>
    <t>1065637405</t>
  </si>
  <si>
    <t>1061008734</t>
  </si>
  <si>
    <t>1058945732</t>
  </si>
  <si>
    <t>1110392089</t>
  </si>
  <si>
    <t>1036097242</t>
  </si>
  <si>
    <t>1112865777</t>
  </si>
  <si>
    <t>1091588390</t>
  </si>
  <si>
    <t>1093380150</t>
  </si>
  <si>
    <t>1097860918</t>
  </si>
  <si>
    <t>1088042666</t>
  </si>
  <si>
    <t>1076670221</t>
  </si>
  <si>
    <t>1060834429</t>
  </si>
  <si>
    <t>1087700942</t>
  </si>
  <si>
    <t>1040065284</t>
  </si>
  <si>
    <t>1097960122</t>
  </si>
  <si>
    <t>1081151035</t>
  </si>
  <si>
    <t>1029108212</t>
  </si>
  <si>
    <t>1088760457</t>
  </si>
  <si>
    <t>1063016891</t>
  </si>
  <si>
    <t>1067137602</t>
  </si>
  <si>
    <t>1069096897</t>
  </si>
  <si>
    <t>1061889174</t>
  </si>
  <si>
    <t>1090455872</t>
  </si>
  <si>
    <t>1096927866</t>
  </si>
  <si>
    <t>1085964672</t>
  </si>
  <si>
    <t>1022409682</t>
  </si>
  <si>
    <t>1017949320</t>
  </si>
  <si>
    <t>1083980316</t>
  </si>
  <si>
    <t>1031597121</t>
  </si>
  <si>
    <t>1074904721</t>
  </si>
  <si>
    <t>1089466435</t>
  </si>
  <si>
    <t>1068780517</t>
  </si>
  <si>
    <t>1070819055</t>
  </si>
  <si>
    <t>1025736008</t>
  </si>
  <si>
    <t>1067290609</t>
  </si>
  <si>
    <t>1101042461</t>
  </si>
  <si>
    <t>1082676238</t>
  </si>
  <si>
    <t>1098409145</t>
  </si>
  <si>
    <t>1090592054</t>
  </si>
  <si>
    <t>1023344524</t>
  </si>
  <si>
    <t>1053164941</t>
  </si>
  <si>
    <t>1084997384</t>
  </si>
  <si>
    <t>1024504266</t>
  </si>
  <si>
    <t>1090288109</t>
  </si>
  <si>
    <t>1068603891</t>
  </si>
  <si>
    <t>1073572362</t>
  </si>
  <si>
    <t>1097411779</t>
  </si>
  <si>
    <t>1029476742</t>
  </si>
  <si>
    <t>1089872434</t>
  </si>
  <si>
    <t>1082142777</t>
  </si>
  <si>
    <t>1059135663</t>
  </si>
  <si>
    <t>1067044881</t>
  </si>
  <si>
    <t>1100192846</t>
  </si>
  <si>
    <t>1068603875</t>
  </si>
  <si>
    <t>1078762539</t>
  </si>
  <si>
    <t>1012682629</t>
  </si>
  <si>
    <t>1002394086</t>
  </si>
  <si>
    <t>1005248701</t>
  </si>
  <si>
    <t>1035993524</t>
  </si>
  <si>
    <t>1090939925</t>
  </si>
  <si>
    <t>1030610461</t>
  </si>
  <si>
    <t>1091883122</t>
  </si>
  <si>
    <t>1039673825</t>
  </si>
  <si>
    <t>1090098177</t>
  </si>
  <si>
    <t>1045902333</t>
  </si>
  <si>
    <t>1064438565</t>
  </si>
  <si>
    <t>1071255218</t>
  </si>
  <si>
    <t>1067472942</t>
  </si>
  <si>
    <t>1059387603</t>
  </si>
  <si>
    <t>1062942741</t>
  </si>
  <si>
    <t>1073394841</t>
  </si>
  <si>
    <t>1092583903</t>
  </si>
  <si>
    <t>1060788096</t>
  </si>
  <si>
    <t>1071390700</t>
  </si>
  <si>
    <t>1101277406</t>
  </si>
  <si>
    <t>1076066164</t>
  </si>
  <si>
    <t>1053535181</t>
  </si>
  <si>
    <t>1101490405</t>
  </si>
  <si>
    <t>1044736005</t>
  </si>
  <si>
    <t>1015150343</t>
  </si>
  <si>
    <t>1068258522</t>
  </si>
  <si>
    <t>1104141013</t>
  </si>
  <si>
    <t>1112519846</t>
  </si>
  <si>
    <t>1093521142</t>
  </si>
  <si>
    <t>1072079088</t>
  </si>
  <si>
    <t>1081939322</t>
  </si>
  <si>
    <t>1050098357</t>
  </si>
  <si>
    <t>1075498434</t>
  </si>
  <si>
    <t>1109099125</t>
  </si>
  <si>
    <t>1060286117</t>
  </si>
  <si>
    <t>1088301328</t>
  </si>
  <si>
    <t>1103590699</t>
  </si>
  <si>
    <t>1009253913</t>
  </si>
  <si>
    <t>1063209850</t>
  </si>
  <si>
    <t>1089734485</t>
  </si>
  <si>
    <t>1072576968</t>
  </si>
  <si>
    <t>1094425111</t>
  </si>
  <si>
    <t>1064845017</t>
  </si>
  <si>
    <t>1087557417</t>
  </si>
  <si>
    <t>1052241708</t>
  </si>
  <si>
    <t>1103313639</t>
  </si>
  <si>
    <t>1084617321</t>
  </si>
  <si>
    <t>1077869418</t>
  </si>
  <si>
    <t>1091159705</t>
  </si>
  <si>
    <t>1021639461</t>
  </si>
  <si>
    <t>1094194725</t>
  </si>
  <si>
    <t>1068032380</t>
  </si>
  <si>
    <t>1097144776</t>
  </si>
  <si>
    <t>1077600326</t>
  </si>
  <si>
    <t>1077971685</t>
  </si>
  <si>
    <t>7011001223</t>
  </si>
  <si>
    <t>1029513122</t>
  </si>
  <si>
    <t>1033434018</t>
  </si>
  <si>
    <t>1039593429</t>
  </si>
  <si>
    <t>1086633052</t>
  </si>
  <si>
    <t>1090879618</t>
  </si>
  <si>
    <t>1115026948</t>
  </si>
  <si>
    <t xml:space="preserve">أحوال وطنية </t>
  </si>
  <si>
    <t>سعودي</t>
  </si>
  <si>
    <t>+966583539003</t>
  </si>
  <si>
    <t>(+966) 54 124 3302</t>
  </si>
  <si>
    <t>(+966) 55 966 6866</t>
  </si>
  <si>
    <t>(+966) 55 776 5312</t>
  </si>
  <si>
    <t>(+966) 56 915 9624</t>
  </si>
  <si>
    <t>(+966) 58 082 1118</t>
  </si>
  <si>
    <t>(+966) 531175993</t>
  </si>
  <si>
    <t>(+966) 54 927 8313</t>
  </si>
  <si>
    <t>(+966) 55 017 9736</t>
  </si>
  <si>
    <t>+966555458739</t>
  </si>
  <si>
    <t>(+996) 55 687 1223</t>
  </si>
  <si>
    <t>+966538888831</t>
  </si>
  <si>
    <t>(+966) 50 065 6599</t>
  </si>
  <si>
    <t>(+966) 53 485 1861</t>
  </si>
  <si>
    <t>(+966) 53 339 4322</t>
  </si>
  <si>
    <t>+966530404506</t>
  </si>
  <si>
    <t>(+966) 56 166 6896</t>
  </si>
  <si>
    <t>(+966) 59 144 8244</t>
  </si>
  <si>
    <t>(+966) 54 363 9868</t>
  </si>
  <si>
    <t>(+966) 50 600 0544</t>
  </si>
  <si>
    <t>(+966) 55 956 1331</t>
  </si>
  <si>
    <t>+966559085990</t>
  </si>
  <si>
    <t>+966543948900</t>
  </si>
  <si>
    <t>+966501445494</t>
  </si>
  <si>
    <t>(+966) 55 938 2232</t>
  </si>
  <si>
    <t>(+966) 56 677 5377</t>
  </si>
  <si>
    <t>(+966) 54 729 9411</t>
  </si>
  <si>
    <t>(+966) 53 578 6981</t>
  </si>
  <si>
    <t>(+966) 50 551 8484</t>
  </si>
  <si>
    <t>â€Ž+966562585604</t>
  </si>
  <si>
    <t>(+966) 50 379 5124</t>
  </si>
  <si>
    <t>+966558740674</t>
  </si>
  <si>
    <t>+966503433716</t>
  </si>
  <si>
    <t>(+966) 50 796 3189</t>
  </si>
  <si>
    <t>+966547585558</t>
  </si>
  <si>
    <t>(+966) 54 909 0558</t>
  </si>
  <si>
    <t>(+966) 55 241 6903</t>
  </si>
  <si>
    <t>(+966) 59 450 3446</t>
  </si>
  <si>
    <t>(+966) 59 882 5966</t>
  </si>
  <si>
    <t>(+966) 50 990 9223</t>
  </si>
  <si>
    <t>(+966) 55 500 0535</t>
  </si>
  <si>
    <t>(+966) 50 877 8817</t>
  </si>
  <si>
    <t>(+966) 53 086 1225</t>
  </si>
  <si>
    <t>+966566218588</t>
  </si>
  <si>
    <t>(+966) 56 797 8309</t>
  </si>
  <si>
    <t>+966594920990</t>
  </si>
  <si>
    <t>(+966) 50 242 4493</t>
  </si>
  <si>
    <t>(+966) 54 040 7111</t>
  </si>
  <si>
    <t>+966544955972</t>
  </si>
  <si>
    <t>â€Ž+966530342002</t>
  </si>
  <si>
    <t>+966508366400</t>
  </si>
  <si>
    <t>+966538210094</t>
  </si>
  <si>
    <t>+966506019166</t>
  </si>
  <si>
    <t>+966537140048</t>
  </si>
  <si>
    <t>+966502497662</t>
  </si>
  <si>
    <t>+966535813236</t>
  </si>
  <si>
    <t>(+996) 55 611 4993</t>
  </si>
  <si>
    <t>+966553931403</t>
  </si>
  <si>
    <t>(+966) 59 989 8623</t>
  </si>
  <si>
    <t>(+966) 54 060 7994</t>
  </si>
  <si>
    <t>(+966) 50 222 3193</t>
  </si>
  <si>
    <t>(+966) 54 004 2208</t>
  </si>
  <si>
    <t>(+966) 56 636 8868</t>
  </si>
  <si>
    <t>(+966) 56 776 5510</t>
  </si>
  <si>
    <t>(+966) 55 928 3514</t>
  </si>
  <si>
    <t>00966502928364</t>
  </si>
  <si>
    <t>+966555230306</t>
  </si>
  <si>
    <t>(+966) 54 902 1689</t>
  </si>
  <si>
    <t>(+966) 53 020 6020</t>
  </si>
  <si>
    <t>(+966) 55 441 9448</t>
  </si>
  <si>
    <t>(+966) 54 411 3414</t>
  </si>
  <si>
    <t>(+966) 59 722 2946</t>
  </si>
  <si>
    <t>(+966) 54 420 4774</t>
  </si>
  <si>
    <t>+966554925322</t>
  </si>
  <si>
    <t>(+966) 50 229 1122</t>
  </si>
  <si>
    <t>(+996) 53 109 9325</t>
  </si>
  <si>
    <t>(+966) 55 009 1090</t>
  </si>
  <si>
    <t>(+966) 50 519 9242</t>
  </si>
  <si>
    <t>(+966) 54 529 9972</t>
  </si>
  <si>
    <t>(+966) 55 442 2812</t>
  </si>
  <si>
    <t>(+966) 55 678 0750</t>
  </si>
  <si>
    <t>(+966) 59 990 0106</t>
  </si>
  <si>
    <t>(+966) 55 319 9945</t>
  </si>
  <si>
    <t>(+966) 55 511 9486</t>
  </si>
  <si>
    <t>(+966) 55 026 3303</t>
  </si>
  <si>
    <t>(+966) 50 426 1868</t>
  </si>
  <si>
    <t>(+966) 53 250 3905</t>
  </si>
  <si>
    <t>(+966) 58 177 6793</t>
  </si>
  <si>
    <t>00966509694528</t>
  </si>
  <si>
    <t>00966541464688</t>
  </si>
  <si>
    <t>00966544045595</t>
  </si>
  <si>
    <t>00966592222870</t>
  </si>
  <si>
    <t>553237772</t>
  </si>
  <si>
    <t>00966550084686</t>
  </si>
  <si>
    <t>00966560727717</t>
  </si>
  <si>
    <t>00966550017141</t>
  </si>
  <si>
    <t>00966504201413</t>
  </si>
  <si>
    <t>00966502075040</t>
  </si>
  <si>
    <t>00966591110910</t>
  </si>
  <si>
    <t>966543188993++</t>
  </si>
  <si>
    <t>00966559651264</t>
  </si>
  <si>
    <t>00966540499590</t>
  </si>
  <si>
    <t>00966507212959</t>
  </si>
  <si>
    <t>00966549866992</t>
  </si>
  <si>
    <t>00966583484464</t>
  </si>
  <si>
    <t>00966501160762</t>
  </si>
  <si>
    <t>00966559687578</t>
  </si>
  <si>
    <t>00966544488068</t>
  </si>
  <si>
    <t>00966533325556</t>
  </si>
  <si>
    <t>00966562898255</t>
  </si>
  <si>
    <t>00966500486001</t>
  </si>
  <si>
    <t>00966537888501</t>
  </si>
  <si>
    <t>00966500300112</t>
  </si>
  <si>
    <t>00966551551547</t>
  </si>
  <si>
    <t>00966530262022</t>
  </si>
  <si>
    <t>00966535588777</t>
  </si>
  <si>
    <t>00966596606050</t>
  </si>
  <si>
    <t>00966555578288</t>
  </si>
  <si>
    <t>00966555626040</t>
  </si>
  <si>
    <t>00966566564719</t>
  </si>
  <si>
    <t>00966534005073</t>
  </si>
  <si>
    <t>00966592314765</t>
  </si>
  <si>
    <t>00966542020503</t>
  </si>
  <si>
    <t>00966509667522</t>
  </si>
  <si>
    <t>00966550098060</t>
  </si>
  <si>
    <t>00966599616864</t>
  </si>
  <si>
    <t>00966507779115</t>
  </si>
  <si>
    <t>00966562366118</t>
  </si>
  <si>
    <t>00966530006080</t>
  </si>
  <si>
    <t>00966550582999</t>
  </si>
  <si>
    <t>00966501221373</t>
  </si>
  <si>
    <t>00966500051232</t>
  </si>
  <si>
    <t>00966591999782</t>
  </si>
  <si>
    <t>00966553802138</t>
  </si>
  <si>
    <t>00966569006706</t>
  </si>
  <si>
    <t>00966508556274</t>
  </si>
  <si>
    <t>00966545035944</t>
  </si>
  <si>
    <t>00966552491630</t>
  </si>
  <si>
    <t>00966506227729</t>
  </si>
  <si>
    <t>00966552724559</t>
  </si>
  <si>
    <t>00966557800818</t>
  </si>
  <si>
    <t>00966501020802</t>
  </si>
  <si>
    <t>00966506071571</t>
  </si>
  <si>
    <t>00966590000277</t>
  </si>
  <si>
    <t>00966506298948</t>
  </si>
  <si>
    <t>00966555796934</t>
  </si>
  <si>
    <t>00966533305613</t>
  </si>
  <si>
    <t>00966530088210</t>
  </si>
  <si>
    <t>00966599996821</t>
  </si>
  <si>
    <t>00966555001003</t>
  </si>
  <si>
    <t>00966554285223</t>
  </si>
  <si>
    <t>00966554220363</t>
  </si>
  <si>
    <t>00966560567542</t>
  </si>
  <si>
    <t>00966560001389</t>
  </si>
  <si>
    <t>00966559644428</t>
  </si>
  <si>
    <t>00966503250523</t>
  </si>
  <si>
    <t>00966556047543</t>
  </si>
  <si>
    <t>00966503043414</t>
  </si>
  <si>
    <t>00966553735767</t>
  </si>
  <si>
    <t>00966540603954</t>
  </si>
  <si>
    <t>00966531961151</t>
  </si>
  <si>
    <t>00966555890933</t>
  </si>
  <si>
    <t>00966538023576</t>
  </si>
  <si>
    <t>00966533001666</t>
  </si>
  <si>
    <t>00966553650148</t>
  </si>
  <si>
    <t>00966558039749</t>
  </si>
  <si>
    <t>00966536034082</t>
  </si>
  <si>
    <t>00966556659626</t>
  </si>
  <si>
    <t>00966555662994</t>
  </si>
  <si>
    <t>00966569985697</t>
  </si>
  <si>
    <t>00966530106031</t>
  </si>
  <si>
    <t>00966567676978</t>
  </si>
  <si>
    <t>00966551103799</t>
  </si>
  <si>
    <t>00966505869782</t>
  </si>
  <si>
    <t>00966505441966</t>
  </si>
  <si>
    <t>00966540449483</t>
  </si>
  <si>
    <t>00966559811179</t>
  </si>
  <si>
    <t>00966533639189</t>
  </si>
  <si>
    <t>00966555482200</t>
  </si>
  <si>
    <t>00966566616163</t>
  </si>
  <si>
    <t>00966557997388</t>
  </si>
  <si>
    <t>0-966544467123</t>
  </si>
  <si>
    <t>00966505105845</t>
  </si>
  <si>
    <t>00966549949490</t>
  </si>
  <si>
    <t>00966545419005</t>
  </si>
  <si>
    <t>00966533333513</t>
  </si>
  <si>
    <t>00966542235324</t>
  </si>
  <si>
    <t>00966504467683</t>
  </si>
  <si>
    <t>00966565090008</t>
  </si>
  <si>
    <t>00966531365823</t>
  </si>
  <si>
    <t>00966503540617</t>
  </si>
  <si>
    <t>00966530227374</t>
  </si>
  <si>
    <t>00966565093344</t>
  </si>
  <si>
    <t>00966559764258</t>
  </si>
  <si>
    <t>00966566690048</t>
  </si>
  <si>
    <t>00966507118662</t>
  </si>
  <si>
    <t>00966544453575</t>
  </si>
  <si>
    <t>00966544511146</t>
  </si>
  <si>
    <t>00966544842969</t>
  </si>
  <si>
    <t>00966534164537</t>
  </si>
  <si>
    <t>00966550005150</t>
  </si>
  <si>
    <t>00966598855067</t>
  </si>
  <si>
    <t>00966555685653</t>
  </si>
  <si>
    <t>00966502624335</t>
  </si>
  <si>
    <t>00966554312340</t>
  </si>
  <si>
    <t>00966554460784</t>
  </si>
  <si>
    <t>00966501323091</t>
  </si>
  <si>
    <t>00966508046212</t>
  </si>
  <si>
    <t>00966551997655</t>
  </si>
  <si>
    <t>00966541112332</t>
  </si>
  <si>
    <t>00966530777322</t>
  </si>
  <si>
    <t>00966556556133</t>
  </si>
  <si>
    <t>00966559585155</t>
  </si>
  <si>
    <t>00966500646115</t>
  </si>
  <si>
    <t>00966533216626</t>
  </si>
  <si>
    <t>00966500128248</t>
  </si>
  <si>
    <t>00966500438868</t>
  </si>
  <si>
    <t>00966557773957</t>
  </si>
  <si>
    <t>00966503484796</t>
  </si>
  <si>
    <t>00966539337559</t>
  </si>
  <si>
    <t>00966540770702</t>
  </si>
  <si>
    <t>00966550779920</t>
  </si>
  <si>
    <t>00966560908087</t>
  </si>
  <si>
    <t>00966508166600</t>
  </si>
  <si>
    <t>00966542442470</t>
  </si>
  <si>
    <t>00966507492321</t>
  </si>
  <si>
    <t>00966559954745</t>
  </si>
  <si>
    <t>00966546000452</t>
  </si>
  <si>
    <t>00966559920708</t>
  </si>
  <si>
    <t>00966567319136</t>
  </si>
  <si>
    <t>00966566066496</t>
  </si>
  <si>
    <t>00966534441193</t>
  </si>
  <si>
    <t>00966501139338</t>
  </si>
  <si>
    <t>00966557497504</t>
  </si>
  <si>
    <t>00966550800560</t>
  </si>
  <si>
    <t>00966505366344</t>
  </si>
  <si>
    <t>00966559484101</t>
  </si>
  <si>
    <t>00966507718849</t>
  </si>
  <si>
    <t>00966592314910</t>
  </si>
  <si>
    <t>00966556466675</t>
  </si>
  <si>
    <t>00966502142977</t>
  </si>
  <si>
    <t>00966553555299</t>
  </si>
  <si>
    <t>00966554011168</t>
  </si>
  <si>
    <t>00966563881800</t>
  </si>
  <si>
    <t>00966555520185</t>
  </si>
  <si>
    <t>00966503207255</t>
  </si>
  <si>
    <t>00966504412823</t>
  </si>
  <si>
    <t>00966544466128</t>
  </si>
  <si>
    <t>00966500155608</t>
  </si>
  <si>
    <t>00966558553994</t>
  </si>
  <si>
    <t>00966533111488</t>
  </si>
  <si>
    <t>00966507396693</t>
  </si>
  <si>
    <t>00966550733345</t>
  </si>
  <si>
    <t>00966544436026</t>
  </si>
  <si>
    <t>00966540655508</t>
  </si>
  <si>
    <t>00966554496831</t>
  </si>
  <si>
    <t>00966559955925</t>
  </si>
  <si>
    <t>00966540645447</t>
  </si>
  <si>
    <t>00966564101142</t>
  </si>
  <si>
    <t>00966556462905</t>
  </si>
  <si>
    <t>00966530127706</t>
  </si>
  <si>
    <t>00966533348348</t>
  </si>
  <si>
    <t>00966559442207</t>
  </si>
  <si>
    <t>00966580407070</t>
  </si>
  <si>
    <t>00966555987321</t>
  </si>
  <si>
    <t>00966555729371</t>
  </si>
  <si>
    <t>00966501323945</t>
  </si>
  <si>
    <t>00966558439467</t>
  </si>
  <si>
    <t>00966530268558</t>
  </si>
  <si>
    <t>00966558086616</t>
  </si>
  <si>
    <t>00966540222488</t>
  </si>
  <si>
    <t>00966509477515</t>
  </si>
  <si>
    <t>00966541344409</t>
  </si>
  <si>
    <t>00966530301325</t>
  </si>
  <si>
    <t>00966533455643</t>
  </si>
  <si>
    <t>00966503019024</t>
  </si>
  <si>
    <t>00966506474881</t>
  </si>
  <si>
    <t>00966536984000</t>
  </si>
  <si>
    <t>00966568166885</t>
  </si>
  <si>
    <t>00966553755242</t>
  </si>
  <si>
    <t>00966565396777</t>
  </si>
  <si>
    <t>00966559595143</t>
  </si>
  <si>
    <t>00966546469475</t>
  </si>
  <si>
    <t>00966508256475</t>
  </si>
  <si>
    <t>00966583067755</t>
  </si>
  <si>
    <t>00966582380044</t>
  </si>
  <si>
    <t>00966566711262</t>
  </si>
  <si>
    <t>00966556180150</t>
  </si>
  <si>
    <t>00966567058999</t>
  </si>
  <si>
    <t>00966559377870</t>
  </si>
  <si>
    <t>00966533797650</t>
  </si>
  <si>
    <t>00966545757572</t>
  </si>
  <si>
    <t>00966506633123</t>
  </si>
  <si>
    <t>00966509933591</t>
  </si>
  <si>
    <t>00966509772337</t>
  </si>
  <si>
    <t>00966548771111</t>
  </si>
  <si>
    <t>00966596647447</t>
  </si>
  <si>
    <t>00966544851007</t>
  </si>
  <si>
    <t>00966530835556</t>
  </si>
  <si>
    <t>00966567333230</t>
  </si>
  <si>
    <t>00966557317001</t>
  </si>
  <si>
    <t>00966552503513</t>
  </si>
  <si>
    <t>00966566661896</t>
  </si>
  <si>
    <t>00966505450281</t>
  </si>
  <si>
    <t>00966536917851</t>
  </si>
  <si>
    <t>00966552237054</t>
  </si>
  <si>
    <t>00966540992225</t>
  </si>
  <si>
    <t>00966557499690</t>
  </si>
  <si>
    <t>00966550136454</t>
  </si>
  <si>
    <t>00966564201125</t>
  </si>
  <si>
    <t>00966533242979</t>
  </si>
  <si>
    <t>00966559894855</t>
  </si>
  <si>
    <t>00966542164440</t>
  </si>
  <si>
    <t>00966532777727</t>
  </si>
  <si>
    <t>00966504358446</t>
  </si>
  <si>
    <t>00966530067003</t>
  </si>
  <si>
    <t>00966530960680</t>
  </si>
  <si>
    <t>00966546554424</t>
  </si>
  <si>
    <t>00966509002820</t>
  </si>
  <si>
    <t>00966559533336</t>
  </si>
  <si>
    <t>00966557759523</t>
  </si>
  <si>
    <t>00966595182266</t>
  </si>
  <si>
    <t>00966509088337</t>
  </si>
  <si>
    <t>00966533359052</t>
  </si>
  <si>
    <t>00966531376561</t>
  </si>
  <si>
    <t>00966561611007</t>
  </si>
  <si>
    <t>00966547233997</t>
  </si>
  <si>
    <t>00966556696360</t>
  </si>
  <si>
    <t>00966551100837</t>
  </si>
  <si>
    <t>00966530712338</t>
  </si>
  <si>
    <t>00966501986661</t>
  </si>
  <si>
    <t>00966543354470</t>
  </si>
  <si>
    <t>00966540640034</t>
  </si>
  <si>
    <t>00966559334431</t>
  </si>
  <si>
    <t>00966535051824</t>
  </si>
  <si>
    <t>00966533483580</t>
  </si>
  <si>
    <t>00966531507616</t>
  </si>
  <si>
    <t>00966536564790</t>
  </si>
  <si>
    <t>00966506080452</t>
  </si>
  <si>
    <t>00966505285254</t>
  </si>
  <si>
    <t>00966502434440</t>
  </si>
  <si>
    <t>00966590550512</t>
  </si>
  <si>
    <t>00966599004211</t>
  </si>
  <si>
    <t>00966566205659</t>
  </si>
  <si>
    <t>00966545124414</t>
  </si>
  <si>
    <t>00966593437127</t>
  </si>
  <si>
    <t>09660543737922</t>
  </si>
  <si>
    <t>00966550809625</t>
  </si>
  <si>
    <t>00966555711580</t>
  </si>
  <si>
    <t>00966556137525</t>
  </si>
  <si>
    <t>00966544090614</t>
  </si>
  <si>
    <t>00966531509969</t>
  </si>
  <si>
    <t>00966508260826</t>
  </si>
  <si>
    <t>00966547023206</t>
  </si>
  <si>
    <t>00966547385325</t>
  </si>
  <si>
    <t>00966557081352</t>
  </si>
  <si>
    <t>00966568091999</t>
  </si>
  <si>
    <t>00966544300727</t>
  </si>
  <si>
    <t>00966543331083</t>
  </si>
  <si>
    <t>00966546830612</t>
  </si>
  <si>
    <t>00966502212414</t>
  </si>
  <si>
    <t>00966558119962</t>
  </si>
  <si>
    <t>00966557463408</t>
  </si>
  <si>
    <t>00966502898887</t>
  </si>
  <si>
    <t>00966598454515</t>
  </si>
  <si>
    <t>00966548444111</t>
  </si>
  <si>
    <t>00966544886972</t>
  </si>
  <si>
    <t>00966565661148</t>
  </si>
  <si>
    <t>00966568644499</t>
  </si>
  <si>
    <t>00966544421100</t>
  </si>
  <si>
    <t>00966595030575</t>
  </si>
  <si>
    <t>00966500253156</t>
  </si>
  <si>
    <t>00966556096847</t>
  </si>
  <si>
    <t>00966532893313</t>
  </si>
  <si>
    <t>00966558280706</t>
  </si>
  <si>
    <t>00966555223022</t>
  </si>
  <si>
    <t>00966595934444</t>
  </si>
  <si>
    <t>00966507133402</t>
  </si>
  <si>
    <t>00966562473417</t>
  </si>
  <si>
    <t>00966566203338</t>
  </si>
  <si>
    <t>00966540444104</t>
  </si>
  <si>
    <t>00966550143188</t>
  </si>
  <si>
    <t>00966507247390</t>
  </si>
  <si>
    <t>00966546444491</t>
  </si>
  <si>
    <t>00966554878240</t>
  </si>
  <si>
    <t>00966551899987</t>
  </si>
  <si>
    <t>00966553998115</t>
  </si>
  <si>
    <t>00966532086496</t>
  </si>
  <si>
    <t>00966555961957</t>
  </si>
  <si>
    <t>00966539133964</t>
  </si>
  <si>
    <t>00966502366612</t>
  </si>
  <si>
    <t>00966555795068</t>
  </si>
  <si>
    <t>00966563693039</t>
  </si>
  <si>
    <t>+966 509006843</t>
  </si>
  <si>
    <t>00966556269686</t>
  </si>
  <si>
    <t>00966552232368</t>
  </si>
  <si>
    <t>00966503089699</t>
  </si>
  <si>
    <t>00966501604447</t>
  </si>
  <si>
    <t>00966508067312</t>
  </si>
  <si>
    <t>00966502560251</t>
  </si>
  <si>
    <t>00966599700744</t>
  </si>
  <si>
    <t>00966544496465</t>
  </si>
  <si>
    <t>00966548884498</t>
  </si>
  <si>
    <t>00966534994719</t>
  </si>
  <si>
    <t>00966561412982</t>
  </si>
  <si>
    <t>00966552826888</t>
  </si>
  <si>
    <t>00966534112261</t>
  </si>
  <si>
    <t>00966552463407</t>
  </si>
  <si>
    <t>00966540603102</t>
  </si>
  <si>
    <t>00966554488348</t>
  </si>
  <si>
    <t>00966598641465</t>
  </si>
  <si>
    <t>00966503862115</t>
  </si>
  <si>
    <t>00966552345222</t>
  </si>
  <si>
    <t>00966555899840</t>
  </si>
  <si>
    <t>00966551418982</t>
  </si>
  <si>
    <t>00966555296622</t>
  </si>
  <si>
    <t>00966566581883</t>
  </si>
  <si>
    <t>00966554956944</t>
  </si>
  <si>
    <t>00966562859049</t>
  </si>
  <si>
    <t>00966552635499</t>
  </si>
  <si>
    <t>00966558122087</t>
  </si>
  <si>
    <t>00966561030055</t>
  </si>
  <si>
    <t>00966597777300</t>
  </si>
  <si>
    <t>00966541666806</t>
  </si>
  <si>
    <t>00966553164955</t>
  </si>
  <si>
    <t>00966568005007</t>
  </si>
  <si>
    <t>00966563443441</t>
  </si>
  <si>
    <t>00966532649094</t>
  </si>
  <si>
    <t>00966555052515</t>
  </si>
  <si>
    <t>00966541110171</t>
  </si>
  <si>
    <t>00966561677353</t>
  </si>
  <si>
    <t>00966533319039</t>
  </si>
  <si>
    <t>00966533367216</t>
  </si>
  <si>
    <t>00966544448709</t>
  </si>
  <si>
    <t>00966531129348</t>
  </si>
  <si>
    <t>00966551911332</t>
  </si>
  <si>
    <t>00966599106645</t>
  </si>
  <si>
    <t>00966542002027</t>
  </si>
  <si>
    <t>00966582424535</t>
  </si>
  <si>
    <t>00966552440511</t>
  </si>
  <si>
    <t>00966555884399</t>
  </si>
  <si>
    <t>00966533819185</t>
  </si>
  <si>
    <t>00966555980576</t>
  </si>
  <si>
    <t>00966502334359</t>
  </si>
  <si>
    <t>00966580443333</t>
  </si>
  <si>
    <t>00966552855290</t>
  </si>
  <si>
    <t>00966000000000</t>
  </si>
  <si>
    <t>00966559992616</t>
  </si>
  <si>
    <t>00966554445453</t>
  </si>
  <si>
    <t>00966506265157</t>
  </si>
  <si>
    <t>00966551875815</t>
  </si>
  <si>
    <t>00966505599408</t>
  </si>
  <si>
    <t>00966501879982</t>
  </si>
  <si>
    <t xml:space="preserve">ايال الاصالة </t>
  </si>
  <si>
    <t>الرياض</t>
  </si>
  <si>
    <t>Villa</t>
  </si>
  <si>
    <t>01-01-0049-0000000001</t>
  </si>
  <si>
    <t>01-01-0049-0000000003</t>
  </si>
  <si>
    <t>01-01-0049-0000000004</t>
  </si>
  <si>
    <t>01-01-0049-0000000005</t>
  </si>
  <si>
    <t>01-01-0049-0000000006</t>
  </si>
  <si>
    <t>01-01-0049-0000000008</t>
  </si>
  <si>
    <t>01-01-0049-0000000009</t>
  </si>
  <si>
    <t>01-01-0049-0000000010</t>
  </si>
  <si>
    <t>01-01-0049-0000000011</t>
  </si>
  <si>
    <t>01-01-0049-0000000012</t>
  </si>
  <si>
    <t>01-01-0049-0000000013</t>
  </si>
  <si>
    <t>01-01-0049-0000000014</t>
  </si>
  <si>
    <t>01-01-0049-0000000017</t>
  </si>
  <si>
    <t>01-01-0049-0000000018</t>
  </si>
  <si>
    <t>01-01-0049-0000000019</t>
  </si>
  <si>
    <t>01-01-0049-0000000024</t>
  </si>
  <si>
    <t>01-01-0049-0000000025</t>
  </si>
  <si>
    <t>01-01-0049-0000000026</t>
  </si>
  <si>
    <t>01-01-0049-0000000027</t>
  </si>
  <si>
    <t>01-01-0049-0000000028</t>
  </si>
  <si>
    <t>01-01-0049-0000000029</t>
  </si>
  <si>
    <t>01-01-0049-0000000030</t>
  </si>
  <si>
    <t>01-01-0049-0000000032</t>
  </si>
  <si>
    <t>01-01-0049-0000000034</t>
  </si>
  <si>
    <t>01-01-0049-0000000035</t>
  </si>
  <si>
    <t>01-01-0049-0000000036</t>
  </si>
  <si>
    <t>01-01-0049-0000000037</t>
  </si>
  <si>
    <t>01-01-0049-0000000038</t>
  </si>
  <si>
    <t>01-01-0049-0000000040</t>
  </si>
  <si>
    <t>01-01-0049-0000000042</t>
  </si>
  <si>
    <t>01-01-0049-0000000047</t>
  </si>
  <si>
    <t>01-01-0049-0000000048</t>
  </si>
  <si>
    <t>01-01-0049-0000000049</t>
  </si>
  <si>
    <t>01-01-0049-0000000057</t>
  </si>
  <si>
    <t>01-01-0049-0000000063</t>
  </si>
  <si>
    <t>01-01-0049-0000000064</t>
  </si>
  <si>
    <t>01-01-0049-0000000065</t>
  </si>
  <si>
    <t>01-01-0049-0000000066</t>
  </si>
  <si>
    <t>01-01-0049-0000000067</t>
  </si>
  <si>
    <t>01-01-0049-0000000069</t>
  </si>
  <si>
    <t>01-01-0049-0000000070</t>
  </si>
  <si>
    <t>01-01-0049-0000000071</t>
  </si>
  <si>
    <t>01-01-0049-0000000074</t>
  </si>
  <si>
    <t>01-01-0049-0000000081</t>
  </si>
  <si>
    <t>01-01-0049-0000000113</t>
  </si>
  <si>
    <t>01-01-0049-0000000144</t>
  </si>
  <si>
    <t>01-01-0049-0000000161</t>
  </si>
  <si>
    <t>01-01-0049-0000000171</t>
  </si>
  <si>
    <t>01-01-0049-0000000213</t>
  </si>
  <si>
    <t>01-01-0049-0000000245</t>
  </si>
  <si>
    <t>01-01-0049-0000000271</t>
  </si>
  <si>
    <t>01-01-0049-0000000273</t>
  </si>
  <si>
    <t>01-01-0049-0000000275</t>
  </si>
  <si>
    <t>01-01-0049-0000000277</t>
  </si>
  <si>
    <t>01-01-0049-0000000279</t>
  </si>
  <si>
    <t>01-01-0049-0000000287</t>
  </si>
  <si>
    <t>01-01-0049-0000000288</t>
  </si>
  <si>
    <t>01-01-0049-0000000291</t>
  </si>
  <si>
    <t>01-01-0049-0000000296</t>
  </si>
  <si>
    <t>01-01-0049-0000000300</t>
  </si>
  <si>
    <t>01-01-0049-0000000308</t>
  </si>
  <si>
    <t>01-01-0049-0000000326</t>
  </si>
  <si>
    <t>01-01-0049-0000000330</t>
  </si>
  <si>
    <t>01-01-0049-0000000332</t>
  </si>
  <si>
    <t>01-01-0049-0000000334</t>
  </si>
  <si>
    <t>01-01-0049-0000000336</t>
  </si>
  <si>
    <t>01-01-0049-0000000341</t>
  </si>
  <si>
    <t>01-01-0049-0000000357</t>
  </si>
  <si>
    <t>01-01-0049-0000000359</t>
  </si>
  <si>
    <t>01-01-0049-0000000361</t>
  </si>
  <si>
    <t>01-01-0049-0000000363</t>
  </si>
  <si>
    <t>01-01-0049-0000000373</t>
  </si>
  <si>
    <t>01-01-0049-0000000374</t>
  </si>
  <si>
    <t>01-01-0049-0000000375</t>
  </si>
  <si>
    <t>01-01-0049-0000000378</t>
  </si>
  <si>
    <t>01-01-0049-0000000379</t>
  </si>
  <si>
    <t>01-01-0049-0000000380</t>
  </si>
  <si>
    <t>01-01-0049-0000000383</t>
  </si>
  <si>
    <t>01-01-0049-0000000384</t>
  </si>
  <si>
    <t>01-01-0049-0000000387</t>
  </si>
  <si>
    <t>01-01-0049-0000000394</t>
  </si>
  <si>
    <t>01-01-0049-0000000400</t>
  </si>
  <si>
    <t>01-01-0049-0000000402</t>
  </si>
  <si>
    <t>01-01-0049-0000000405</t>
  </si>
  <si>
    <t>01-01-0049-0000000406</t>
  </si>
  <si>
    <t>01-01-0049-0000000407</t>
  </si>
  <si>
    <t>01-01-0049-0000000408</t>
  </si>
  <si>
    <t>01-01-0049-0000000410</t>
  </si>
  <si>
    <t>01-01-0049-0000000122</t>
  </si>
  <si>
    <t>01-01-0049-0000000157</t>
  </si>
  <si>
    <t>01-01-0049-0000000119</t>
  </si>
  <si>
    <t>01-01-0049-0000000392</t>
  </si>
  <si>
    <t>01-01-0049-0000000276</t>
  </si>
  <si>
    <t>01-01-0049-0000000091</t>
  </si>
  <si>
    <t>01-01-0049-0000000310</t>
  </si>
  <si>
    <t>01-01-0049-0000000443</t>
  </si>
  <si>
    <t>01-01-0049-0000000102</t>
  </si>
  <si>
    <t>01-01-0049-0000000267</t>
  </si>
  <si>
    <t>01-01-0049-0000000217</t>
  </si>
  <si>
    <t>01-01-0049-0000000261</t>
  </si>
  <si>
    <t>01-01-0049-0000000445</t>
  </si>
  <si>
    <t>01-01-0049-0000000386</t>
  </si>
  <si>
    <t>01-01-0049-0000000263</t>
  </si>
  <si>
    <t>01-01-0049-0000000253</t>
  </si>
  <si>
    <t>01-01-0049-0000000371</t>
  </si>
  <si>
    <t>01-01-0049-0000000390</t>
  </si>
  <si>
    <t>01-01-0049-0000000450</t>
  </si>
  <si>
    <t>01-01-0049-0000000082</t>
  </si>
  <si>
    <t>01-01-0049-0000000265</t>
  </si>
  <si>
    <t>01-01-0049-0000000104</t>
  </si>
  <si>
    <t>01-01-0049-0000000322</t>
  </si>
  <si>
    <t>01-01-0049-0000000367</t>
  </si>
  <si>
    <t>01-01-0049-0000000328</t>
  </si>
  <si>
    <t>01-01-0049-0000000346</t>
  </si>
  <si>
    <t>01-01-0049-0000000274</t>
  </si>
  <si>
    <t>01-01-0049-0000000259</t>
  </si>
  <si>
    <t>01-01-0049-0000000320</t>
  </si>
  <si>
    <t>01-01-0049-0000000148</t>
  </si>
  <si>
    <t>01-01-0049-0000000436</t>
  </si>
  <si>
    <t>01-01-0049-0000000135</t>
  </si>
  <si>
    <t>01-01-0049-0000000433</t>
  </si>
  <si>
    <t>01-01-0049-0000000249</t>
  </si>
  <si>
    <t>01-01-0049-0000000435</t>
  </si>
  <si>
    <t>01-01-0049-0000000311</t>
  </si>
  <si>
    <t>01-01-0049-0000000159</t>
  </si>
  <si>
    <t>01-01-0049-0000000118</t>
  </si>
  <si>
    <t>01-01-0049-0000000219</t>
  </si>
  <si>
    <t>01-01-0049-0000000272</t>
  </si>
  <si>
    <t>01-01-0049-0000000231</t>
  </si>
  <si>
    <t>01-01-0049-0000000195</t>
  </si>
  <si>
    <t>01-01-0049-0000000117</t>
  </si>
  <si>
    <t>01-01-0049-0000000345</t>
  </si>
  <si>
    <t>01-01-0049-0000000044</t>
  </si>
  <si>
    <t>01-01-0049-0000000446</t>
  </si>
  <si>
    <t>01-01-0049-0000000434</t>
  </si>
  <si>
    <t>01-01-0049-0000000427</t>
  </si>
  <si>
    <t>01-01-0049-0000000447</t>
  </si>
  <si>
    <t>01-01-0049-0000000425</t>
  </si>
  <si>
    <t>01-01-0049-0000000396</t>
  </si>
  <si>
    <t>01-01-0049-0000000369</t>
  </si>
  <si>
    <t>01-01-0049-0000000055</t>
  </si>
  <si>
    <t>01-01-0049-0000000337</t>
  </si>
  <si>
    <t>01-01-0049-0000000325</t>
  </si>
  <si>
    <t>01-01-0049-0000000319</t>
  </si>
  <si>
    <t>01-01-0049-0000000305</t>
  </si>
  <si>
    <t>01-01-0049-0000000298</t>
  </si>
  <si>
    <t>01-01-0049-0000000293</t>
  </si>
  <si>
    <t>01-01-0049-0000000280</t>
  </si>
  <si>
    <t>01-01-0049-0000000041</t>
  </si>
  <si>
    <t>01-01-0049-0000000262</t>
  </si>
  <si>
    <t>01-01-0049-0000000255</t>
  </si>
  <si>
    <t>01-01-0049-0000000235</t>
  </si>
  <si>
    <t>01-01-0049-0000000230</t>
  </si>
  <si>
    <t>01-01-0049-0000000131</t>
  </si>
  <si>
    <t>01-01-0049-0000000114</t>
  </si>
  <si>
    <t>01-01-0049-0000000080</t>
  </si>
  <si>
    <t>01-01-0049-0000000257</t>
  </si>
  <si>
    <t>01-01-0049-0000000129</t>
  </si>
  <si>
    <t>01-01-0049-0000000243</t>
  </si>
  <si>
    <t>01-01-0049-0000000350</t>
  </si>
  <si>
    <t>01-01-0049-0000000233</t>
  </si>
  <si>
    <t>01-01-0049-0000000448</t>
  </si>
  <si>
    <t>01-01-0049-0000000419</t>
  </si>
  <si>
    <t>01-01-0049-0000000139</t>
  </si>
  <si>
    <t>01-01-0049-0000000075</t>
  </si>
  <si>
    <t>01-01-0049-0000000120</t>
  </si>
  <si>
    <t>01-01-0049-0000000335</t>
  </si>
  <si>
    <t>01-01-0049-0000000264</t>
  </si>
  <si>
    <t>01-01-0049-0000000096</t>
  </si>
  <si>
    <t>01-01-0049-0000000417</t>
  </si>
  <si>
    <t>01-01-0049-0000000061</t>
  </si>
  <si>
    <t>01-01-0049-0000000353</t>
  </si>
  <si>
    <t>01-01-0049-0000000110</t>
  </si>
  <si>
    <t>01-01-0049-0000000093</t>
  </si>
  <si>
    <t>01-01-0049-0000000260</t>
  </si>
  <si>
    <t>01-01-0049-0000000241</t>
  </si>
  <si>
    <t>01-01-0049-0000000112</t>
  </si>
  <si>
    <t>01-01-0049-0000000197</t>
  </si>
  <si>
    <t>01-01-0049-0000000381</t>
  </si>
  <si>
    <t>01-01-0049-0000000299</t>
  </si>
  <si>
    <t>01-01-0049-0000000062</t>
  </si>
  <si>
    <t>01-01-0049-0000000033</t>
  </si>
  <si>
    <t>01-01-0049-0000000007</t>
  </si>
  <si>
    <t>01-01-0049-0000000441</t>
  </si>
  <si>
    <t>01-01-0049-0000000073</t>
  </si>
  <si>
    <t>01-01-0049-0000000404</t>
  </si>
  <si>
    <t>01-01-0049-0000000068</t>
  </si>
  <si>
    <t>01-01-0049-0000000043</t>
  </si>
  <si>
    <t>01-01-0049-0000000453</t>
  </si>
  <si>
    <t>01-01-0049-0000000398</t>
  </si>
  <si>
    <t>01-01-0049-0000000285</t>
  </si>
  <si>
    <t>01-01-0049-0000000424</t>
  </si>
  <si>
    <t>01-01-0049-0000000344</t>
  </si>
  <si>
    <t>01-01-0049-0000000147</t>
  </si>
  <si>
    <t>01-01-0049-0000000278</t>
  </si>
  <si>
    <t>01-01-0049-0000000031</t>
  </si>
  <si>
    <t>01-01-0049-0000000426</t>
  </si>
  <si>
    <t>01-01-0049-0000000108</t>
  </si>
  <si>
    <t>01-01-0049-0000000227</t>
  </si>
  <si>
    <t>01-01-0049-0000000365</t>
  </si>
  <si>
    <t>01-01-0049-0000000072</t>
  </si>
  <si>
    <t>01-01-0049-0000000382</t>
  </si>
  <si>
    <t>01-01-0049-0000000023</t>
  </si>
  <si>
    <t>01-01-0049-0000000220</t>
  </si>
  <si>
    <t>01-01-0049-0000000451</t>
  </si>
  <si>
    <t>01-01-0049-0000000234</t>
  </si>
  <si>
    <t>01-01-0049-0000000295</t>
  </si>
  <si>
    <t>01-01-0049-0000000297</t>
  </si>
  <si>
    <t>01-01-0049-0000000054</t>
  </si>
  <si>
    <t>01-01-0049-0000000414</t>
  </si>
  <si>
    <t>01-01-0049-0000000181</t>
  </si>
  <si>
    <t>01-01-0049-0000000329</t>
  </si>
  <si>
    <t>01-01-0049-0000000283</t>
  </si>
  <si>
    <t>01-01-0049-0000000056</t>
  </si>
  <si>
    <t>01-01-0049-0000000020</t>
  </si>
  <si>
    <t>01-01-0049-0000000121</t>
  </si>
  <si>
    <t>01-01-0049-0000000146</t>
  </si>
  <si>
    <t>01-01-0049-0000000416</t>
  </si>
  <si>
    <t>01-01-0049-0000000199</t>
  </si>
  <si>
    <t>01-01-0049-0000000039</t>
  </si>
  <si>
    <t>01-01-0049-0000000342</t>
  </si>
  <si>
    <t>01-01-0049-0000000313</t>
  </si>
  <si>
    <t>01-01-0049-0000000105</t>
  </si>
  <si>
    <t>01-01-0049-0000000413</t>
  </si>
  <si>
    <t>01-01-0049-0000000053</t>
  </si>
  <si>
    <t>01-01-0049-0000000290</t>
  </si>
  <si>
    <t>01-01-0049-0000000364</t>
  </si>
  <si>
    <t>01-01-0049-0000000437</t>
  </si>
  <si>
    <t>01-01-0049-0000000301</t>
  </si>
  <si>
    <t>01-01-0049-0000000115</t>
  </si>
  <si>
    <t>01-01-0049-0000000418</t>
  </si>
  <si>
    <t>01-01-0049-0000000343</t>
  </si>
  <si>
    <t>01-01-0049-0000000153</t>
  </si>
  <si>
    <t>01-01-0049-0000000324</t>
  </si>
  <si>
    <t>01-01-0049-0000000348</t>
  </si>
  <si>
    <t>01-01-0049-0000000160</t>
  </si>
  <si>
    <t>01-01-0049-0000000059</t>
  </si>
  <si>
    <t>01-01-0049-0000000083</t>
  </si>
  <si>
    <t>01-01-0049-0000000111</t>
  </si>
  <si>
    <t>01-01-0049-0000000428</t>
  </si>
  <si>
    <t>01-01-0049-0000000107</t>
  </si>
  <si>
    <t>01-01-0049-0000000045</t>
  </si>
  <si>
    <t>01-01-0049-0000000103</t>
  </si>
  <si>
    <t>01-01-0049-0000000352</t>
  </si>
  <si>
    <t>01-01-0049-0000000100</t>
  </si>
  <si>
    <t>01-01-0049-0000000225</t>
  </si>
  <si>
    <t>01-01-0049-0000000210</t>
  </si>
  <si>
    <t>01-01-0049-0000000134</t>
  </si>
  <si>
    <t>01-01-0049-0000000150</t>
  </si>
  <si>
    <t>01-01-0049-0000000179</t>
  </si>
  <si>
    <t>01-01-0049-0000000409</t>
  </si>
  <si>
    <t>01-01-0049-0000000355</t>
  </si>
  <si>
    <t>01-01-0049-0000000085</t>
  </si>
  <si>
    <t>01-01-0049-0000000187</t>
  </si>
  <si>
    <t>01-01-0049-0000000136</t>
  </si>
  <si>
    <t>01-01-0049-0000000421</t>
  </si>
  <si>
    <t>01-01-0049-0000000411</t>
  </si>
  <si>
    <t>01-01-0049-0000000331</t>
  </si>
  <si>
    <t>01-01-0049-0000000126</t>
  </si>
  <si>
    <t>01-01-0049-0000000215</t>
  </si>
  <si>
    <t>01-01-0049-0000000145</t>
  </si>
  <si>
    <t>01-01-0049-0000000002</t>
  </si>
  <si>
    <t>01-01-0049-0000000321</t>
  </si>
  <si>
    <t>01-01-0049-0000000106</t>
  </si>
  <si>
    <t>01-01-0049-0000000309</t>
  </si>
  <si>
    <t>01-01-0049-0000000237</t>
  </si>
  <si>
    <t>01-01-0049-0000000239</t>
  </si>
  <si>
    <t>01-01-0049-0000000226</t>
  </si>
  <si>
    <t>01-01-0049-0000000366</t>
  </si>
  <si>
    <t>01-01-0049-0000000202</t>
  </si>
  <si>
    <t>01-01-0049-0000000247</t>
  </si>
  <si>
    <t>01-01-0049-0000000432</t>
  </si>
  <si>
    <t>01-01-0049-0000000349</t>
  </si>
  <si>
    <t>01-01-0049-0000000449</t>
  </si>
  <si>
    <t>01-01-0049-0000000420</t>
  </si>
  <si>
    <t>01-01-0049-0000000124</t>
  </si>
  <si>
    <t>01-01-0049-0000000180</t>
  </si>
  <si>
    <t>01-01-0049-0000000079</t>
  </si>
  <si>
    <t>01-01-0049-0000000090</t>
  </si>
  <si>
    <t>01-01-0049-0000000127</t>
  </si>
  <si>
    <t>01-01-0049-0000000209</t>
  </si>
  <si>
    <t>01-01-0049-0000000268</t>
  </si>
  <si>
    <t>01-01-0049-0000000016</t>
  </si>
  <si>
    <t>01-01-0049-0000000158</t>
  </si>
  <si>
    <t>01-01-0049-0000000178</t>
  </si>
  <si>
    <t>01-01-0049-0000000442</t>
  </si>
  <si>
    <t>01-01-0049-0000000099</t>
  </si>
  <si>
    <t>01-01-0049-0000000155</t>
  </si>
  <si>
    <t>01-01-0049-0000000302</t>
  </si>
  <si>
    <t>01-01-0049-0000000095</t>
  </si>
  <si>
    <t>01-01-0049-0000000142</t>
  </si>
  <si>
    <t>01-01-0049-0000000130</t>
  </si>
  <si>
    <t>01-01-0049-0000000156</t>
  </si>
  <si>
    <t>01-01-0049-0000000167</t>
  </si>
  <si>
    <t>01-01-0049-0000000058</t>
  </si>
  <si>
    <t>01-01-0049-0000000137</t>
  </si>
  <si>
    <t>01-01-0049-0000000315</t>
  </si>
  <si>
    <t>01-01-0049-0000000269</t>
  </si>
  <si>
    <t>01-01-0049-0000000125</t>
  </si>
  <si>
    <t>01-01-0049-0000000060</t>
  </si>
  <si>
    <t>01-01-0049-0000000228</t>
  </si>
  <si>
    <t>01-01-0049-0000000266</t>
  </si>
  <si>
    <t>01-01-0049-0000000140</t>
  </si>
  <si>
    <t>01-01-0049-0000000173</t>
  </si>
  <si>
    <t>01-01-0049-0000000149</t>
  </si>
  <si>
    <t>01-01-0049-0000000224</t>
  </si>
  <si>
    <t>01-01-0049-0000000172</t>
  </si>
  <si>
    <t>01-01-0049-0000000152</t>
  </si>
  <si>
    <t>01-01-0049-0000000201</t>
  </si>
  <si>
    <t>01-01-0049-0000000389</t>
  </si>
  <si>
    <t>01-01-0049-0000000177</t>
  </si>
  <si>
    <t>01-01-0049-0000000454</t>
  </si>
  <si>
    <t>01-01-0049-0000000097</t>
  </si>
  <si>
    <t>01-01-0049-0000000438</t>
  </si>
  <si>
    <t>01-01-0049-0000000162</t>
  </si>
  <si>
    <t>01-01-0049-0000000151</t>
  </si>
  <si>
    <t>01-01-0049-0000000052</t>
  </si>
  <si>
    <t>01-01-0049-0000000092</t>
  </si>
  <si>
    <t>01-01-0049-0000000452</t>
  </si>
  <si>
    <t>01-01-0049-0000000440</t>
  </si>
  <si>
    <t>01-01-0049-0000000128</t>
  </si>
  <si>
    <t>01-01-0049-0000000211</t>
  </si>
  <si>
    <t>01-01-0049-0000000138</t>
  </si>
  <si>
    <t>01-01-0049-0000000200</t>
  </si>
  <si>
    <t>01-01-0049-0000000170</t>
  </si>
  <si>
    <t>01-01-0049-0000000203</t>
  </si>
  <si>
    <t>01-01-0049-0000000015</t>
  </si>
  <si>
    <t>01-01-0049-0000000347</t>
  </si>
  <si>
    <t>01-01-0049-0000000232</t>
  </si>
  <si>
    <t>01-01-0049-0000000098</t>
  </si>
  <si>
    <t>01-01-0049-0000000051</t>
  </si>
  <si>
    <t>01-01-0049-0000000132</t>
  </si>
  <si>
    <t>01-01-0049-0000000164</t>
  </si>
  <si>
    <t>01-01-0049-0000000358</t>
  </si>
  <si>
    <t>01-01-0049-0000000323</t>
  </si>
  <si>
    <t>01-01-0049-0000000154</t>
  </si>
  <si>
    <t>01-01-0049-0000000368</t>
  </si>
  <si>
    <t>01-01-0049-0000000256</t>
  </si>
  <si>
    <t>01-01-0049-0000000189</t>
  </si>
  <si>
    <t>01-01-0049-0000000183</t>
  </si>
  <si>
    <t>01-01-0049-0000000021</t>
  </si>
  <si>
    <t>01-01-0049-0000000218</t>
  </si>
  <si>
    <t>01-01-0049-0000000188</t>
  </si>
  <si>
    <t>01-01-0049-0000000395</t>
  </si>
  <si>
    <t>01-01-0049-0000000376</t>
  </si>
  <si>
    <t>01-01-0049-0000000214</t>
  </si>
  <si>
    <t>01-01-0049-0000000236</t>
  </si>
  <si>
    <t>01-01-0049-0000000186</t>
  </si>
  <si>
    <t>01-01-0049-0000000050</t>
  </si>
  <si>
    <t>01-01-0049-0000000286</t>
  </si>
  <si>
    <t>01-01-0049-0000000252</t>
  </si>
  <si>
    <t>01-01-0049-0000000397</t>
  </si>
  <si>
    <t>01-01-0049-0000000123</t>
  </si>
  <si>
    <t>01-01-0049-0000000165</t>
  </si>
  <si>
    <t>01-01-0049-0000000182</t>
  </si>
  <si>
    <t>01-01-0049-0000000455</t>
  </si>
  <si>
    <t>01-01-0049-0000000046</t>
  </si>
  <si>
    <t>01-01-0049-0000000338</t>
  </si>
  <si>
    <t>01-01-0049-0000000401</t>
  </si>
  <si>
    <t>01-01-0049-0000000205</t>
  </si>
  <si>
    <t>01-01-0049-0000000292</t>
  </si>
  <si>
    <t>01-01-0049-0000000422</t>
  </si>
  <si>
    <t>01-01-0049-0000000385</t>
  </si>
  <si>
    <t>01-01-0049-0000000190</t>
  </si>
  <si>
    <t>01-01-0049-0000000303</t>
  </si>
  <si>
    <t>01-01-0049-0000000294</t>
  </si>
  <si>
    <t>01-01-0049-0000000393</t>
  </si>
  <si>
    <t>01-01-0049-0000000088</t>
  </si>
  <si>
    <t>01-01-0049-0000000094</t>
  </si>
  <si>
    <t>01-01-0049-0000000251</t>
  </si>
  <si>
    <t>01-01-0049-0000000223</t>
  </si>
  <si>
    <t>01-01-0049-0000000194</t>
  </si>
  <si>
    <t>01-01-0049-0000000207</t>
  </si>
  <si>
    <t>01-01-0049-0000000166</t>
  </si>
  <si>
    <t>01-01-0049-0000000270</t>
  </si>
  <si>
    <t>01-01-0049-0000000423</t>
  </si>
  <si>
    <t>01-01-0049-0000000174</t>
  </si>
  <si>
    <t>01-01-0049-0000000191</t>
  </si>
  <si>
    <t>01-01-0049-0000000362</t>
  </si>
  <si>
    <t>01-01-0049-0000000360</t>
  </si>
  <si>
    <t>01-01-0049-0000000340</t>
  </si>
  <si>
    <t>01-01-0049-0000000430</t>
  </si>
  <si>
    <t>01-01-0049-0000000306</t>
  </si>
  <si>
    <t>01-01-0049-0000000208</t>
  </si>
  <si>
    <t>01-01-0049-0000000175</t>
  </si>
  <si>
    <t>01-01-0049-0000000212</t>
  </si>
  <si>
    <t>01-01-0049-0000000221</t>
  </si>
  <si>
    <t>01-01-0049-0000000431</t>
  </si>
  <si>
    <t>01-01-0049-0000000185</t>
  </si>
  <si>
    <t>01-01-0049-0000000333</t>
  </si>
  <si>
    <t>01-01-0049-0000000317</t>
  </si>
  <si>
    <t>01-01-0049-0000000307</t>
  </si>
  <si>
    <t>01-01-0049-0000000281</t>
  </si>
  <si>
    <t>01-01-0049-0000000314</t>
  </si>
  <si>
    <t>01-01-0049-0000000351</t>
  </si>
  <si>
    <t>01-01-0049-0000000391</t>
  </si>
  <si>
    <t>01-01-0049-0000000216</t>
  </si>
  <si>
    <t>01-01-0049-0000000370</t>
  </si>
  <si>
    <t>01-01-0049-0000000240</t>
  </si>
  <si>
    <t>01-01-0049-0000000403</t>
  </si>
  <si>
    <t>01-01-0049-0000000412</t>
  </si>
  <si>
    <t>01-01-0049-0000000250</t>
  </si>
  <si>
    <t>01-01-0049-0000000327</t>
  </si>
  <si>
    <t>01-01-0049-0000000204</t>
  </si>
  <si>
    <t>01-01-0049-0000000238</t>
  </si>
  <si>
    <t>01-01-0049-0000000206</t>
  </si>
  <si>
    <t>01-01-0049-0000000244</t>
  </si>
  <si>
    <t>01-01-0049-0000000076</t>
  </si>
  <si>
    <t>01-01-0049-0000000439</t>
  </si>
  <si>
    <t>01-01-0049-0000000077</t>
  </si>
  <si>
    <t>01-01-0049-0000000198</t>
  </si>
  <si>
    <t>01-01-0049-0000000176</t>
  </si>
  <si>
    <t>01-01-0049-0000000163</t>
  </si>
  <si>
    <t>01-01-0049-0000000116</t>
  </si>
  <si>
    <t>01-01-0049-0000000084</t>
  </si>
  <si>
    <t>01-01-0049-0000000089</t>
  </si>
  <si>
    <t>01-01-0049-0000000254</t>
  </si>
  <si>
    <t>01-01-0049-0000000086</t>
  </si>
  <si>
    <t>01-01-0049-0000000318</t>
  </si>
  <si>
    <t>01-01-0049-0000000248</t>
  </si>
  <si>
    <t>01-01-0049-0000000289</t>
  </si>
  <si>
    <t>01-01-0049-0000000133</t>
  </si>
  <si>
    <t>01-01-0049-0000000354</t>
  </si>
  <si>
    <t>01-01-0049-0000000429</t>
  </si>
  <si>
    <t>01-01-0049-0000000242</t>
  </si>
  <si>
    <t>01-01-0049-0000000196</t>
  </si>
  <si>
    <t>01-01-0049-0000000356</t>
  </si>
  <si>
    <t>01-01-0049-0000000339</t>
  </si>
  <si>
    <t>01-01-0049-0000000169</t>
  </si>
  <si>
    <t>01-01-0049-0000000282</t>
  </si>
  <si>
    <t>01-01-0049-0000000316</t>
  </si>
  <si>
    <t>01-01-0049-0000000388</t>
  </si>
  <si>
    <t>01-01-0049-0000000143</t>
  </si>
  <si>
    <t>01-01-0049-0000000087</t>
  </si>
  <si>
    <t>01-01-0049-0000000101</t>
  </si>
  <si>
    <t>01-01-0049-0000000377</t>
  </si>
  <si>
    <t>01-01-0049-0000000372</t>
  </si>
  <si>
    <t>01-01-0049-0000000192</t>
  </si>
  <si>
    <t>01-01-0049-0000000193</t>
  </si>
  <si>
    <t>01-01-0049-0000000222</t>
  </si>
  <si>
    <t>01-01-0049-0000000258</t>
  </si>
  <si>
    <t>01-01-0049-0000000399</t>
  </si>
  <si>
    <t>01-01-0049-0000000304</t>
  </si>
  <si>
    <t>01-01-0049-0000000109</t>
  </si>
  <si>
    <t>01-01-0049-0000000246</t>
  </si>
  <si>
    <t>01-01-0049-0000000141</t>
  </si>
  <si>
    <t>01-01-0049-0000000168</t>
  </si>
  <si>
    <t>01-01-0049-0000000229</t>
  </si>
  <si>
    <t>01-01-0049-0000000184</t>
  </si>
  <si>
    <t>01-01-0049-0000000078</t>
  </si>
  <si>
    <t>01-01-0049-0000000022</t>
  </si>
  <si>
    <t>01-01-0049-0000000415</t>
  </si>
  <si>
    <t>01-01-0049-0000000284</t>
  </si>
  <si>
    <t>01-01-0049-0000000444</t>
  </si>
  <si>
    <t>01-01-0049-0000000312</t>
  </si>
  <si>
    <t>1</t>
  </si>
  <si>
    <t>EAS1</t>
  </si>
  <si>
    <t>بيع</t>
  </si>
  <si>
    <t>بنك الراجحي</t>
  </si>
  <si>
    <t>EAS2</t>
  </si>
  <si>
    <t>بنك الأهلي</t>
  </si>
  <si>
    <t>EAS3</t>
  </si>
  <si>
    <t>EAS4</t>
  </si>
  <si>
    <t>EAS5</t>
  </si>
  <si>
    <t>EAS6</t>
  </si>
  <si>
    <t>EAS7</t>
  </si>
  <si>
    <t>بنك ساب</t>
  </si>
  <si>
    <t>EAS8</t>
  </si>
  <si>
    <t>EAS9</t>
  </si>
  <si>
    <t>EAS10</t>
  </si>
  <si>
    <t>EAS11</t>
  </si>
  <si>
    <t>EAS12</t>
  </si>
  <si>
    <t>EAS13</t>
  </si>
  <si>
    <t>EAS14</t>
  </si>
  <si>
    <t>EAS15</t>
  </si>
  <si>
    <t>2</t>
  </si>
  <si>
    <t>EAS16</t>
  </si>
  <si>
    <t>EAS17</t>
  </si>
  <si>
    <t>بنك البلاد</t>
  </si>
  <si>
    <t>EAS18</t>
  </si>
  <si>
    <t>EAS19</t>
  </si>
  <si>
    <t>EAS20</t>
  </si>
  <si>
    <t>EAS21</t>
  </si>
  <si>
    <t>EAS22</t>
  </si>
  <si>
    <t>EAS23</t>
  </si>
  <si>
    <t>EAS24</t>
  </si>
  <si>
    <t>EAS25</t>
  </si>
  <si>
    <t>EAS26</t>
  </si>
  <si>
    <t>EAS27</t>
  </si>
  <si>
    <t>EAS28</t>
  </si>
  <si>
    <t>EAS29</t>
  </si>
  <si>
    <t>EAS30</t>
  </si>
  <si>
    <t>3</t>
  </si>
  <si>
    <t>EAS31</t>
  </si>
  <si>
    <t>EAS32</t>
  </si>
  <si>
    <t>EAS33</t>
  </si>
  <si>
    <t>EAS34</t>
  </si>
  <si>
    <t>EAS35</t>
  </si>
  <si>
    <t>EAS36</t>
  </si>
  <si>
    <t>EAS37</t>
  </si>
  <si>
    <t>EAS38</t>
  </si>
  <si>
    <t>EAS39</t>
  </si>
  <si>
    <t>EAS40</t>
  </si>
  <si>
    <t>EAS41</t>
  </si>
  <si>
    <t>EAS42</t>
  </si>
  <si>
    <t>EAS43</t>
  </si>
  <si>
    <t>4</t>
  </si>
  <si>
    <t>EAS44</t>
  </si>
  <si>
    <t>5</t>
  </si>
  <si>
    <t>EAS45</t>
  </si>
  <si>
    <t>6</t>
  </si>
  <si>
    <t>EAS46</t>
  </si>
  <si>
    <t>7</t>
  </si>
  <si>
    <t>EAS47</t>
  </si>
  <si>
    <t>8</t>
  </si>
  <si>
    <t>EAS48</t>
  </si>
  <si>
    <t>10</t>
  </si>
  <si>
    <t>EAS49</t>
  </si>
  <si>
    <t>11</t>
  </si>
  <si>
    <t>EAS50</t>
  </si>
  <si>
    <t>12</t>
  </si>
  <si>
    <t>EAS51</t>
  </si>
  <si>
    <t>EAS52</t>
  </si>
  <si>
    <t>EAS53</t>
  </si>
  <si>
    <t>EAS54</t>
  </si>
  <si>
    <t>EAS56</t>
  </si>
  <si>
    <t>EAS57</t>
  </si>
  <si>
    <t>EAS58</t>
  </si>
  <si>
    <t>EAS59</t>
  </si>
  <si>
    <t>EAS60</t>
  </si>
  <si>
    <t>EAS61</t>
  </si>
  <si>
    <t>13</t>
  </si>
  <si>
    <t>EAS62</t>
  </si>
  <si>
    <t>14</t>
  </si>
  <si>
    <t>EAS63</t>
  </si>
  <si>
    <t>EAS64</t>
  </si>
  <si>
    <t>EAS65</t>
  </si>
  <si>
    <t>EAS66</t>
  </si>
  <si>
    <t>EAS67</t>
  </si>
  <si>
    <t>15</t>
  </si>
  <si>
    <t>EAS68</t>
  </si>
  <si>
    <t>16</t>
  </si>
  <si>
    <t>EAS69</t>
  </si>
  <si>
    <t>EAS70</t>
  </si>
  <si>
    <t>EAS71</t>
  </si>
  <si>
    <t>EAS72</t>
  </si>
  <si>
    <t>EAS73</t>
  </si>
  <si>
    <t>EAS74</t>
  </si>
  <si>
    <t>EAS75</t>
  </si>
  <si>
    <t>17</t>
  </si>
  <si>
    <t>EAS76</t>
  </si>
  <si>
    <t>EAS77</t>
  </si>
  <si>
    <t>EAS78</t>
  </si>
  <si>
    <t>EAS79</t>
  </si>
  <si>
    <t>EAS80</t>
  </si>
  <si>
    <t>EAS81</t>
  </si>
  <si>
    <t>EAS82</t>
  </si>
  <si>
    <t>EAS83</t>
  </si>
  <si>
    <t>EAS84</t>
  </si>
  <si>
    <t>EAS85</t>
  </si>
  <si>
    <t>EAS86</t>
  </si>
  <si>
    <t>EAS87</t>
  </si>
  <si>
    <t>EAS88</t>
  </si>
  <si>
    <t>EAS89</t>
  </si>
  <si>
    <t>EAS90</t>
  </si>
  <si>
    <t>EAS91</t>
  </si>
  <si>
    <t>EAS92</t>
  </si>
  <si>
    <t>EAS93</t>
  </si>
  <si>
    <t>بنك الإنماء</t>
  </si>
  <si>
    <t>EAS94</t>
  </si>
  <si>
    <t>EAS95</t>
  </si>
  <si>
    <t>EAS96</t>
  </si>
  <si>
    <t>19</t>
  </si>
  <si>
    <t>EAS98</t>
  </si>
  <si>
    <t>EAS99</t>
  </si>
  <si>
    <t>EAS100</t>
  </si>
  <si>
    <t>EAS101</t>
  </si>
  <si>
    <t>EAS102</t>
  </si>
  <si>
    <t>EAS103</t>
  </si>
  <si>
    <t>EAS104</t>
  </si>
  <si>
    <t>EAS105</t>
  </si>
  <si>
    <t>بنك الرياض</t>
  </si>
  <si>
    <t>EAS106</t>
  </si>
  <si>
    <t>EAS107</t>
  </si>
  <si>
    <t>EAS108</t>
  </si>
  <si>
    <t>EAS109</t>
  </si>
  <si>
    <t>EAS110</t>
  </si>
  <si>
    <t>EAS111</t>
  </si>
  <si>
    <t>EAS112</t>
  </si>
  <si>
    <t>EAS114</t>
  </si>
  <si>
    <t>EAS115</t>
  </si>
  <si>
    <t>EAS116</t>
  </si>
  <si>
    <t>EAS117</t>
  </si>
  <si>
    <t>EAS118</t>
  </si>
  <si>
    <t>EAS119</t>
  </si>
  <si>
    <t>البنك العربي</t>
  </si>
  <si>
    <t>EAS120</t>
  </si>
  <si>
    <t>EAS121</t>
  </si>
  <si>
    <t>EAS122</t>
  </si>
  <si>
    <t>EAS123</t>
  </si>
  <si>
    <t>EAS124</t>
  </si>
  <si>
    <t>EAS125</t>
  </si>
  <si>
    <t>EAS126</t>
  </si>
  <si>
    <t>EAS127</t>
  </si>
  <si>
    <t>EAS128</t>
  </si>
  <si>
    <t>EAS129</t>
  </si>
  <si>
    <t>EAS130</t>
  </si>
  <si>
    <t>EAS131</t>
  </si>
  <si>
    <t>EAS132</t>
  </si>
  <si>
    <t>9</t>
  </si>
  <si>
    <t>EAS133</t>
  </si>
  <si>
    <t>EAS134</t>
  </si>
  <si>
    <t>EAS135</t>
  </si>
  <si>
    <t>EAS136</t>
  </si>
  <si>
    <t>EAS137</t>
  </si>
  <si>
    <t>EAS138</t>
  </si>
  <si>
    <t>18</t>
  </si>
  <si>
    <t>EAS139</t>
  </si>
  <si>
    <t>EAS140</t>
  </si>
  <si>
    <t>EAS141</t>
  </si>
  <si>
    <t>EAS142</t>
  </si>
  <si>
    <t>EAS143</t>
  </si>
  <si>
    <t>EAS144</t>
  </si>
  <si>
    <t>EAS145</t>
  </si>
  <si>
    <t>EAS146</t>
  </si>
  <si>
    <t>EAS147</t>
  </si>
  <si>
    <t>EAS148</t>
  </si>
  <si>
    <t>EAS149</t>
  </si>
  <si>
    <t>EAS150</t>
  </si>
  <si>
    <t>EAS151</t>
  </si>
  <si>
    <t>EAS152</t>
  </si>
  <si>
    <t>EAS153</t>
  </si>
  <si>
    <t>EAS154</t>
  </si>
  <si>
    <t>EAS155</t>
  </si>
  <si>
    <t>EAS156</t>
  </si>
  <si>
    <t>EAS157</t>
  </si>
  <si>
    <t>EAS158</t>
  </si>
  <si>
    <t>EAS159</t>
  </si>
  <si>
    <t>EAS160</t>
  </si>
  <si>
    <t>EAS161</t>
  </si>
  <si>
    <t>EAS162</t>
  </si>
  <si>
    <t>EAS164</t>
  </si>
  <si>
    <t>EAS165</t>
  </si>
  <si>
    <t>EAS166</t>
  </si>
  <si>
    <t>EAS167</t>
  </si>
  <si>
    <t>EAS168</t>
  </si>
  <si>
    <t>EAS169</t>
  </si>
  <si>
    <t>EAS170</t>
  </si>
  <si>
    <t>كاش</t>
  </si>
  <si>
    <t>EAS171</t>
  </si>
  <si>
    <t>EAS172</t>
  </si>
  <si>
    <t>EAS173</t>
  </si>
  <si>
    <t>EAS174</t>
  </si>
  <si>
    <t>EAS175</t>
  </si>
  <si>
    <t>EAS176</t>
  </si>
  <si>
    <t>EAS177</t>
  </si>
  <si>
    <t>EAS178</t>
  </si>
  <si>
    <t>EAS179</t>
  </si>
  <si>
    <t>EAS180</t>
  </si>
  <si>
    <t>EAS181</t>
  </si>
  <si>
    <t>EAS182</t>
  </si>
  <si>
    <t>EAS183</t>
  </si>
  <si>
    <t>EAS184</t>
  </si>
  <si>
    <t>EAS185</t>
  </si>
  <si>
    <t>EAS186</t>
  </si>
  <si>
    <t>EAS187</t>
  </si>
  <si>
    <t>EAS188</t>
  </si>
  <si>
    <t>EAS189</t>
  </si>
  <si>
    <t>EAS190</t>
  </si>
  <si>
    <t>EAS191</t>
  </si>
  <si>
    <t>EAS192</t>
  </si>
  <si>
    <t>بنك الجزيرة</t>
  </si>
  <si>
    <t>EAS193</t>
  </si>
  <si>
    <t>EAS194</t>
  </si>
  <si>
    <t>EAS195</t>
  </si>
  <si>
    <t>EAS196</t>
  </si>
  <si>
    <t>EAS197</t>
  </si>
  <si>
    <t>EAS198</t>
  </si>
  <si>
    <t>EAS199</t>
  </si>
  <si>
    <t>EAS200</t>
  </si>
  <si>
    <t>EAS201</t>
  </si>
  <si>
    <t>EAS202</t>
  </si>
  <si>
    <t>EAS203</t>
  </si>
  <si>
    <t>EAS204</t>
  </si>
  <si>
    <t>EAS205</t>
  </si>
  <si>
    <t>EAS206</t>
  </si>
  <si>
    <t>EAS207</t>
  </si>
  <si>
    <t>EAS208</t>
  </si>
  <si>
    <t>EAS209</t>
  </si>
  <si>
    <t>EAS210</t>
  </si>
  <si>
    <t>EAS211</t>
  </si>
  <si>
    <t>EAS212</t>
  </si>
  <si>
    <t>EAS213</t>
  </si>
  <si>
    <t>EAS214</t>
  </si>
  <si>
    <t>EAS215</t>
  </si>
  <si>
    <t>EAS216</t>
  </si>
  <si>
    <t>EAS217</t>
  </si>
  <si>
    <t>EAS218</t>
  </si>
  <si>
    <t>EAS219</t>
  </si>
  <si>
    <t>EAS220</t>
  </si>
  <si>
    <t>EAS221</t>
  </si>
  <si>
    <t>EAS222</t>
  </si>
  <si>
    <t>EAS223</t>
  </si>
  <si>
    <t>EAS224</t>
  </si>
  <si>
    <t>EAS225</t>
  </si>
  <si>
    <t>EAS226</t>
  </si>
  <si>
    <t>EAS227</t>
  </si>
  <si>
    <t>EAS228</t>
  </si>
  <si>
    <t>EAS229</t>
  </si>
  <si>
    <t>EAS230</t>
  </si>
  <si>
    <t>EAS231</t>
  </si>
  <si>
    <t>EAS232</t>
  </si>
  <si>
    <t>EAS233</t>
  </si>
  <si>
    <t>EAS234</t>
  </si>
  <si>
    <t>EAS235</t>
  </si>
  <si>
    <t>EAS236</t>
  </si>
  <si>
    <t>EAS237</t>
  </si>
  <si>
    <t>EAS238</t>
  </si>
  <si>
    <t>EAS239</t>
  </si>
  <si>
    <t>EAS240</t>
  </si>
  <si>
    <t>EAS241</t>
  </si>
  <si>
    <t>EAS242</t>
  </si>
  <si>
    <t>EAS243</t>
  </si>
  <si>
    <t>EAS244</t>
  </si>
  <si>
    <t>EAS245</t>
  </si>
  <si>
    <t>EAS246</t>
  </si>
  <si>
    <t>EAS247</t>
  </si>
  <si>
    <t>EAS248</t>
  </si>
  <si>
    <t>EAS249</t>
  </si>
  <si>
    <t>EAS250</t>
  </si>
  <si>
    <t>EAS251</t>
  </si>
  <si>
    <t>EAS252</t>
  </si>
  <si>
    <t>EAS253</t>
  </si>
  <si>
    <t>EAS254</t>
  </si>
  <si>
    <t>EAS255</t>
  </si>
  <si>
    <t>EAS256</t>
  </si>
  <si>
    <t>EAS257</t>
  </si>
  <si>
    <t>EAS258</t>
  </si>
  <si>
    <t>EAS259</t>
  </si>
  <si>
    <t>EAS260</t>
  </si>
  <si>
    <t>EAS261</t>
  </si>
  <si>
    <t>EAS262</t>
  </si>
  <si>
    <t>EAS263</t>
  </si>
  <si>
    <t>EAS264</t>
  </si>
  <si>
    <t>EAS265</t>
  </si>
  <si>
    <t>EAS266</t>
  </si>
  <si>
    <t>EAS267</t>
  </si>
  <si>
    <t>EAS268</t>
  </si>
  <si>
    <t>EAS269</t>
  </si>
  <si>
    <t>EAS270</t>
  </si>
  <si>
    <t>EAS271</t>
  </si>
  <si>
    <t>EAS272</t>
  </si>
  <si>
    <t>EAS273</t>
  </si>
  <si>
    <t>EAS274</t>
  </si>
  <si>
    <t>EAS275</t>
  </si>
  <si>
    <t>EAS276</t>
  </si>
  <si>
    <t>EAS277</t>
  </si>
  <si>
    <t>EAS278</t>
  </si>
  <si>
    <t>EAS279</t>
  </si>
  <si>
    <t>EAS280</t>
  </si>
  <si>
    <t>EAS281</t>
  </si>
  <si>
    <t>البنك الفرنسي</t>
  </si>
  <si>
    <t>EAS282</t>
  </si>
  <si>
    <t>EAS283</t>
  </si>
  <si>
    <t>EAS284</t>
  </si>
  <si>
    <t>EAS285</t>
  </si>
  <si>
    <t>EAS286</t>
  </si>
  <si>
    <t>EAS287</t>
  </si>
  <si>
    <t>EAS288</t>
  </si>
  <si>
    <t>EAS289</t>
  </si>
  <si>
    <t>EAS290</t>
  </si>
  <si>
    <t>EAS291</t>
  </si>
  <si>
    <t>EAS292</t>
  </si>
  <si>
    <t>EAS293</t>
  </si>
  <si>
    <t>EAS294</t>
  </si>
  <si>
    <t>EAS295</t>
  </si>
  <si>
    <t>EAS296</t>
  </si>
  <si>
    <t>EAS297</t>
  </si>
  <si>
    <t>EAS298</t>
  </si>
  <si>
    <t>EAS299</t>
  </si>
  <si>
    <t>EAS300</t>
  </si>
  <si>
    <t>EAS301</t>
  </si>
  <si>
    <t>EAS302</t>
  </si>
  <si>
    <t>EAS303</t>
  </si>
  <si>
    <t>EAS304</t>
  </si>
  <si>
    <t>EAS305</t>
  </si>
  <si>
    <t>EAS306</t>
  </si>
  <si>
    <t>EAS307</t>
  </si>
  <si>
    <t>EAS308</t>
  </si>
  <si>
    <t>EAS309</t>
  </si>
  <si>
    <t>EAS310</t>
  </si>
  <si>
    <t>EAS311</t>
  </si>
  <si>
    <t>EAS312</t>
  </si>
  <si>
    <t>EAS313</t>
  </si>
  <si>
    <t>EAS314</t>
  </si>
  <si>
    <t>EAS315</t>
  </si>
  <si>
    <t>EAS316</t>
  </si>
  <si>
    <t>EAS317</t>
  </si>
  <si>
    <t>EAS318</t>
  </si>
  <si>
    <t>EAS319</t>
  </si>
  <si>
    <t>EAS320</t>
  </si>
  <si>
    <t>EAS321</t>
  </si>
  <si>
    <t>EAS322</t>
  </si>
  <si>
    <t>EAS323</t>
  </si>
  <si>
    <t>EAS324</t>
  </si>
  <si>
    <t>EAS325</t>
  </si>
  <si>
    <t>EAS326</t>
  </si>
  <si>
    <t>EAS327</t>
  </si>
  <si>
    <t>EAS328</t>
  </si>
  <si>
    <t>EAS329</t>
  </si>
  <si>
    <t>EAS330</t>
  </si>
  <si>
    <t>EAS331</t>
  </si>
  <si>
    <t>EAS332</t>
  </si>
  <si>
    <t>EAS333</t>
  </si>
  <si>
    <t>EAS334</t>
  </si>
  <si>
    <t>EAS335</t>
  </si>
  <si>
    <t>EAS336</t>
  </si>
  <si>
    <t>EAS337</t>
  </si>
  <si>
    <t>EAS338</t>
  </si>
  <si>
    <t>EAS339</t>
  </si>
  <si>
    <t>EAS340</t>
  </si>
  <si>
    <t>EAS341</t>
  </si>
  <si>
    <t>EAS342</t>
  </si>
  <si>
    <t>EAS343</t>
  </si>
  <si>
    <t>EAS344</t>
  </si>
  <si>
    <t>EAS345</t>
  </si>
  <si>
    <t>EAS346</t>
  </si>
  <si>
    <t>EAS347</t>
  </si>
  <si>
    <t>EAS348</t>
  </si>
  <si>
    <t>EAS349</t>
  </si>
  <si>
    <t>EAS350</t>
  </si>
  <si>
    <t>EAS351</t>
  </si>
  <si>
    <t>EAS352</t>
  </si>
  <si>
    <t>EAS353</t>
  </si>
  <si>
    <t>EAS354</t>
  </si>
  <si>
    <t>EAS355</t>
  </si>
  <si>
    <t>EAS356</t>
  </si>
  <si>
    <t>EAS357</t>
  </si>
  <si>
    <t>EAS358</t>
  </si>
  <si>
    <t>EAS359</t>
  </si>
  <si>
    <t>EAS360</t>
  </si>
  <si>
    <t>EAS361</t>
  </si>
  <si>
    <t>EAS362</t>
  </si>
  <si>
    <t>EAS363</t>
  </si>
  <si>
    <t>EAS364</t>
  </si>
  <si>
    <t>EAS365</t>
  </si>
  <si>
    <t>EAS366</t>
  </si>
  <si>
    <t>EAS367</t>
  </si>
  <si>
    <t>EAS368</t>
  </si>
  <si>
    <t>EAS369</t>
  </si>
  <si>
    <t>EAS370</t>
  </si>
  <si>
    <t>EAS372</t>
  </si>
  <si>
    <t>EAS373</t>
  </si>
  <si>
    <t>EAS374</t>
  </si>
  <si>
    <t>EAS376</t>
  </si>
  <si>
    <t>EAS377</t>
  </si>
  <si>
    <t>EAS378</t>
  </si>
  <si>
    <t>EAS380</t>
  </si>
  <si>
    <t>EAS381</t>
  </si>
  <si>
    <t>EAS382</t>
  </si>
  <si>
    <t>EAS383</t>
  </si>
  <si>
    <t>EAS384</t>
  </si>
  <si>
    <t>EAS385</t>
  </si>
  <si>
    <t>EAS386</t>
  </si>
  <si>
    <t>EAS387</t>
  </si>
  <si>
    <t>EAS388</t>
  </si>
  <si>
    <t>EAS389</t>
  </si>
  <si>
    <t>EAS390</t>
  </si>
  <si>
    <t>EAS391</t>
  </si>
  <si>
    <t>EAS392</t>
  </si>
  <si>
    <t>EAS393</t>
  </si>
  <si>
    <t>EAS394</t>
  </si>
  <si>
    <t>EAS395</t>
  </si>
  <si>
    <t>EAS396</t>
  </si>
  <si>
    <t>EAS397</t>
  </si>
  <si>
    <t>EAS398</t>
  </si>
  <si>
    <t>EAS399</t>
  </si>
  <si>
    <t>EAS400</t>
  </si>
  <si>
    <t>EAS401</t>
  </si>
  <si>
    <t>EAS402</t>
  </si>
  <si>
    <t>EAS403</t>
  </si>
  <si>
    <t>EAS404</t>
  </si>
  <si>
    <t>EAS405</t>
  </si>
  <si>
    <t>EAS406</t>
  </si>
  <si>
    <t>EAS407</t>
  </si>
  <si>
    <t>EAS408</t>
  </si>
  <si>
    <t>EAS409</t>
  </si>
  <si>
    <t>EAS410</t>
  </si>
  <si>
    <t>EAS411</t>
  </si>
  <si>
    <t>EAS412</t>
  </si>
  <si>
    <t>EAS413</t>
  </si>
  <si>
    <t>EAS414</t>
  </si>
  <si>
    <t>EAS415</t>
  </si>
  <si>
    <t>EAS416</t>
  </si>
  <si>
    <t>EAS417</t>
  </si>
  <si>
    <t>EAS418</t>
  </si>
  <si>
    <t>EAS420</t>
  </si>
  <si>
    <t>EAS421</t>
  </si>
  <si>
    <t>EAS422</t>
  </si>
  <si>
    <t>EAS423</t>
  </si>
  <si>
    <t>EAS424</t>
  </si>
  <si>
    <t>EAS425</t>
  </si>
  <si>
    <t>EAS426</t>
  </si>
  <si>
    <t>EAS427</t>
  </si>
  <si>
    <t>EAS428</t>
  </si>
  <si>
    <t>EAS429</t>
  </si>
  <si>
    <t>EAS431</t>
  </si>
  <si>
    <t>EAS432</t>
  </si>
  <si>
    <t>EAS433</t>
  </si>
  <si>
    <t>EAS434</t>
  </si>
  <si>
    <t>EAS435</t>
  </si>
  <si>
    <t>EAS436</t>
  </si>
  <si>
    <t>EAS437</t>
  </si>
  <si>
    <t>EAS438</t>
  </si>
  <si>
    <t>EAS439</t>
  </si>
  <si>
    <t>EAS440</t>
  </si>
  <si>
    <t>EAS441</t>
  </si>
  <si>
    <t>EAS442</t>
  </si>
  <si>
    <t>EAS443</t>
  </si>
  <si>
    <t>EAS444</t>
  </si>
  <si>
    <t>EAS445</t>
  </si>
  <si>
    <t>EAS446</t>
  </si>
  <si>
    <t>EAS447</t>
  </si>
  <si>
    <t>EAS448</t>
  </si>
  <si>
    <t>EAS449</t>
  </si>
  <si>
    <t>EAS451</t>
  </si>
  <si>
    <t>EAS452</t>
  </si>
  <si>
    <t>EAS453</t>
  </si>
  <si>
    <t>EAS454</t>
  </si>
  <si>
    <t>EAS455</t>
  </si>
  <si>
    <t>EAS456</t>
  </si>
  <si>
    <t>EAS458</t>
  </si>
  <si>
    <t>EAS459</t>
  </si>
  <si>
    <t>EAS460</t>
  </si>
  <si>
    <t>EAS461</t>
  </si>
  <si>
    <t>EAS462</t>
  </si>
  <si>
    <t>EAS463</t>
  </si>
  <si>
    <t>EAS464</t>
  </si>
  <si>
    <t>EAS465</t>
  </si>
  <si>
    <t>EAS466</t>
  </si>
  <si>
    <t>لم يتم</t>
  </si>
  <si>
    <t>حسب البنك</t>
  </si>
  <si>
    <t>الفرق</t>
  </si>
  <si>
    <t>Q1</t>
  </si>
  <si>
    <t>مبلغ كاش</t>
  </si>
  <si>
    <t>السطر رقم 456</t>
  </si>
  <si>
    <t>من الربع السابق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</si>
</sst>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-* #,##0.00\ _ر_._س_._‏_-;\-* #,##0.00\ _ر_._س_._‏_-;_-* &quot;-&quot;??\ _ر_._س_._‏_-;_-@_-"/>
    <numFmt numFmtId="167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1"/>
      <color theme="0"/>
      <name val="Sakkal Majalla"/>
    </font>
    <font>
      <b/>
      <sz val="12"/>
      <color indexed="63"/>
      <name val="Sakkal Majalla"/>
    </font>
    <font>
      <b/>
      <sz val="11"/>
      <color rgb="FFFF0000"/>
      <name val="Sakkal Majalla"/>
    </font>
    <font>
      <sz val="12"/>
      <color rgb="FF000000"/>
      <name val="Sakkal Majalla"/>
    </font>
    <font>
      <sz val="12"/>
      <color rgb="FF222222"/>
      <name val="Sakkal Majalla"/>
    </font>
    <font>
      <sz val="12"/>
      <color theme="1"/>
      <name val="Sakkal Majalla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52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 tint="-0.24994659260841701"/>
      </left>
      <right/>
      <top/>
      <bottom/>
      <diagonal/>
    </border>
    <border>
      <left style="thick">
        <color theme="0" tint="-0.24994659260841701"/>
      </left>
      <right/>
      <top style="thick">
        <color theme="0" tint="-0.24994659260841701"/>
      </top>
      <bottom style="thick">
        <color theme="0" tint="-0.24994659260841701"/>
      </bottom>
      <diagonal/>
    </border>
    <border>
      <left/>
      <right/>
      <top style="thick">
        <color theme="0" tint="-0.24994659260841701"/>
      </top>
      <bottom style="thick">
        <color theme="0" tint="-0.24994659260841701"/>
      </bottom>
      <diagonal/>
    </border>
    <border>
      <left/>
      <right style="thick">
        <color theme="0" tint="-0.24994659260841701"/>
      </right>
      <top style="thick">
        <color theme="0" tint="-0.24994659260841701"/>
      </top>
      <bottom style="thick">
        <color theme="0" tint="-0.24994659260841701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1" fontId="5" fillId="3" borderId="1" xfId="0" applyNumberFormat="1" applyFont="1" applyFill="1" applyBorder="1" applyAlignment="1">
      <alignment horizontal="center" vertical="center" wrapText="1" readingOrder="2"/>
    </xf>
    <xf numFmtId="0" fontId="3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distributed" wrapText="1" readingOrder="2"/>
      <protection locked="0"/>
    </xf>
    <xf numFmtId="0" fontId="9" fillId="0" borderId="1" xfId="0" applyFont="1" applyBorder="1" applyAlignment="1" applyProtection="1">
      <alignment horizontal="center" vertical="distributed" wrapText="1"/>
      <protection locked="0"/>
    </xf>
    <xf numFmtId="0" fontId="4" fillId="2" borderId="1" xfId="0" applyFont="1" applyFill="1" applyBorder="1"/>
    <xf numFmtId="0" fontId="10" fillId="0" borderId="1" xfId="0" applyFont="1" applyBorder="1" applyAlignment="1" applyProtection="1">
      <alignment horizontal="center" vertical="distributed"/>
      <protection locked="0"/>
    </xf>
    <xf numFmtId="166" fontId="3" fillId="2" borderId="1" xfId="0" applyNumberFormat="1" applyFont="1" applyFill="1" applyBorder="1" applyAlignment="1">
      <alignment horizontal="center" vertical="distributed"/>
    </xf>
    <xf numFmtId="164" fontId="3" fillId="2" borderId="1" xfId="0" applyNumberFormat="1" applyFont="1" applyFill="1" applyBorder="1" applyAlignment="1">
      <alignment horizontal="center" vertical="distributed"/>
    </xf>
    <xf numFmtId="9" fontId="7" fillId="4" borderId="1" xfId="4" applyFont="1" applyFill="1" applyBorder="1"/>
    <xf numFmtId="166" fontId="3" fillId="4" borderId="1" xfId="0" applyNumberFormat="1" applyFont="1" applyFill="1" applyBorder="1" applyAlignment="1">
      <alignment horizontal="center" vertical="distributed"/>
    </xf>
    <xf numFmtId="165" fontId="6" fillId="4" borderId="1" xfId="2" applyNumberFormat="1" applyFont="1" applyFill="1" applyBorder="1" applyAlignment="1">
      <alignment horizontal="center" vertical="distributed" wrapText="1"/>
    </xf>
    <xf numFmtId="0" fontId="4" fillId="0" borderId="0" xfId="0" applyFont="1" applyAlignment="1">
      <alignment wrapText="1"/>
    </xf>
    <xf numFmtId="14" fontId="3" fillId="2" borderId="1" xfId="0" applyNumberFormat="1" applyFont="1" applyFill="1" applyBorder="1" applyAlignment="1">
      <alignment horizontal="center" vertical="distributed"/>
    </xf>
    <xf numFmtId="0" fontId="8" fillId="4" borderId="1" xfId="0" applyFont="1" applyFill="1" applyBorder="1" applyAlignment="1" applyProtection="1">
      <alignment horizontal="center" vertical="distributed" wrapText="1" readingOrder="2"/>
      <protection locked="0"/>
    </xf>
    <xf numFmtId="0" fontId="9" fillId="4" borderId="1" xfId="0" applyFont="1" applyFill="1" applyBorder="1" applyAlignment="1" applyProtection="1">
      <alignment horizontal="center" vertical="distributed" wrapText="1"/>
      <protection locked="0"/>
    </xf>
    <xf numFmtId="0" fontId="4" fillId="4" borderId="1" xfId="0" applyFont="1" applyFill="1" applyBorder="1"/>
    <xf numFmtId="0" fontId="10" fillId="4" borderId="1" xfId="0" applyFont="1" applyFill="1" applyBorder="1" applyAlignment="1" applyProtection="1">
      <alignment horizontal="center" vertical="distributed"/>
      <protection locked="0"/>
    </xf>
    <xf numFmtId="14" fontId="3" fillId="4" borderId="1" xfId="0" applyNumberFormat="1" applyFont="1" applyFill="1" applyBorder="1" applyAlignment="1">
      <alignment horizontal="center" vertical="distributed"/>
    </xf>
    <xf numFmtId="164" fontId="3" fillId="4" borderId="1" xfId="0" applyNumberFormat="1" applyFont="1" applyFill="1" applyBorder="1" applyAlignment="1">
      <alignment horizontal="center" vertical="distributed"/>
    </xf>
    <xf numFmtId="0" fontId="8" fillId="2" borderId="1" xfId="0" applyFont="1" applyFill="1" applyBorder="1" applyAlignment="1" applyProtection="1">
      <alignment horizontal="center" vertical="distributed" wrapText="1" readingOrder="2"/>
      <protection locked="0"/>
    </xf>
    <xf numFmtId="0" fontId="9" fillId="2" borderId="1" xfId="0" applyFont="1" applyFill="1" applyBorder="1" applyAlignment="1" applyProtection="1">
      <alignment horizontal="center" vertical="distributed" wrapText="1"/>
      <protection locked="0"/>
    </xf>
    <xf numFmtId="0" fontId="10" fillId="2" borderId="1" xfId="0" applyFont="1" applyFill="1" applyBorder="1" applyAlignment="1" applyProtection="1">
      <alignment horizontal="center" vertical="distributed"/>
      <protection locked="0"/>
    </xf>
    <xf numFmtId="1" fontId="5" fillId="3" borderId="0" xfId="0" applyNumberFormat="1" applyFont="1" applyFill="1" applyAlignment="1">
      <alignment horizontal="center" vertical="center" wrapText="1" readingOrder="2"/>
    </xf>
    <xf numFmtId="1" fontId="5" fillId="3" borderId="10" xfId="0" applyNumberFormat="1" applyFont="1" applyFill="1" applyBorder="1" applyAlignment="1">
      <alignment horizontal="center" vertical="center" wrapText="1" readingOrder="2"/>
    </xf>
    <xf numFmtId="1" fontId="5" fillId="3" borderId="12" xfId="0" applyNumberFormat="1" applyFont="1" applyFill="1" applyBorder="1" applyAlignment="1">
      <alignment horizontal="center" vertical="center" wrapText="1" readingOrder="2"/>
    </xf>
    <xf numFmtId="1" fontId="5" fillId="3" borderId="13" xfId="0" applyNumberFormat="1" applyFont="1" applyFill="1" applyBorder="1" applyAlignment="1">
      <alignment horizontal="center" vertical="center" wrapText="1" readingOrder="2"/>
    </xf>
    <xf numFmtId="1" fontId="5" fillId="3" borderId="14" xfId="0" applyNumberFormat="1" applyFont="1" applyFill="1" applyBorder="1" applyAlignment="1">
      <alignment horizontal="center" vertical="center" wrapText="1" readingOrder="2"/>
    </xf>
    <xf numFmtId="0" fontId="4" fillId="4" borderId="12" xfId="0" applyFont="1" applyFill="1" applyBorder="1" applyAlignment="1">
      <alignment horizontal="center" vertical="center"/>
    </xf>
    <xf numFmtId="164" fontId="4" fillId="4" borderId="13" xfId="0" applyNumberFormat="1" applyFont="1" applyFill="1" applyBorder="1" applyAlignment="1">
      <alignment horizontal="center" vertical="center"/>
    </xf>
    <xf numFmtId="164" fontId="4" fillId="4" borderId="14" xfId="0" applyNumberFormat="1" applyFont="1" applyFill="1" applyBorder="1" applyAlignment="1">
      <alignment horizontal="center" vertical="center"/>
    </xf>
    <xf numFmtId="167" fontId="5" fillId="3" borderId="13" xfId="0" applyNumberFormat="1" applyFont="1" applyFill="1" applyBorder="1" applyAlignment="1">
      <alignment horizontal="center" vertical="center" wrapText="1" readingOrder="2"/>
    </xf>
    <xf numFmtId="0" fontId="3" fillId="2" borderId="12" xfId="0" applyFont="1" applyFill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 vertical="distributed" wrapText="1" readingOrder="2"/>
      <protection locked="0"/>
    </xf>
    <xf numFmtId="0" fontId="9" fillId="0" borderId="13" xfId="0" applyFont="1" applyBorder="1" applyAlignment="1" applyProtection="1">
      <alignment horizontal="center" vertical="distributed" wrapText="1"/>
      <protection locked="0"/>
    </xf>
    <xf numFmtId="0" fontId="4" fillId="2" borderId="13" xfId="0" applyFont="1" applyFill="1" applyBorder="1"/>
    <xf numFmtId="0" fontId="10" fillId="0" borderId="13" xfId="0" applyFont="1" applyBorder="1" applyAlignment="1" applyProtection="1">
      <alignment horizontal="center" vertical="distributed"/>
      <protection locked="0"/>
    </xf>
    <xf numFmtId="14" fontId="3" fillId="2" borderId="13" xfId="0" applyNumberFormat="1" applyFont="1" applyFill="1" applyBorder="1" applyAlignment="1">
      <alignment horizontal="center" vertical="distributed"/>
    </xf>
    <xf numFmtId="164" fontId="3" fillId="2" borderId="13" xfId="0" applyNumberFormat="1" applyFont="1" applyFill="1" applyBorder="1" applyAlignment="1">
      <alignment horizontal="center" vertical="distributed"/>
    </xf>
    <xf numFmtId="165" fontId="6" fillId="4" borderId="13" xfId="2" applyNumberFormat="1" applyFont="1" applyFill="1" applyBorder="1" applyAlignment="1">
      <alignment horizontal="center" vertical="distributed" wrapText="1"/>
    </xf>
    <xf numFmtId="0" fontId="3" fillId="4" borderId="13" xfId="0" applyFont="1" applyFill="1" applyBorder="1" applyAlignment="1">
      <alignment horizontal="center" vertical="distributed"/>
    </xf>
    <xf numFmtId="166" fontId="3" fillId="4" borderId="13" xfId="0" applyNumberFormat="1" applyFont="1" applyFill="1" applyBorder="1" applyAlignment="1">
      <alignment horizontal="center" vertical="distributed"/>
    </xf>
    <xf numFmtId="166" fontId="3" fillId="2" borderId="13" xfId="0" applyNumberFormat="1" applyFont="1" applyFill="1" applyBorder="1" applyAlignment="1">
      <alignment horizontal="center" vertical="distributed"/>
    </xf>
    <xf numFmtId="9" fontId="7" fillId="4" borderId="13" xfId="4" applyFont="1" applyFill="1" applyBorder="1"/>
    <xf numFmtId="166" fontId="3" fillId="4" borderId="14" xfId="0" applyNumberFormat="1" applyFont="1" applyFill="1" applyBorder="1" applyAlignment="1">
      <alignment horizontal="center" vertical="distributed"/>
    </xf>
    <xf numFmtId="166" fontId="3" fillId="2" borderId="14" xfId="0" applyNumberFormat="1" applyFont="1" applyFill="1" applyBorder="1" applyAlignment="1">
      <alignment horizontal="center" vertical="distributed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2" borderId="13" xfId="0" applyFont="1" applyFill="1" applyBorder="1" applyAlignment="1">
      <alignment horizontal="center"/>
    </xf>
    <xf numFmtId="43" fontId="4" fillId="0" borderId="0" xfId="0" applyNumberFormat="1" applyFont="1"/>
    <xf numFmtId="4" fontId="4" fillId="0" borderId="0" xfId="0" applyNumberFormat="1" applyFont="1"/>
    <xf numFmtId="164" fontId="4" fillId="0" borderId="0" xfId="5" applyFont="1"/>
    <xf numFmtId="164" fontId="4" fillId="0" borderId="0" xfId="0" applyNumberFormat="1" applyFont="1"/>
    <xf numFmtId="0" fontId="3" fillId="5" borderId="12" xfId="0" applyFont="1" applyFill="1" applyBorder="1" applyAlignment="1">
      <alignment horizontal="center" vertical="center"/>
    </xf>
    <xf numFmtId="0" fontId="8" fillId="5" borderId="13" xfId="0" applyFont="1" applyFill="1" applyBorder="1" applyAlignment="1" applyProtection="1">
      <alignment horizontal="center" vertical="distributed" wrapText="1" readingOrder="2"/>
      <protection locked="0"/>
    </xf>
    <xf numFmtId="0" fontId="9" fillId="5" borderId="13" xfId="0" applyFont="1" applyFill="1" applyBorder="1" applyAlignment="1" applyProtection="1">
      <alignment horizontal="center" vertical="distributed" wrapText="1"/>
      <protection locked="0"/>
    </xf>
    <xf numFmtId="0" fontId="4" fillId="5" borderId="13" xfId="0" applyFont="1" applyFill="1" applyBorder="1"/>
    <xf numFmtId="0" fontId="4" fillId="5" borderId="13" xfId="0" applyFont="1" applyFill="1" applyBorder="1" applyAlignment="1">
      <alignment horizontal="center"/>
    </xf>
    <xf numFmtId="0" fontId="10" fillId="5" borderId="13" xfId="0" applyFont="1" applyFill="1" applyBorder="1" applyAlignment="1" applyProtection="1">
      <alignment horizontal="center" vertical="distributed"/>
      <protection locked="0"/>
    </xf>
    <xf numFmtId="14" fontId="3" fillId="5" borderId="13" xfId="0" applyNumberFormat="1" applyFont="1" applyFill="1" applyBorder="1" applyAlignment="1">
      <alignment horizontal="center" vertical="distributed"/>
    </xf>
    <xf numFmtId="164" fontId="3" fillId="5" borderId="13" xfId="0" applyNumberFormat="1" applyFont="1" applyFill="1" applyBorder="1" applyAlignment="1">
      <alignment horizontal="center" vertical="distributed"/>
    </xf>
    <xf numFmtId="165" fontId="6" fillId="5" borderId="13" xfId="2" applyNumberFormat="1" applyFont="1" applyFill="1" applyBorder="1" applyAlignment="1">
      <alignment horizontal="center" vertical="distributed" wrapText="1"/>
    </xf>
    <xf numFmtId="0" fontId="3" fillId="5" borderId="13" xfId="0" applyFont="1" applyFill="1" applyBorder="1" applyAlignment="1">
      <alignment horizontal="center" vertical="distributed"/>
    </xf>
    <xf numFmtId="166" fontId="3" fillId="5" borderId="13" xfId="0" applyNumberFormat="1" applyFont="1" applyFill="1" applyBorder="1" applyAlignment="1">
      <alignment horizontal="center" vertical="distributed"/>
    </xf>
    <xf numFmtId="9" fontId="7" fillId="5" borderId="13" xfId="4" applyFont="1" applyFill="1" applyBorder="1"/>
    <xf numFmtId="166" fontId="3" fillId="5" borderId="14" xfId="0" applyNumberFormat="1" applyFont="1" applyFill="1" applyBorder="1" applyAlignment="1">
      <alignment horizontal="center" vertical="distributed"/>
    </xf>
    <xf numFmtId="0" fontId="4" fillId="5" borderId="0" xfId="0" applyFont="1" applyFill="1"/>
    <xf numFmtId="43" fontId="4" fillId="5" borderId="0" xfId="0" applyNumberFormat="1" applyFont="1" applyFill="1"/>
    <xf numFmtId="1" fontId="5" fillId="3" borderId="0" xfId="0" applyNumberFormat="1" applyFont="1" applyFill="1" applyAlignment="1">
      <alignment horizontal="center" vertical="center" wrapText="1" readingOrder="2"/>
    </xf>
    <xf numFmtId="1" fontId="5" fillId="3" borderId="12" xfId="0" applyNumberFormat="1" applyFont="1" applyFill="1" applyBorder="1" applyAlignment="1">
      <alignment horizontal="center" vertical="center" wrapText="1" readingOrder="2"/>
    </xf>
    <xf numFmtId="1" fontId="5" fillId="3" borderId="13" xfId="0" applyNumberFormat="1" applyFont="1" applyFill="1" applyBorder="1" applyAlignment="1">
      <alignment horizontal="center" vertical="center" wrapText="1" readingOrder="2"/>
    </xf>
    <xf numFmtId="14" fontId="0" fillId="0" borderId="8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5" fillId="3" borderId="7" xfId="0" applyNumberFormat="1" applyFont="1" applyFill="1" applyBorder="1" applyAlignment="1">
      <alignment horizontal="center" vertical="center" wrapText="1" readingOrder="2"/>
    </xf>
    <xf numFmtId="1" fontId="5" fillId="3" borderId="11" xfId="0" applyNumberFormat="1" applyFont="1" applyFill="1" applyBorder="1" applyAlignment="1">
      <alignment horizontal="center" vertical="center" wrapText="1" readingOrder="2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</cellXfs>
  <cellStyles count="6">
    <cellStyle name="Comma" xfId="5" builtinId="3"/>
    <cellStyle name="Comma 2" xfId="1" xr:uid="{00000000-0005-0000-0000-000000000000}"/>
    <cellStyle name="Comma 4 2" xfId="2" xr:uid="{00000000-0005-0000-0000-000001000000}"/>
    <cellStyle name="Normal 2" xfId="3" xr:uid="{00000000-0005-0000-0000-000003000000}"/>
    <cellStyle name="Percent" xfId="4" builtinId="5"/>
    <cellStyle name="عادي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78"/>
  <sheetViews>
    <sheetView showGridLines="0" rightToLeft="1" tabSelected="1" topLeftCell="N1" zoomScale="85" zoomScaleNormal="85" zoomScaleSheetLayoutView="25" workbookViewId="0">
      <pane ySplit="7" topLeftCell="A458" activePane="bottomLeft" state="frozen"/>
      <selection pane="bottomLeft" activeCell="R3" sqref="R3"/>
    </sheetView>
  </sheetViews>
  <sheetFormatPr defaultRowHeight="14.4" x14ac:dyDescent="0.3"/>
  <cols>
    <col min="1" max="1" width="6.33203125" customWidth="1"/>
    <col min="2" max="2" width="44.33203125" customWidth="1"/>
    <col min="3" max="3" width="18.109375" customWidth="1"/>
    <col min="4" max="4" width="9.5546875" bestFit="1" customWidth="1"/>
    <col min="5" max="5" width="9.5546875" customWidth="1"/>
    <col min="6" max="6" width="16" bestFit="1" customWidth="1"/>
    <col min="7" max="7" width="8.6640625" bestFit="1" customWidth="1"/>
    <col min="8" max="9" width="8.6640625" customWidth="1"/>
    <col min="10" max="10" width="4.88671875" bestFit="1" customWidth="1"/>
    <col min="11" max="11" width="6.88671875" bestFit="1" customWidth="1"/>
    <col min="12" max="12" width="9.109375" bestFit="1" customWidth="1"/>
    <col min="13" max="13" width="14" style="47" bestFit="1" customWidth="1"/>
    <col min="14" max="14" width="22.44140625" customWidth="1"/>
    <col min="15" max="15" width="12.44140625" customWidth="1"/>
    <col min="16" max="16" width="8.5546875" bestFit="1" customWidth="1"/>
    <col min="17" max="17" width="7.44140625" bestFit="1" customWidth="1"/>
    <col min="18" max="18" width="15.109375" bestFit="1" customWidth="1"/>
    <col min="19" max="19" width="20.88671875" customWidth="1"/>
    <col min="20" max="20" width="16.33203125" bestFit="1" customWidth="1"/>
    <col min="21" max="21" width="20.88671875" bestFit="1" customWidth="1"/>
    <col min="22" max="22" width="27.88671875" bestFit="1" customWidth="1"/>
    <col min="23" max="24" width="27.88671875" customWidth="1"/>
    <col min="25" max="25" width="32.44140625" bestFit="1" customWidth="1"/>
    <col min="26" max="26" width="29.6640625" customWidth="1"/>
    <col min="27" max="27" width="13" bestFit="1" customWidth="1"/>
    <col min="28" max="28" width="14.5546875" bestFit="1" customWidth="1"/>
    <col min="29" max="36" width="9.5546875" bestFit="1" customWidth="1"/>
    <col min="37" max="37" width="15.6640625" customWidth="1"/>
    <col min="38" max="38" width="20.5546875" bestFit="1" customWidth="1"/>
    <col min="39" max="39" width="19.5546875" bestFit="1" customWidth="1"/>
    <col min="40" max="40" width="19.6640625" bestFit="1" customWidth="1"/>
    <col min="41" max="41" width="19.6640625" customWidth="1"/>
    <col min="42" max="42" width="25.33203125" bestFit="1" customWidth="1"/>
    <col min="43" max="43" width="25.33203125" customWidth="1"/>
    <col min="44" max="44" width="11.44140625" bestFit="1" customWidth="1"/>
    <col min="45" max="45" width="10.44140625" bestFit="1" customWidth="1"/>
    <col min="47" max="47" width="13" bestFit="1" customWidth="1"/>
    <col min="48" max="48" width="12.109375" bestFit="1" customWidth="1"/>
  </cols>
  <sheetData>
    <row r="1" spans="1:48" ht="17.399999999999999" thickBot="1" x14ac:dyDescent="0.35">
      <c r="A1" s="76" t="s">
        <v>33</v>
      </c>
      <c r="B1" s="69"/>
      <c r="C1" s="69"/>
      <c r="D1" s="69"/>
      <c r="E1" s="69"/>
      <c r="F1" s="69"/>
      <c r="G1" s="69"/>
      <c r="H1" s="24"/>
      <c r="I1" s="24"/>
      <c r="J1" s="72"/>
      <c r="K1" s="73"/>
      <c r="Q1" s="77" t="s">
        <v>24</v>
      </c>
      <c r="R1" s="69"/>
      <c r="S1" s="69"/>
      <c r="T1" s="69"/>
      <c r="U1" s="69"/>
      <c r="V1" s="69"/>
      <c r="W1" s="69"/>
      <c r="X1" s="69"/>
      <c r="Y1" s="69"/>
      <c r="Z1" s="69"/>
    </row>
    <row r="2" spans="1:48" ht="51.6" thickTop="1" thickBot="1" x14ac:dyDescent="0.35">
      <c r="A2" s="76"/>
      <c r="B2" s="69"/>
      <c r="C2" s="69"/>
      <c r="D2" s="69"/>
      <c r="E2" s="69"/>
      <c r="F2" s="69"/>
      <c r="G2" s="69"/>
      <c r="H2" s="24"/>
      <c r="I2" s="24"/>
      <c r="J2" s="74"/>
      <c r="K2" s="75"/>
      <c r="Q2" s="26" t="s">
        <v>25</v>
      </c>
      <c r="R2" s="27" t="s">
        <v>26</v>
      </c>
      <c r="S2" s="27" t="s">
        <v>27</v>
      </c>
      <c r="T2" s="27" t="s">
        <v>18</v>
      </c>
      <c r="U2" s="27" t="s">
        <v>19</v>
      </c>
      <c r="V2" s="27" t="s">
        <v>20</v>
      </c>
      <c r="W2" s="27" t="s">
        <v>30</v>
      </c>
      <c r="X2" s="27" t="s">
        <v>21</v>
      </c>
      <c r="Y2" s="27" t="s">
        <v>22</v>
      </c>
      <c r="Z2" s="28" t="s">
        <v>47</v>
      </c>
    </row>
    <row r="3" spans="1:48" ht="18" thickTop="1" thickBot="1" x14ac:dyDescent="0.35">
      <c r="Q3" s="29">
        <f>COUNTIF(B8:B462,"*")</f>
        <v>455</v>
      </c>
      <c r="R3" s="30">
        <f>V465</f>
        <v>316100316.74000031</v>
      </c>
      <c r="S3" s="30">
        <f>AM465</f>
        <v>311665.94311213127</v>
      </c>
      <c r="T3" s="30">
        <f>MAX(V8:V462)</f>
        <v>936670</v>
      </c>
      <c r="U3" s="30">
        <f>MIN(V8:V462)</f>
        <v>349205</v>
      </c>
      <c r="V3" s="30">
        <f>AVERAGE(V8:V462)</f>
        <v>694725.97085714352</v>
      </c>
      <c r="W3" s="30">
        <f>AVERAGE(AS8:AS462)</f>
        <v>1908.9792951683551</v>
      </c>
      <c r="X3" s="30">
        <f>MEDIAN(V8:V462)</f>
        <v>676599</v>
      </c>
      <c r="Y3" s="30">
        <f>MODE(V8:V462)</f>
        <v>545000</v>
      </c>
      <c r="Z3" s="31">
        <f>AO465</f>
        <v>0</v>
      </c>
    </row>
    <row r="4" spans="1:48" ht="15" thickTop="1" x14ac:dyDescent="0.3"/>
    <row r="5" spans="1:48" s="1" customFormat="1" ht="16.8" x14ac:dyDescent="0.5">
      <c r="A5" s="69" t="s">
        <v>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</row>
    <row r="6" spans="1:48" s="1" customFormat="1" ht="17.399999999999999" thickBot="1" x14ac:dyDescent="0.55000000000000004">
      <c r="M6" s="48"/>
    </row>
    <row r="7" spans="1:48" s="13" customFormat="1" ht="51.6" thickTop="1" thickBot="1" x14ac:dyDescent="0.55000000000000004">
      <c r="A7" s="26" t="s">
        <v>1</v>
      </c>
      <c r="B7" s="27" t="s">
        <v>2</v>
      </c>
      <c r="C7" s="27" t="s">
        <v>52</v>
      </c>
      <c r="D7" s="27" t="s">
        <v>3</v>
      </c>
      <c r="E7" s="27" t="s">
        <v>49</v>
      </c>
      <c r="F7" s="27" t="s">
        <v>4</v>
      </c>
      <c r="G7" s="27" t="s">
        <v>17</v>
      </c>
      <c r="H7" s="27" t="s">
        <v>43</v>
      </c>
      <c r="I7" s="27" t="s">
        <v>44</v>
      </c>
      <c r="J7" s="27" t="s">
        <v>32</v>
      </c>
      <c r="K7" s="27" t="s">
        <v>28</v>
      </c>
      <c r="L7" s="27" t="s">
        <v>31</v>
      </c>
      <c r="M7" s="27" t="s">
        <v>5</v>
      </c>
      <c r="N7" s="27" t="s">
        <v>6</v>
      </c>
      <c r="O7" s="27" t="s">
        <v>50</v>
      </c>
      <c r="P7" s="27" t="s">
        <v>7</v>
      </c>
      <c r="Q7" s="27" t="s">
        <v>8</v>
      </c>
      <c r="R7" s="27" t="s">
        <v>9</v>
      </c>
      <c r="S7" s="27" t="s">
        <v>10</v>
      </c>
      <c r="T7" s="27" t="s">
        <v>11</v>
      </c>
      <c r="U7" s="27" t="s">
        <v>12</v>
      </c>
      <c r="V7" s="27" t="s">
        <v>41</v>
      </c>
      <c r="W7" s="27" t="s">
        <v>45</v>
      </c>
      <c r="X7" s="27" t="s">
        <v>42</v>
      </c>
      <c r="Y7" s="27" t="s">
        <v>39</v>
      </c>
      <c r="Z7" s="27" t="s">
        <v>40</v>
      </c>
      <c r="AA7" s="27" t="s">
        <v>13</v>
      </c>
      <c r="AB7" s="32">
        <v>43100</v>
      </c>
      <c r="AC7" s="32">
        <v>43465</v>
      </c>
      <c r="AD7" s="32">
        <v>43830</v>
      </c>
      <c r="AE7" s="32">
        <v>44196</v>
      </c>
      <c r="AF7" s="32">
        <v>44561</v>
      </c>
      <c r="AG7" s="32">
        <v>44926</v>
      </c>
      <c r="AH7" s="32">
        <v>45291</v>
      </c>
      <c r="AI7" s="32">
        <v>45657</v>
      </c>
      <c r="AJ7" s="32">
        <v>46022</v>
      </c>
      <c r="AK7" s="32">
        <v>46203</v>
      </c>
      <c r="AL7" s="27" t="s">
        <v>53</v>
      </c>
      <c r="AM7" s="27" t="s">
        <v>54</v>
      </c>
      <c r="AN7" s="27" t="s">
        <v>46</v>
      </c>
      <c r="AO7" s="27" t="s">
        <v>47</v>
      </c>
      <c r="AP7" s="27" t="s">
        <v>15</v>
      </c>
      <c r="AQ7" s="27" t="s">
        <v>51</v>
      </c>
      <c r="AR7" s="27" t="s">
        <v>23</v>
      </c>
      <c r="AS7" s="28" t="s">
        <v>29</v>
      </c>
      <c r="AU7" s="13" t="s">
        <v>2366</v>
      </c>
    </row>
    <row r="8" spans="1:48" s="1" customFormat="1" ht="37.200000000000003" thickTop="1" thickBot="1" x14ac:dyDescent="0.55000000000000004">
      <c r="A8" s="33">
        <v>1</v>
      </c>
      <c r="B8" s="34" t="s">
        <v>55</v>
      </c>
      <c r="C8" s="34" t="s">
        <v>965</v>
      </c>
      <c r="D8" s="35" t="s">
        <v>510</v>
      </c>
      <c r="E8" s="35" t="s">
        <v>966</v>
      </c>
      <c r="F8" s="36" t="s">
        <v>967</v>
      </c>
      <c r="G8" s="36" t="s">
        <v>1420</v>
      </c>
      <c r="H8" s="36" t="s">
        <v>1421</v>
      </c>
      <c r="I8" s="36" t="s">
        <v>1421</v>
      </c>
      <c r="J8" s="36" t="s">
        <v>1421</v>
      </c>
      <c r="K8" s="36">
        <v>365.19</v>
      </c>
      <c r="L8" s="36" t="s">
        <v>1422</v>
      </c>
      <c r="M8" s="49">
        <v>4</v>
      </c>
      <c r="N8" s="37" t="s">
        <v>1423</v>
      </c>
      <c r="O8" s="37"/>
      <c r="P8" s="36">
        <v>1</v>
      </c>
      <c r="Q8" s="36" t="s">
        <v>1878</v>
      </c>
      <c r="R8" s="36" t="s">
        <v>1879</v>
      </c>
      <c r="S8" s="36" t="s">
        <v>1880</v>
      </c>
      <c r="T8" s="36" t="s">
        <v>1881</v>
      </c>
      <c r="U8" s="38">
        <v>45474</v>
      </c>
      <c r="V8" s="39">
        <v>769005</v>
      </c>
      <c r="W8" s="39" t="s">
        <v>2363</v>
      </c>
      <c r="X8" s="39" t="s">
        <v>2363</v>
      </c>
      <c r="Y8" s="40">
        <f>V8*5/100</f>
        <v>38450.25</v>
      </c>
      <c r="Z8" s="40">
        <f>V8+Y8</f>
        <v>807455.25</v>
      </c>
      <c r="AA8" s="41" t="str">
        <f t="shared" ref="AA8:AA12" si="0">IF(V8&lt;=500000,"0.0012",IF(AND(V8&gt;500000,V8&lt;=699999),"0.0018",IF(AND(V8&gt;=700000,V8&lt;=999999),"0.0022",IF(AND(V8&gt;=1000000,V8&lt;1500000),"0.0026","0.003"))))</f>
        <v>0.0022</v>
      </c>
      <c r="AB8" s="41">
        <f>+IF($AB$7&gt;U8,$AB$7-U8,0)</f>
        <v>0</v>
      </c>
      <c r="AC8" s="41">
        <f>+IF($AC$7&gt;U8,$AC$7-U8-AB8,0)</f>
        <v>0</v>
      </c>
      <c r="AD8" s="41">
        <f>+IF($AD$7&gt;U8,$AD$7-U8-AB8-AC8,0)</f>
        <v>0</v>
      </c>
      <c r="AE8" s="41">
        <f>+IF($AE$7&gt;U8,$AE$7-U8-AB8-AD8-AC8,0)</f>
        <v>0</v>
      </c>
      <c r="AF8" s="41">
        <f>+IF($AF$7&gt;U8,$AF$7-U8-AB8-AC8-AD8-AE8,0)</f>
        <v>0</v>
      </c>
      <c r="AG8" s="41">
        <f>+IF($AG$7&gt;U8,$AG$7-U8-AB8-AC8-AD8-AE8-AF8,0)</f>
        <v>0</v>
      </c>
      <c r="AH8" s="41">
        <f>+IF($AH$7&gt;U8,$AH$7-U8-AB8-AC8-AD8-AE8-AF8-AG8,0)</f>
        <v>0</v>
      </c>
      <c r="AI8" s="41">
        <f>+IF($AI$7&gt;U8,$AI$7-U8-AB8-AC8-AD8-AE8-AF8-AG8-AH8,0)</f>
        <v>183</v>
      </c>
      <c r="AJ8" s="41">
        <f>+IF($AJ$7&gt;U8,$AJ$7-U8-AB8-AC8-AD8-AE8-AF8-AG8-AH8-AI8,0)</f>
        <v>365</v>
      </c>
      <c r="AK8" s="41">
        <f>+IF($AK$7&gt;U8,$AK$7-U8-AB8-AC8-AD8-AE8-AF8-AG8-AH8-AI8-AJ8,0)</f>
        <v>181</v>
      </c>
      <c r="AL8" s="42">
        <f>IF(AK8&gt;0,+V8*AA8/365,0)</f>
        <v>4.6350986301369863</v>
      </c>
      <c r="AM8" s="42">
        <f>+AL8*AK8</f>
        <v>838.95285205479456</v>
      </c>
      <c r="AN8" s="43">
        <f t="shared" ref="AN8:AN71" si="1">AV8+AU8</f>
        <v>730554.75</v>
      </c>
      <c r="AO8" s="43"/>
      <c r="AP8" s="42">
        <f>Z8-AN8</f>
        <v>76900.5</v>
      </c>
      <c r="AQ8" s="43">
        <v>6</v>
      </c>
      <c r="AR8" s="44">
        <f>AN8/Z8</f>
        <v>0.90476190476190477</v>
      </c>
      <c r="AS8" s="45">
        <f>V8/K8</f>
        <v>2105.7668610860101</v>
      </c>
      <c r="AU8" s="1">
        <v>692104.5</v>
      </c>
      <c r="AV8" s="50">
        <v>38450.25</v>
      </c>
    </row>
    <row r="9" spans="1:48" s="1" customFormat="1" ht="37.200000000000003" thickTop="1" thickBot="1" x14ac:dyDescent="0.55000000000000004">
      <c r="A9" s="33">
        <v>2</v>
      </c>
      <c r="B9" s="34" t="s">
        <v>56</v>
      </c>
      <c r="C9" s="34" t="s">
        <v>965</v>
      </c>
      <c r="D9" s="35" t="s">
        <v>511</v>
      </c>
      <c r="E9" s="35" t="s">
        <v>966</v>
      </c>
      <c r="F9" s="36" t="s">
        <v>968</v>
      </c>
      <c r="G9" s="36" t="s">
        <v>1420</v>
      </c>
      <c r="H9" s="36" t="s">
        <v>1421</v>
      </c>
      <c r="I9" s="36" t="s">
        <v>1421</v>
      </c>
      <c r="J9" s="36" t="s">
        <v>1421</v>
      </c>
      <c r="K9" s="36">
        <v>375</v>
      </c>
      <c r="L9" s="36" t="s">
        <v>1422</v>
      </c>
      <c r="M9" s="49">
        <v>4</v>
      </c>
      <c r="N9" s="37" t="s">
        <v>1424</v>
      </c>
      <c r="O9" s="37"/>
      <c r="P9" s="36">
        <v>1</v>
      </c>
      <c r="Q9" s="36" t="s">
        <v>1878</v>
      </c>
      <c r="R9" s="36" t="s">
        <v>1882</v>
      </c>
      <c r="S9" s="36" t="s">
        <v>1880</v>
      </c>
      <c r="T9" s="36" t="s">
        <v>1883</v>
      </c>
      <c r="U9" s="38">
        <v>45474</v>
      </c>
      <c r="V9" s="39">
        <v>728769.8</v>
      </c>
      <c r="W9" s="39" t="s">
        <v>2363</v>
      </c>
      <c r="X9" s="39" t="s">
        <v>2363</v>
      </c>
      <c r="Y9" s="40">
        <f t="shared" ref="Y9:Y12" si="2">V9*5/100</f>
        <v>36438.49</v>
      </c>
      <c r="Z9" s="40">
        <f t="shared" ref="Z9:Z12" si="3">V9+Y9</f>
        <v>765208.29</v>
      </c>
      <c r="AA9" s="41" t="str">
        <f t="shared" si="0"/>
        <v>0.0022</v>
      </c>
      <c r="AB9" s="41">
        <f>+IF($AB$7&gt;U9,$AB$7-U9,0)</f>
        <v>0</v>
      </c>
      <c r="AC9" s="41">
        <f>+IF($AC$7&gt;U9,$AC$7-U9-AB9,0)</f>
        <v>0</v>
      </c>
      <c r="AD9" s="41">
        <f>+IF($AD$7&gt;U9,$AD$7-U9-AB9-AC9,0)</f>
        <v>0</v>
      </c>
      <c r="AE9" s="41">
        <f>+IF($AE$7&gt;U9,$AE$7-U9-AB9-AD9-AC9,0)</f>
        <v>0</v>
      </c>
      <c r="AF9" s="41">
        <f>+IF($AF$7&gt;U9,$AF$7-U9-AB9-AC9-AD9-AE9,0)</f>
        <v>0</v>
      </c>
      <c r="AG9" s="41">
        <f>+IF($AG$7&gt;U9,$AG$7-U9-AB9-AC9-AD9-AE9-AF9,0)</f>
        <v>0</v>
      </c>
      <c r="AH9" s="41">
        <f>+IF($AH$7&gt;U9,$AH$7-U9-AB9-AC9-AD9-AE9-AF9-AG9,0)</f>
        <v>0</v>
      </c>
      <c r="AI9" s="41">
        <f>+IF($AI$7&gt;U9,$AI$7-U9-AB9-AC9-AD9-AE9-AF9-AG9-AH9,0)</f>
        <v>183</v>
      </c>
      <c r="AJ9" s="41">
        <f>+IF($AJ$7&gt;U9,$AJ$7-U9-AB9-AC9-AD9-AE9-AF9-AG9-AH9-AI9,0)</f>
        <v>365</v>
      </c>
      <c r="AK9" s="41">
        <f t="shared" ref="AK9:AK12" si="4">+IF($AK$7&gt;U9,$AK$7-U9-AB9-AC9-AD9-AE9-AF9-AG9-AH9-AI9-AJ9,0)</f>
        <v>181</v>
      </c>
      <c r="AL9" s="42">
        <f t="shared" ref="AL9:AL12" si="5">IF(AK9&gt;0,+V9*AA9/365,0)</f>
        <v>4.3925850958904116</v>
      </c>
      <c r="AM9" s="42">
        <f t="shared" ref="AM9:AM12" si="6">+AL9*AK9</f>
        <v>795.0579023561645</v>
      </c>
      <c r="AN9" s="43">
        <f t="shared" si="1"/>
        <v>692331.37999999989</v>
      </c>
      <c r="AO9" s="43"/>
      <c r="AP9" s="42">
        <f>Z9-AN9</f>
        <v>72876.910000000149</v>
      </c>
      <c r="AQ9" s="43">
        <v>6</v>
      </c>
      <c r="AR9" s="44">
        <f t="shared" ref="AR9:AR12" si="7">AN9/Z9</f>
        <v>0.90476199624026532</v>
      </c>
      <c r="AS9" s="45">
        <f t="shared" ref="AS9:AS12" si="8">V9/K9</f>
        <v>1943.3861333333334</v>
      </c>
      <c r="AU9" s="1">
        <v>655892.87999999989</v>
      </c>
      <c r="AV9" s="50">
        <v>36438.5</v>
      </c>
    </row>
    <row r="10" spans="1:48" s="1" customFormat="1" ht="37.200000000000003" thickTop="1" thickBot="1" x14ac:dyDescent="0.55000000000000004">
      <c r="A10" s="33">
        <v>3</v>
      </c>
      <c r="B10" s="34" t="s">
        <v>57</v>
      </c>
      <c r="C10" s="34" t="s">
        <v>965</v>
      </c>
      <c r="D10" s="35" t="s">
        <v>512</v>
      </c>
      <c r="E10" s="35" t="s">
        <v>966</v>
      </c>
      <c r="F10" s="36" t="s">
        <v>969</v>
      </c>
      <c r="G10" s="36" t="s">
        <v>1420</v>
      </c>
      <c r="H10" s="36" t="s">
        <v>1421</v>
      </c>
      <c r="I10" s="36" t="s">
        <v>1421</v>
      </c>
      <c r="J10" s="36" t="s">
        <v>1421</v>
      </c>
      <c r="K10" s="36">
        <v>375</v>
      </c>
      <c r="L10" s="36" t="s">
        <v>1422</v>
      </c>
      <c r="M10" s="49">
        <v>4</v>
      </c>
      <c r="N10" s="37" t="s">
        <v>1425</v>
      </c>
      <c r="O10" s="37"/>
      <c r="P10" s="36">
        <v>1</v>
      </c>
      <c r="Q10" s="36" t="s">
        <v>1878</v>
      </c>
      <c r="R10" s="36" t="s">
        <v>1884</v>
      </c>
      <c r="S10" s="36" t="s">
        <v>1880</v>
      </c>
      <c r="T10" s="36" t="s">
        <v>1881</v>
      </c>
      <c r="U10" s="38">
        <v>45474</v>
      </c>
      <c r="V10" s="39">
        <v>722769.8</v>
      </c>
      <c r="W10" s="39" t="s">
        <v>2363</v>
      </c>
      <c r="X10" s="39" t="s">
        <v>2363</v>
      </c>
      <c r="Y10" s="40">
        <f t="shared" si="2"/>
        <v>36138.49</v>
      </c>
      <c r="Z10" s="40">
        <f t="shared" si="3"/>
        <v>758908.29</v>
      </c>
      <c r="AA10" s="41" t="str">
        <f t="shared" si="0"/>
        <v>0.0022</v>
      </c>
      <c r="AB10" s="41">
        <f>+IF($AB$7&gt;U10,$AB$7-U10,0)</f>
        <v>0</v>
      </c>
      <c r="AC10" s="41">
        <f>+IF($AC$7&gt;U10,$AC$7-U10-AB10,0)</f>
        <v>0</v>
      </c>
      <c r="AD10" s="41">
        <f>+IF($AD$7&gt;U10,$AD$7-U10-AB10-AC10,0)</f>
        <v>0</v>
      </c>
      <c r="AE10" s="41">
        <f>+IF($AE$7&gt;U10,$AE$7-U10-AB10-AD10-AC10,0)</f>
        <v>0</v>
      </c>
      <c r="AF10" s="41">
        <f>+IF($AF$7&gt;U10,$AF$7-U10-AB10-AC10-AD10-AE10,0)</f>
        <v>0</v>
      </c>
      <c r="AG10" s="41">
        <f>+IF($AG$7&gt;U10,$AG$7-U10-AB10-AC10-AD10-AE10-AF10,0)</f>
        <v>0</v>
      </c>
      <c r="AH10" s="41">
        <f>+IF($AH$7&gt;U10,$AH$7-U10-AB10-AC10-AD10-AE10-AF10-AG10,0)</f>
        <v>0</v>
      </c>
      <c r="AI10" s="41">
        <f>+IF($AI$7&gt;U10,$AI$7-U10-AB10-AC10-AD10-AE10-AF10-AG10-AH10,0)</f>
        <v>183</v>
      </c>
      <c r="AJ10" s="41">
        <f>+IF($AJ$7&gt;U10,$AJ$7-U10-AB10-AC10-AD10-AE10-AF10-AG10-AH10-AI10,0)</f>
        <v>365</v>
      </c>
      <c r="AK10" s="41">
        <f t="shared" si="4"/>
        <v>181</v>
      </c>
      <c r="AL10" s="42">
        <f t="shared" si="5"/>
        <v>4.3564207123287675</v>
      </c>
      <c r="AM10" s="42">
        <f t="shared" si="6"/>
        <v>788.51214893150689</v>
      </c>
      <c r="AN10" s="43">
        <f t="shared" si="1"/>
        <v>686631.30999999994</v>
      </c>
      <c r="AO10" s="43"/>
      <c r="AP10" s="42">
        <f>Z10-AN10</f>
        <v>72276.980000000098</v>
      </c>
      <c r="AQ10" s="43">
        <v>6</v>
      </c>
      <c r="AR10" s="44">
        <f>AN10/Z10</f>
        <v>0.90476190476190466</v>
      </c>
      <c r="AS10" s="45">
        <f t="shared" si="8"/>
        <v>1927.3861333333334</v>
      </c>
      <c r="AU10" s="1">
        <v>650492.81999999995</v>
      </c>
      <c r="AV10" s="50">
        <v>36138.49</v>
      </c>
    </row>
    <row r="11" spans="1:48" s="1" customFormat="1" ht="37.200000000000003" thickTop="1" thickBot="1" x14ac:dyDescent="0.55000000000000004">
      <c r="A11" s="33">
        <v>4</v>
      </c>
      <c r="B11" s="34" t="s">
        <v>58</v>
      </c>
      <c r="C11" s="34" t="s">
        <v>965</v>
      </c>
      <c r="D11" s="35" t="s">
        <v>513</v>
      </c>
      <c r="E11" s="35" t="s">
        <v>966</v>
      </c>
      <c r="F11" s="36" t="s">
        <v>970</v>
      </c>
      <c r="G11" s="36" t="s">
        <v>1420</v>
      </c>
      <c r="H11" s="36" t="s">
        <v>1421</v>
      </c>
      <c r="I11" s="36" t="s">
        <v>1421</v>
      </c>
      <c r="J11" s="36" t="s">
        <v>1421</v>
      </c>
      <c r="K11" s="36">
        <v>350</v>
      </c>
      <c r="L11" s="36" t="s">
        <v>1422</v>
      </c>
      <c r="M11" s="49">
        <v>4</v>
      </c>
      <c r="N11" s="37" t="s">
        <v>1426</v>
      </c>
      <c r="O11" s="37"/>
      <c r="P11" s="36">
        <v>1</v>
      </c>
      <c r="Q11" s="36" t="s">
        <v>1878</v>
      </c>
      <c r="R11" s="36" t="s">
        <v>1885</v>
      </c>
      <c r="S11" s="36" t="s">
        <v>1880</v>
      </c>
      <c r="T11" s="36" t="s">
        <v>1881</v>
      </c>
      <c r="U11" s="38">
        <v>45474</v>
      </c>
      <c r="V11" s="39">
        <v>716269.8</v>
      </c>
      <c r="W11" s="39" t="s">
        <v>2363</v>
      </c>
      <c r="X11" s="39" t="s">
        <v>2363</v>
      </c>
      <c r="Y11" s="40">
        <f t="shared" si="2"/>
        <v>35813.49</v>
      </c>
      <c r="Z11" s="40">
        <f t="shared" si="3"/>
        <v>752083.29</v>
      </c>
      <c r="AA11" s="41" t="str">
        <f t="shared" si="0"/>
        <v>0.0022</v>
      </c>
      <c r="AB11" s="41">
        <f>+IF($AB$7&gt;U11,$AB$7-U11,0)</f>
        <v>0</v>
      </c>
      <c r="AC11" s="41">
        <f>+IF($AC$7&gt;U11,$AC$7-U11-AB11,0)</f>
        <v>0</v>
      </c>
      <c r="AD11" s="41">
        <f>+IF($AD$7&gt;U11,$AD$7-U11-AB11-AC11,0)</f>
        <v>0</v>
      </c>
      <c r="AE11" s="41">
        <f>+IF($AE$7&gt;U11,$AE$7-U11-AB11-AD11-AC11,0)</f>
        <v>0</v>
      </c>
      <c r="AF11" s="41">
        <f>+IF($AF$7&gt;U11,$AF$7-U11-AB11-AC11-AD11-AE11,0)</f>
        <v>0</v>
      </c>
      <c r="AG11" s="41">
        <f>+IF($AG$7&gt;U11,$AG$7-U11-AB11-AC11-AD11-AE11-AF11,0)</f>
        <v>0</v>
      </c>
      <c r="AH11" s="41">
        <f>+IF($AH$7&gt;U11,$AH$7-U11-AB11-AC11-AD11-AE11-AF11-AG11,0)</f>
        <v>0</v>
      </c>
      <c r="AI11" s="41">
        <f>+IF($AI$7&gt;U11,$AI$7-U11-AB11-AC11-AD11-AE11-AF11-AG11-AH11,0)</f>
        <v>183</v>
      </c>
      <c r="AJ11" s="41">
        <f>+IF($AJ$7&gt;U11,$AJ$7-U11-AB11-AC11-AD11-AE11-AF11-AG11-AH11-AI11,0)</f>
        <v>365</v>
      </c>
      <c r="AK11" s="41">
        <f t="shared" si="4"/>
        <v>181</v>
      </c>
      <c r="AL11" s="42">
        <f t="shared" si="5"/>
        <v>4.3172426301369873</v>
      </c>
      <c r="AM11" s="42">
        <f t="shared" si="6"/>
        <v>781.4209160547947</v>
      </c>
      <c r="AN11" s="43">
        <f t="shared" si="1"/>
        <v>644642.81999999995</v>
      </c>
      <c r="AO11" s="43"/>
      <c r="AP11" s="42">
        <f>Z11-AN11</f>
        <v>107440.47000000009</v>
      </c>
      <c r="AQ11" s="43">
        <v>5</v>
      </c>
      <c r="AR11" s="44">
        <f t="shared" si="7"/>
        <v>0.85714285714285698</v>
      </c>
      <c r="AS11" s="45">
        <f t="shared" si="8"/>
        <v>2046.485142857143</v>
      </c>
      <c r="AU11" s="1">
        <v>644642.81999999995</v>
      </c>
      <c r="AV11" s="50">
        <v>0</v>
      </c>
    </row>
    <row r="12" spans="1:48" s="1" customFormat="1" ht="37.200000000000003" thickTop="1" thickBot="1" x14ac:dyDescent="0.55000000000000004">
      <c r="A12" s="33">
        <v>5</v>
      </c>
      <c r="B12" s="34" t="s">
        <v>59</v>
      </c>
      <c r="C12" s="34" t="s">
        <v>965</v>
      </c>
      <c r="D12" s="35" t="s">
        <v>514</v>
      </c>
      <c r="E12" s="35" t="s">
        <v>966</v>
      </c>
      <c r="F12" s="36" t="s">
        <v>971</v>
      </c>
      <c r="G12" s="36" t="s">
        <v>1420</v>
      </c>
      <c r="H12" s="36" t="s">
        <v>1421</v>
      </c>
      <c r="I12" s="36" t="s">
        <v>1421</v>
      </c>
      <c r="J12" s="36" t="s">
        <v>1421</v>
      </c>
      <c r="K12" s="36">
        <v>350</v>
      </c>
      <c r="L12" s="36" t="s">
        <v>1422</v>
      </c>
      <c r="M12" s="49">
        <v>4</v>
      </c>
      <c r="N12" s="37" t="s">
        <v>1427</v>
      </c>
      <c r="O12" s="37"/>
      <c r="P12" s="36">
        <v>1</v>
      </c>
      <c r="Q12" s="36" t="s">
        <v>1878</v>
      </c>
      <c r="R12" s="36" t="s">
        <v>1886</v>
      </c>
      <c r="S12" s="36" t="s">
        <v>1880</v>
      </c>
      <c r="T12" s="36" t="s">
        <v>1883</v>
      </c>
      <c r="U12" s="38">
        <v>45474</v>
      </c>
      <c r="V12" s="39">
        <v>710269.8</v>
      </c>
      <c r="W12" s="39" t="s">
        <v>2363</v>
      </c>
      <c r="X12" s="39" t="s">
        <v>2363</v>
      </c>
      <c r="Y12" s="40">
        <f t="shared" si="2"/>
        <v>35513.49</v>
      </c>
      <c r="Z12" s="40">
        <f t="shared" si="3"/>
        <v>745783.29</v>
      </c>
      <c r="AA12" s="41" t="str">
        <f t="shared" si="0"/>
        <v>0.0022</v>
      </c>
      <c r="AB12" s="41">
        <f>+IF($AB$7&gt;U12,$AB$7-U12,0)</f>
        <v>0</v>
      </c>
      <c r="AC12" s="41">
        <f>+IF($AC$7&gt;U12,$AC$7-U12-AB12,0)</f>
        <v>0</v>
      </c>
      <c r="AD12" s="41">
        <f>+IF($AD$7&gt;U12,$AD$7-U12-AB12-AC12,0)</f>
        <v>0</v>
      </c>
      <c r="AE12" s="41">
        <f>+IF($AE$7&gt;U12,$AE$7-U12-AB12-AD12-AC12,0)</f>
        <v>0</v>
      </c>
      <c r="AF12" s="41">
        <f>+IF($AF$7&gt;U12,$AF$7-U12-AB12-AC12-AD12-AE12,0)</f>
        <v>0</v>
      </c>
      <c r="AG12" s="41">
        <f>+IF($AG$7&gt;U12,$AG$7-U12-AB12-AC12-AD12-AE12-AF12,0)</f>
        <v>0</v>
      </c>
      <c r="AH12" s="41">
        <f>+IF($AH$7&gt;U12,$AH$7-U12-AB12-AC12-AD12-AE12-AF12-AG12,0)</f>
        <v>0</v>
      </c>
      <c r="AI12" s="41">
        <f>+IF($AI$7&gt;U12,$AI$7-U12-AB12-AC12-AD12-AE12-AF12-AG12-AH12,0)</f>
        <v>183</v>
      </c>
      <c r="AJ12" s="41">
        <f>+IF($AJ$7&gt;U12,$AJ$7-U12-AB12-AC12-AD12-AE12-AF12-AG12-AH12-AI12,0)</f>
        <v>365</v>
      </c>
      <c r="AK12" s="41">
        <f t="shared" si="4"/>
        <v>181</v>
      </c>
      <c r="AL12" s="42">
        <f t="shared" si="5"/>
        <v>4.2810782465753432</v>
      </c>
      <c r="AM12" s="42">
        <f t="shared" si="6"/>
        <v>774.87516263013708</v>
      </c>
      <c r="AN12" s="43">
        <f t="shared" si="1"/>
        <v>674756.37999999989</v>
      </c>
      <c r="AO12" s="43"/>
      <c r="AP12" s="42">
        <f>Z12-AN12</f>
        <v>71026.910000000149</v>
      </c>
      <c r="AQ12" s="43">
        <v>6</v>
      </c>
      <c r="AR12" s="44">
        <f t="shared" si="7"/>
        <v>0.90476199862295104</v>
      </c>
      <c r="AS12" s="45">
        <f t="shared" si="8"/>
        <v>2029.3422857142859</v>
      </c>
      <c r="AU12" s="1">
        <v>639242.87999999989</v>
      </c>
      <c r="AV12" s="50">
        <v>35513.5</v>
      </c>
    </row>
    <row r="13" spans="1:48" s="1" customFormat="1" ht="37.200000000000003" thickTop="1" thickBot="1" x14ac:dyDescent="0.55000000000000004">
      <c r="A13" s="33">
        <v>6</v>
      </c>
      <c r="B13" s="34" t="s">
        <v>60</v>
      </c>
      <c r="C13" s="34" t="s">
        <v>965</v>
      </c>
      <c r="D13" s="35" t="s">
        <v>515</v>
      </c>
      <c r="E13" s="35" t="s">
        <v>966</v>
      </c>
      <c r="F13" s="36" t="s">
        <v>972</v>
      </c>
      <c r="G13" s="36" t="s">
        <v>1420</v>
      </c>
      <c r="H13" s="36" t="s">
        <v>1421</v>
      </c>
      <c r="I13" s="36" t="s">
        <v>1421</v>
      </c>
      <c r="J13" s="36" t="s">
        <v>1421</v>
      </c>
      <c r="K13" s="36">
        <v>350</v>
      </c>
      <c r="L13" s="36" t="s">
        <v>1422</v>
      </c>
      <c r="M13" s="49">
        <v>4</v>
      </c>
      <c r="N13" s="37" t="s">
        <v>1428</v>
      </c>
      <c r="O13" s="37"/>
      <c r="P13" s="36">
        <v>1</v>
      </c>
      <c r="Q13" s="36" t="s">
        <v>1878</v>
      </c>
      <c r="R13" s="36" t="s">
        <v>1887</v>
      </c>
      <c r="S13" s="36" t="s">
        <v>1880</v>
      </c>
      <c r="T13" s="36" t="s">
        <v>1881</v>
      </c>
      <c r="U13" s="38">
        <v>45474</v>
      </c>
      <c r="V13" s="39">
        <v>710269.8</v>
      </c>
      <c r="W13" s="39" t="s">
        <v>2363</v>
      </c>
      <c r="X13" s="39" t="s">
        <v>2363</v>
      </c>
      <c r="Y13" s="40">
        <f t="shared" ref="Y13:Y76" si="9">V13*5/100</f>
        <v>35513.49</v>
      </c>
      <c r="Z13" s="40">
        <f t="shared" ref="Z13:Z76" si="10">V13+Y13</f>
        <v>745783.29</v>
      </c>
      <c r="AA13" s="41" t="str">
        <f t="shared" ref="AA13:AA76" si="11">IF(V13&lt;=500000,"0.0012",IF(AND(V13&gt;500000,V13&lt;=699999),"0.0018",IF(AND(V13&gt;=700000,V13&lt;=999999),"0.0022",IF(AND(V13&gt;=1000000,V13&lt;1500000),"0.0026","0.003"))))</f>
        <v>0.0022</v>
      </c>
      <c r="AB13" s="41">
        <f t="shared" ref="AB13:AB76" si="12">+IF($AB$7&gt;U13,$AB$7-U13,0)</f>
        <v>0</v>
      </c>
      <c r="AC13" s="41">
        <f t="shared" ref="AC13:AC76" si="13">+IF($AC$7&gt;U13,$AC$7-U13-AB13,0)</f>
        <v>0</v>
      </c>
      <c r="AD13" s="41">
        <f t="shared" ref="AD13:AD76" si="14">+IF($AD$7&gt;U13,$AD$7-U13-AB13-AC13,0)</f>
        <v>0</v>
      </c>
      <c r="AE13" s="41">
        <f t="shared" ref="AE13:AE76" si="15">+IF($AE$7&gt;U13,$AE$7-U13-AB13-AD13-AC13,0)</f>
        <v>0</v>
      </c>
      <c r="AF13" s="41">
        <f t="shared" ref="AF13:AF76" si="16">+IF($AF$7&gt;U13,$AF$7-U13-AB13-AC13-AD13-AE13,0)</f>
        <v>0</v>
      </c>
      <c r="AG13" s="41">
        <f t="shared" ref="AG13:AG76" si="17">+IF($AG$7&gt;U13,$AG$7-U13-AB13-AC13-AD13-AE13-AF13,0)</f>
        <v>0</v>
      </c>
      <c r="AH13" s="41">
        <f t="shared" ref="AH13:AH76" si="18">+IF($AH$7&gt;U13,$AH$7-U13-AB13-AC13-AD13-AE13-AF13-AG13,0)</f>
        <v>0</v>
      </c>
      <c r="AI13" s="41">
        <f t="shared" ref="AI13:AI76" si="19">+IF($AI$7&gt;U13,$AI$7-U13-AB13-AC13-AD13-AE13-AF13-AG13-AH13,0)</f>
        <v>183</v>
      </c>
      <c r="AJ13" s="41">
        <f t="shared" ref="AJ13:AJ76" si="20">+IF($AJ$7&gt;U13,$AJ$7-U13-AB13-AC13-AD13-AE13-AF13-AG13-AH13-AI13,0)</f>
        <v>365</v>
      </c>
      <c r="AK13" s="41">
        <f t="shared" ref="AK13:AK76" si="21">+IF($AK$7&gt;U13,$AK$7-U13-AB13-AC13-AD13-AE13-AF13-AG13-AH13-AI13-AJ13,0)</f>
        <v>181</v>
      </c>
      <c r="AL13" s="42">
        <f t="shared" ref="AL13:AL76" si="22">IF(AK13&gt;0,+V13*AA13/365,0)</f>
        <v>4.2810782465753432</v>
      </c>
      <c r="AM13" s="42">
        <f t="shared" ref="AM13:AM76" si="23">+AL13*AK13</f>
        <v>774.87516263013708</v>
      </c>
      <c r="AN13" s="43">
        <f t="shared" si="1"/>
        <v>674756.30999999994</v>
      </c>
      <c r="AO13" s="43"/>
      <c r="AP13" s="42">
        <f t="shared" ref="AP13:AP76" si="24">Z13-AN13</f>
        <v>71026.980000000098</v>
      </c>
      <c r="AQ13" s="43">
        <v>6</v>
      </c>
      <c r="AR13" s="44">
        <f t="shared" ref="AR13:AR76" si="25">AN13/Z13</f>
        <v>0.90476190476190466</v>
      </c>
      <c r="AS13" s="45">
        <f t="shared" ref="AS13:AS76" si="26">V13/K13</f>
        <v>2029.3422857142859</v>
      </c>
      <c r="AU13" s="1">
        <v>639242.81999999995</v>
      </c>
      <c r="AV13" s="50">
        <v>35513.49</v>
      </c>
    </row>
    <row r="14" spans="1:48" s="1" customFormat="1" ht="37.200000000000003" thickTop="1" thickBot="1" x14ac:dyDescent="0.55000000000000004">
      <c r="A14" s="33">
        <v>7</v>
      </c>
      <c r="B14" s="34" t="s">
        <v>61</v>
      </c>
      <c r="C14" s="34" t="s">
        <v>965</v>
      </c>
      <c r="D14" s="35" t="s">
        <v>516</v>
      </c>
      <c r="E14" s="35" t="s">
        <v>966</v>
      </c>
      <c r="F14" s="36" t="s">
        <v>973</v>
      </c>
      <c r="G14" s="36" t="s">
        <v>1420</v>
      </c>
      <c r="H14" s="36" t="s">
        <v>1421</v>
      </c>
      <c r="I14" s="36" t="s">
        <v>1421</v>
      </c>
      <c r="J14" s="36" t="s">
        <v>1421</v>
      </c>
      <c r="K14" s="36">
        <v>350</v>
      </c>
      <c r="L14" s="36" t="s">
        <v>1422</v>
      </c>
      <c r="M14" s="49">
        <v>4</v>
      </c>
      <c r="N14" s="37" t="s">
        <v>1429</v>
      </c>
      <c r="O14" s="37"/>
      <c r="P14" s="36">
        <v>1</v>
      </c>
      <c r="Q14" s="36" t="s">
        <v>1878</v>
      </c>
      <c r="R14" s="36" t="s">
        <v>1888</v>
      </c>
      <c r="S14" s="36" t="s">
        <v>1880</v>
      </c>
      <c r="T14" s="36" t="s">
        <v>1889</v>
      </c>
      <c r="U14" s="38">
        <v>45474</v>
      </c>
      <c r="V14" s="39">
        <v>545000</v>
      </c>
      <c r="W14" s="39" t="s">
        <v>2363</v>
      </c>
      <c r="X14" s="39" t="s">
        <v>2363</v>
      </c>
      <c r="Y14" s="40">
        <f t="shared" si="9"/>
        <v>27250</v>
      </c>
      <c r="Z14" s="40">
        <f t="shared" si="10"/>
        <v>572250</v>
      </c>
      <c r="AA14" s="41" t="str">
        <f t="shared" si="11"/>
        <v>0.0018</v>
      </c>
      <c r="AB14" s="41">
        <f t="shared" si="12"/>
        <v>0</v>
      </c>
      <c r="AC14" s="41">
        <f t="shared" si="13"/>
        <v>0</v>
      </c>
      <c r="AD14" s="41">
        <f t="shared" si="14"/>
        <v>0</v>
      </c>
      <c r="AE14" s="41">
        <f t="shared" si="15"/>
        <v>0</v>
      </c>
      <c r="AF14" s="41">
        <f t="shared" si="16"/>
        <v>0</v>
      </c>
      <c r="AG14" s="41">
        <f t="shared" si="17"/>
        <v>0</v>
      </c>
      <c r="AH14" s="41">
        <f t="shared" si="18"/>
        <v>0</v>
      </c>
      <c r="AI14" s="41">
        <f t="shared" si="19"/>
        <v>183</v>
      </c>
      <c r="AJ14" s="41">
        <f t="shared" si="20"/>
        <v>365</v>
      </c>
      <c r="AK14" s="41">
        <f t="shared" si="21"/>
        <v>181</v>
      </c>
      <c r="AL14" s="42">
        <f t="shared" si="22"/>
        <v>2.6876712328767125</v>
      </c>
      <c r="AM14" s="42">
        <f t="shared" si="23"/>
        <v>486.46849315068494</v>
      </c>
      <c r="AN14" s="43">
        <f t="shared" si="1"/>
        <v>517750</v>
      </c>
      <c r="AO14" s="43"/>
      <c r="AP14" s="42">
        <f t="shared" si="24"/>
        <v>54500</v>
      </c>
      <c r="AQ14" s="43">
        <v>6</v>
      </c>
      <c r="AR14" s="44">
        <f t="shared" si="25"/>
        <v>0.90476190476190477</v>
      </c>
      <c r="AS14" s="45">
        <f t="shared" si="26"/>
        <v>1557.1428571428571</v>
      </c>
      <c r="AU14" s="1">
        <v>490500</v>
      </c>
      <c r="AV14" s="50">
        <v>27250</v>
      </c>
    </row>
    <row r="15" spans="1:48" s="1" customFormat="1" ht="37.200000000000003" thickTop="1" thickBot="1" x14ac:dyDescent="0.55000000000000004">
      <c r="A15" s="33">
        <v>8</v>
      </c>
      <c r="B15" s="34" t="s">
        <v>62</v>
      </c>
      <c r="C15" s="34" t="s">
        <v>965</v>
      </c>
      <c r="D15" s="35" t="s">
        <v>517</v>
      </c>
      <c r="E15" s="35" t="s">
        <v>966</v>
      </c>
      <c r="F15" s="36" t="s">
        <v>974</v>
      </c>
      <c r="G15" s="36" t="s">
        <v>1420</v>
      </c>
      <c r="H15" s="36" t="s">
        <v>1421</v>
      </c>
      <c r="I15" s="36" t="s">
        <v>1421</v>
      </c>
      <c r="J15" s="36" t="s">
        <v>1421</v>
      </c>
      <c r="K15" s="36">
        <v>350</v>
      </c>
      <c r="L15" s="36" t="s">
        <v>1422</v>
      </c>
      <c r="M15" s="49">
        <v>4</v>
      </c>
      <c r="N15" s="37" t="s">
        <v>1430</v>
      </c>
      <c r="O15" s="37"/>
      <c r="P15" s="36">
        <v>1</v>
      </c>
      <c r="Q15" s="36" t="s">
        <v>1878</v>
      </c>
      <c r="R15" s="36" t="s">
        <v>1890</v>
      </c>
      <c r="S15" s="36" t="s">
        <v>1880</v>
      </c>
      <c r="T15" s="36" t="s">
        <v>1883</v>
      </c>
      <c r="U15" s="38">
        <v>45474</v>
      </c>
      <c r="V15" s="39">
        <v>710269.8</v>
      </c>
      <c r="W15" s="39" t="s">
        <v>2363</v>
      </c>
      <c r="X15" s="39" t="s">
        <v>2363</v>
      </c>
      <c r="Y15" s="40">
        <f t="shared" si="9"/>
        <v>35513.49</v>
      </c>
      <c r="Z15" s="40">
        <f t="shared" si="10"/>
        <v>745783.29</v>
      </c>
      <c r="AA15" s="41" t="str">
        <f t="shared" si="11"/>
        <v>0.0022</v>
      </c>
      <c r="AB15" s="41">
        <f t="shared" si="12"/>
        <v>0</v>
      </c>
      <c r="AC15" s="41">
        <f t="shared" si="13"/>
        <v>0</v>
      </c>
      <c r="AD15" s="41">
        <f t="shared" si="14"/>
        <v>0</v>
      </c>
      <c r="AE15" s="41">
        <f t="shared" si="15"/>
        <v>0</v>
      </c>
      <c r="AF15" s="41">
        <f t="shared" si="16"/>
        <v>0</v>
      </c>
      <c r="AG15" s="41">
        <f t="shared" si="17"/>
        <v>0</v>
      </c>
      <c r="AH15" s="41">
        <f t="shared" si="18"/>
        <v>0</v>
      </c>
      <c r="AI15" s="41">
        <f t="shared" si="19"/>
        <v>183</v>
      </c>
      <c r="AJ15" s="41">
        <f t="shared" si="20"/>
        <v>365</v>
      </c>
      <c r="AK15" s="41">
        <f t="shared" si="21"/>
        <v>181</v>
      </c>
      <c r="AL15" s="42">
        <f t="shared" si="22"/>
        <v>4.2810782465753432</v>
      </c>
      <c r="AM15" s="42">
        <f t="shared" si="23"/>
        <v>774.87516263013708</v>
      </c>
      <c r="AN15" s="43">
        <f t="shared" si="1"/>
        <v>674756.37999999989</v>
      </c>
      <c r="AO15" s="43"/>
      <c r="AP15" s="42">
        <f t="shared" si="24"/>
        <v>71026.910000000149</v>
      </c>
      <c r="AQ15" s="43">
        <v>6</v>
      </c>
      <c r="AR15" s="44">
        <f t="shared" si="25"/>
        <v>0.90476199862295104</v>
      </c>
      <c r="AS15" s="45">
        <f t="shared" si="26"/>
        <v>2029.3422857142859</v>
      </c>
      <c r="AU15" s="1">
        <v>639242.87999999989</v>
      </c>
      <c r="AV15" s="50">
        <v>35513.5</v>
      </c>
    </row>
    <row r="16" spans="1:48" s="1" customFormat="1" ht="37.200000000000003" thickTop="1" thickBot="1" x14ac:dyDescent="0.55000000000000004">
      <c r="A16" s="33">
        <v>9</v>
      </c>
      <c r="B16" s="34" t="s">
        <v>63</v>
      </c>
      <c r="C16" s="34" t="s">
        <v>965</v>
      </c>
      <c r="D16" s="35" t="s">
        <v>518</v>
      </c>
      <c r="E16" s="35" t="s">
        <v>966</v>
      </c>
      <c r="F16" s="36" t="s">
        <v>975</v>
      </c>
      <c r="G16" s="36" t="s">
        <v>1420</v>
      </c>
      <c r="H16" s="36" t="s">
        <v>1421</v>
      </c>
      <c r="I16" s="36" t="s">
        <v>1421</v>
      </c>
      <c r="J16" s="36" t="s">
        <v>1421</v>
      </c>
      <c r="K16" s="36">
        <v>350</v>
      </c>
      <c r="L16" s="36" t="s">
        <v>1422</v>
      </c>
      <c r="M16" s="49">
        <v>4</v>
      </c>
      <c r="N16" s="37" t="s">
        <v>1431</v>
      </c>
      <c r="O16" s="37"/>
      <c r="P16" s="36">
        <v>1</v>
      </c>
      <c r="Q16" s="36" t="s">
        <v>1878</v>
      </c>
      <c r="R16" s="36" t="s">
        <v>1891</v>
      </c>
      <c r="S16" s="36" t="s">
        <v>1880</v>
      </c>
      <c r="T16" s="36" t="s">
        <v>1881</v>
      </c>
      <c r="U16" s="38">
        <v>45474</v>
      </c>
      <c r="V16" s="39">
        <v>545000</v>
      </c>
      <c r="W16" s="39" t="s">
        <v>2363</v>
      </c>
      <c r="X16" s="39" t="s">
        <v>2363</v>
      </c>
      <c r="Y16" s="40">
        <f t="shared" si="9"/>
        <v>27250</v>
      </c>
      <c r="Z16" s="40">
        <f t="shared" si="10"/>
        <v>572250</v>
      </c>
      <c r="AA16" s="41" t="str">
        <f t="shared" si="11"/>
        <v>0.0018</v>
      </c>
      <c r="AB16" s="41">
        <f t="shared" si="12"/>
        <v>0</v>
      </c>
      <c r="AC16" s="41">
        <f t="shared" si="13"/>
        <v>0</v>
      </c>
      <c r="AD16" s="41">
        <f t="shared" si="14"/>
        <v>0</v>
      </c>
      <c r="AE16" s="41">
        <f t="shared" si="15"/>
        <v>0</v>
      </c>
      <c r="AF16" s="41">
        <f t="shared" si="16"/>
        <v>0</v>
      </c>
      <c r="AG16" s="41">
        <f t="shared" si="17"/>
        <v>0</v>
      </c>
      <c r="AH16" s="41">
        <f t="shared" si="18"/>
        <v>0</v>
      </c>
      <c r="AI16" s="41">
        <f t="shared" si="19"/>
        <v>183</v>
      </c>
      <c r="AJ16" s="41">
        <f t="shared" si="20"/>
        <v>365</v>
      </c>
      <c r="AK16" s="41">
        <f t="shared" si="21"/>
        <v>181</v>
      </c>
      <c r="AL16" s="42">
        <f t="shared" si="22"/>
        <v>2.6876712328767125</v>
      </c>
      <c r="AM16" s="42">
        <f t="shared" si="23"/>
        <v>486.46849315068494</v>
      </c>
      <c r="AN16" s="43">
        <f t="shared" si="1"/>
        <v>517750</v>
      </c>
      <c r="AO16" s="43"/>
      <c r="AP16" s="42">
        <f t="shared" si="24"/>
        <v>54500</v>
      </c>
      <c r="AQ16" s="43">
        <v>6</v>
      </c>
      <c r="AR16" s="44">
        <f t="shared" si="25"/>
        <v>0.90476190476190477</v>
      </c>
      <c r="AS16" s="45">
        <f t="shared" si="26"/>
        <v>1557.1428571428571</v>
      </c>
      <c r="AU16" s="1">
        <v>490500</v>
      </c>
      <c r="AV16" s="50">
        <v>27250</v>
      </c>
    </row>
    <row r="17" spans="1:48" s="1" customFormat="1" ht="37.200000000000003" thickTop="1" thickBot="1" x14ac:dyDescent="0.55000000000000004">
      <c r="A17" s="33">
        <v>10</v>
      </c>
      <c r="B17" s="34" t="s">
        <v>64</v>
      </c>
      <c r="C17" s="34" t="s">
        <v>965</v>
      </c>
      <c r="D17" s="35" t="s">
        <v>519</v>
      </c>
      <c r="E17" s="35" t="s">
        <v>966</v>
      </c>
      <c r="F17" s="36" t="s">
        <v>976</v>
      </c>
      <c r="G17" s="36" t="s">
        <v>1420</v>
      </c>
      <c r="H17" s="36" t="s">
        <v>1421</v>
      </c>
      <c r="I17" s="36" t="s">
        <v>1421</v>
      </c>
      <c r="J17" s="36" t="s">
        <v>1421</v>
      </c>
      <c r="K17" s="36">
        <v>350</v>
      </c>
      <c r="L17" s="36" t="s">
        <v>1422</v>
      </c>
      <c r="M17" s="49">
        <v>4</v>
      </c>
      <c r="N17" s="37" t="s">
        <v>1432</v>
      </c>
      <c r="O17" s="37"/>
      <c r="P17" s="36">
        <v>1</v>
      </c>
      <c r="Q17" s="36" t="s">
        <v>1878</v>
      </c>
      <c r="R17" s="36" t="s">
        <v>1892</v>
      </c>
      <c r="S17" s="36" t="s">
        <v>1880</v>
      </c>
      <c r="T17" s="36" t="s">
        <v>1881</v>
      </c>
      <c r="U17" s="38">
        <v>45474</v>
      </c>
      <c r="V17" s="39">
        <v>710269.8</v>
      </c>
      <c r="W17" s="39" t="s">
        <v>2363</v>
      </c>
      <c r="X17" s="39" t="s">
        <v>2363</v>
      </c>
      <c r="Y17" s="40">
        <f t="shared" si="9"/>
        <v>35513.49</v>
      </c>
      <c r="Z17" s="40">
        <f t="shared" si="10"/>
        <v>745783.29</v>
      </c>
      <c r="AA17" s="41" t="str">
        <f t="shared" si="11"/>
        <v>0.0022</v>
      </c>
      <c r="AB17" s="41">
        <f t="shared" si="12"/>
        <v>0</v>
      </c>
      <c r="AC17" s="41">
        <f t="shared" si="13"/>
        <v>0</v>
      </c>
      <c r="AD17" s="41">
        <f t="shared" si="14"/>
        <v>0</v>
      </c>
      <c r="AE17" s="41">
        <f t="shared" si="15"/>
        <v>0</v>
      </c>
      <c r="AF17" s="41">
        <f t="shared" si="16"/>
        <v>0</v>
      </c>
      <c r="AG17" s="41">
        <f t="shared" si="17"/>
        <v>0</v>
      </c>
      <c r="AH17" s="41">
        <f t="shared" si="18"/>
        <v>0</v>
      </c>
      <c r="AI17" s="41">
        <f t="shared" si="19"/>
        <v>183</v>
      </c>
      <c r="AJ17" s="41">
        <f t="shared" si="20"/>
        <v>365</v>
      </c>
      <c r="AK17" s="41">
        <f t="shared" si="21"/>
        <v>181</v>
      </c>
      <c r="AL17" s="42">
        <f t="shared" si="22"/>
        <v>4.2810782465753432</v>
      </c>
      <c r="AM17" s="42">
        <f t="shared" si="23"/>
        <v>774.87516263013708</v>
      </c>
      <c r="AN17" s="43">
        <f t="shared" si="1"/>
        <v>674756.30999999994</v>
      </c>
      <c r="AO17" s="43"/>
      <c r="AP17" s="42">
        <f t="shared" si="24"/>
        <v>71026.980000000098</v>
      </c>
      <c r="AQ17" s="43">
        <v>6</v>
      </c>
      <c r="AR17" s="44">
        <f t="shared" si="25"/>
        <v>0.90476190476190466</v>
      </c>
      <c r="AS17" s="45">
        <f t="shared" si="26"/>
        <v>2029.3422857142859</v>
      </c>
      <c r="AU17" s="1">
        <v>639242.81999999995</v>
      </c>
      <c r="AV17" s="50">
        <v>35513.49</v>
      </c>
    </row>
    <row r="18" spans="1:48" s="1" customFormat="1" ht="37.200000000000003" thickTop="1" thickBot="1" x14ac:dyDescent="0.55000000000000004">
      <c r="A18" s="33">
        <v>11</v>
      </c>
      <c r="B18" s="34" t="s">
        <v>65</v>
      </c>
      <c r="C18" s="34" t="s">
        <v>965</v>
      </c>
      <c r="D18" s="35" t="s">
        <v>520</v>
      </c>
      <c r="E18" s="35" t="s">
        <v>966</v>
      </c>
      <c r="F18" s="36" t="s">
        <v>977</v>
      </c>
      <c r="G18" s="36" t="s">
        <v>1420</v>
      </c>
      <c r="H18" s="36" t="s">
        <v>1421</v>
      </c>
      <c r="I18" s="36" t="s">
        <v>1421</v>
      </c>
      <c r="J18" s="36" t="s">
        <v>1421</v>
      </c>
      <c r="K18" s="36">
        <v>350</v>
      </c>
      <c r="L18" s="36" t="s">
        <v>1422</v>
      </c>
      <c r="M18" s="49">
        <v>4</v>
      </c>
      <c r="N18" s="37" t="s">
        <v>1433</v>
      </c>
      <c r="O18" s="37"/>
      <c r="P18" s="36">
        <v>1</v>
      </c>
      <c r="Q18" s="36" t="s">
        <v>1878</v>
      </c>
      <c r="R18" s="36" t="s">
        <v>1893</v>
      </c>
      <c r="S18" s="36" t="s">
        <v>1880</v>
      </c>
      <c r="T18" s="36" t="s">
        <v>1881</v>
      </c>
      <c r="U18" s="38">
        <v>45474</v>
      </c>
      <c r="V18" s="39">
        <v>545000</v>
      </c>
      <c r="W18" s="39" t="s">
        <v>2363</v>
      </c>
      <c r="X18" s="39" t="s">
        <v>2363</v>
      </c>
      <c r="Y18" s="40">
        <f t="shared" si="9"/>
        <v>27250</v>
      </c>
      <c r="Z18" s="40">
        <f t="shared" si="10"/>
        <v>572250</v>
      </c>
      <c r="AA18" s="41" t="str">
        <f t="shared" si="11"/>
        <v>0.0018</v>
      </c>
      <c r="AB18" s="41">
        <f t="shared" si="12"/>
        <v>0</v>
      </c>
      <c r="AC18" s="41">
        <f t="shared" si="13"/>
        <v>0</v>
      </c>
      <c r="AD18" s="41">
        <f t="shared" si="14"/>
        <v>0</v>
      </c>
      <c r="AE18" s="41">
        <f t="shared" si="15"/>
        <v>0</v>
      </c>
      <c r="AF18" s="41">
        <f t="shared" si="16"/>
        <v>0</v>
      </c>
      <c r="AG18" s="41">
        <f t="shared" si="17"/>
        <v>0</v>
      </c>
      <c r="AH18" s="41">
        <f t="shared" si="18"/>
        <v>0</v>
      </c>
      <c r="AI18" s="41">
        <f t="shared" si="19"/>
        <v>183</v>
      </c>
      <c r="AJ18" s="41">
        <f t="shared" si="20"/>
        <v>365</v>
      </c>
      <c r="AK18" s="41">
        <f t="shared" si="21"/>
        <v>181</v>
      </c>
      <c r="AL18" s="42">
        <f t="shared" si="22"/>
        <v>2.6876712328767125</v>
      </c>
      <c r="AM18" s="42">
        <f t="shared" si="23"/>
        <v>486.46849315068494</v>
      </c>
      <c r="AN18" s="43">
        <f t="shared" si="1"/>
        <v>517750</v>
      </c>
      <c r="AO18" s="43"/>
      <c r="AP18" s="42">
        <f t="shared" si="24"/>
        <v>54500</v>
      </c>
      <c r="AQ18" s="43">
        <v>6</v>
      </c>
      <c r="AR18" s="44">
        <f t="shared" si="25"/>
        <v>0.90476190476190477</v>
      </c>
      <c r="AS18" s="45">
        <f t="shared" si="26"/>
        <v>1557.1428571428571</v>
      </c>
      <c r="AU18" s="1">
        <v>490500</v>
      </c>
      <c r="AV18" s="50">
        <v>27250</v>
      </c>
    </row>
    <row r="19" spans="1:48" s="1" customFormat="1" ht="37.200000000000003" thickTop="1" thickBot="1" x14ac:dyDescent="0.55000000000000004">
      <c r="A19" s="33">
        <v>12</v>
      </c>
      <c r="B19" s="34" t="s">
        <v>66</v>
      </c>
      <c r="C19" s="34" t="s">
        <v>965</v>
      </c>
      <c r="D19" s="35" t="s">
        <v>521</v>
      </c>
      <c r="E19" s="35" t="s">
        <v>966</v>
      </c>
      <c r="F19" s="36" t="s">
        <v>978</v>
      </c>
      <c r="G19" s="36" t="s">
        <v>1420</v>
      </c>
      <c r="H19" s="36" t="s">
        <v>1421</v>
      </c>
      <c r="I19" s="36" t="s">
        <v>1421</v>
      </c>
      <c r="J19" s="36" t="s">
        <v>1421</v>
      </c>
      <c r="K19" s="36">
        <v>350</v>
      </c>
      <c r="L19" s="36" t="s">
        <v>1422</v>
      </c>
      <c r="M19" s="49">
        <v>4</v>
      </c>
      <c r="N19" s="37" t="s">
        <v>1434</v>
      </c>
      <c r="O19" s="37"/>
      <c r="P19" s="36">
        <v>1</v>
      </c>
      <c r="Q19" s="36" t="s">
        <v>1878</v>
      </c>
      <c r="R19" s="36" t="s">
        <v>1894</v>
      </c>
      <c r="S19" s="36" t="s">
        <v>1880</v>
      </c>
      <c r="T19" s="36" t="s">
        <v>1881</v>
      </c>
      <c r="U19" s="38">
        <v>45474</v>
      </c>
      <c r="V19" s="39">
        <v>642770</v>
      </c>
      <c r="W19" s="39" t="s">
        <v>2363</v>
      </c>
      <c r="X19" s="39" t="s">
        <v>2363</v>
      </c>
      <c r="Y19" s="40">
        <f t="shared" si="9"/>
        <v>32138.5</v>
      </c>
      <c r="Z19" s="40">
        <f t="shared" si="10"/>
        <v>674908.5</v>
      </c>
      <c r="AA19" s="41" t="str">
        <f t="shared" si="11"/>
        <v>0.0018</v>
      </c>
      <c r="AB19" s="41">
        <f t="shared" si="12"/>
        <v>0</v>
      </c>
      <c r="AC19" s="41">
        <f t="shared" si="13"/>
        <v>0</v>
      </c>
      <c r="AD19" s="41">
        <f t="shared" si="14"/>
        <v>0</v>
      </c>
      <c r="AE19" s="41">
        <f t="shared" si="15"/>
        <v>0</v>
      </c>
      <c r="AF19" s="41">
        <f t="shared" si="16"/>
        <v>0</v>
      </c>
      <c r="AG19" s="41">
        <f t="shared" si="17"/>
        <v>0</v>
      </c>
      <c r="AH19" s="41">
        <f t="shared" si="18"/>
        <v>0</v>
      </c>
      <c r="AI19" s="41">
        <f t="shared" si="19"/>
        <v>183</v>
      </c>
      <c r="AJ19" s="41">
        <f t="shared" si="20"/>
        <v>365</v>
      </c>
      <c r="AK19" s="41">
        <f t="shared" si="21"/>
        <v>181</v>
      </c>
      <c r="AL19" s="42">
        <f t="shared" si="22"/>
        <v>3.1698246575342464</v>
      </c>
      <c r="AM19" s="42">
        <f t="shared" si="23"/>
        <v>573.73826301369854</v>
      </c>
      <c r="AN19" s="43">
        <f t="shared" si="1"/>
        <v>610631.5</v>
      </c>
      <c r="AO19" s="43"/>
      <c r="AP19" s="42">
        <f t="shared" si="24"/>
        <v>64277</v>
      </c>
      <c r="AQ19" s="43">
        <v>6</v>
      </c>
      <c r="AR19" s="44">
        <f t="shared" si="25"/>
        <v>0.90476190476190477</v>
      </c>
      <c r="AS19" s="45">
        <f t="shared" si="26"/>
        <v>1836.4857142857143</v>
      </c>
      <c r="AU19" s="1">
        <v>578493</v>
      </c>
      <c r="AV19" s="50">
        <v>32138.5</v>
      </c>
    </row>
    <row r="20" spans="1:48" s="1" customFormat="1" ht="37.200000000000003" thickTop="1" thickBot="1" x14ac:dyDescent="0.55000000000000004">
      <c r="A20" s="33">
        <v>13</v>
      </c>
      <c r="B20" s="34" t="s">
        <v>67</v>
      </c>
      <c r="C20" s="34" t="s">
        <v>965</v>
      </c>
      <c r="D20" s="35" t="s">
        <v>522</v>
      </c>
      <c r="E20" s="35" t="s">
        <v>966</v>
      </c>
      <c r="F20" s="36" t="s">
        <v>979</v>
      </c>
      <c r="G20" s="36" t="s">
        <v>1420</v>
      </c>
      <c r="H20" s="36" t="s">
        <v>1421</v>
      </c>
      <c r="I20" s="36" t="s">
        <v>1421</v>
      </c>
      <c r="J20" s="36" t="s">
        <v>1421</v>
      </c>
      <c r="K20" s="36">
        <v>350</v>
      </c>
      <c r="L20" s="36" t="s">
        <v>1422</v>
      </c>
      <c r="M20" s="49">
        <v>4</v>
      </c>
      <c r="N20" s="37" t="s">
        <v>1435</v>
      </c>
      <c r="O20" s="37"/>
      <c r="P20" s="36">
        <v>1</v>
      </c>
      <c r="Q20" s="36" t="s">
        <v>1878</v>
      </c>
      <c r="R20" s="36" t="s">
        <v>1895</v>
      </c>
      <c r="S20" s="36" t="s">
        <v>1880</v>
      </c>
      <c r="T20" s="36" t="s">
        <v>1883</v>
      </c>
      <c r="U20" s="38">
        <v>45474</v>
      </c>
      <c r="V20" s="39">
        <v>716269.8</v>
      </c>
      <c r="W20" s="39" t="s">
        <v>2363</v>
      </c>
      <c r="X20" s="39" t="s">
        <v>2363</v>
      </c>
      <c r="Y20" s="40">
        <f t="shared" si="9"/>
        <v>35813.49</v>
      </c>
      <c r="Z20" s="40">
        <f t="shared" si="10"/>
        <v>752083.29</v>
      </c>
      <c r="AA20" s="41" t="str">
        <f t="shared" si="11"/>
        <v>0.0022</v>
      </c>
      <c r="AB20" s="41">
        <f t="shared" si="12"/>
        <v>0</v>
      </c>
      <c r="AC20" s="41">
        <f t="shared" si="13"/>
        <v>0</v>
      </c>
      <c r="AD20" s="41">
        <f t="shared" si="14"/>
        <v>0</v>
      </c>
      <c r="AE20" s="41">
        <f t="shared" si="15"/>
        <v>0</v>
      </c>
      <c r="AF20" s="41">
        <f t="shared" si="16"/>
        <v>0</v>
      </c>
      <c r="AG20" s="41">
        <f t="shared" si="17"/>
        <v>0</v>
      </c>
      <c r="AH20" s="41">
        <f t="shared" si="18"/>
        <v>0</v>
      </c>
      <c r="AI20" s="41">
        <f t="shared" si="19"/>
        <v>183</v>
      </c>
      <c r="AJ20" s="41">
        <f t="shared" si="20"/>
        <v>365</v>
      </c>
      <c r="AK20" s="41">
        <f t="shared" si="21"/>
        <v>181</v>
      </c>
      <c r="AL20" s="42">
        <f t="shared" si="22"/>
        <v>4.3172426301369873</v>
      </c>
      <c r="AM20" s="42">
        <f t="shared" si="23"/>
        <v>781.4209160547947</v>
      </c>
      <c r="AN20" s="43">
        <f t="shared" si="1"/>
        <v>680456.37999999989</v>
      </c>
      <c r="AO20" s="43"/>
      <c r="AP20" s="42">
        <f t="shared" si="24"/>
        <v>71626.910000000149</v>
      </c>
      <c r="AQ20" s="43">
        <v>6</v>
      </c>
      <c r="AR20" s="44">
        <f t="shared" si="25"/>
        <v>0.90476199783670219</v>
      </c>
      <c r="AS20" s="45">
        <f t="shared" si="26"/>
        <v>2046.485142857143</v>
      </c>
      <c r="AU20" s="1">
        <v>644642.87999999989</v>
      </c>
      <c r="AV20" s="50">
        <v>35813.5</v>
      </c>
    </row>
    <row r="21" spans="1:48" s="1" customFormat="1" ht="37.200000000000003" thickTop="1" thickBot="1" x14ac:dyDescent="0.55000000000000004">
      <c r="A21" s="33">
        <v>14</v>
      </c>
      <c r="B21" s="34" t="s">
        <v>68</v>
      </c>
      <c r="C21" s="34" t="s">
        <v>965</v>
      </c>
      <c r="D21" s="35" t="s">
        <v>523</v>
      </c>
      <c r="E21" s="35" t="s">
        <v>966</v>
      </c>
      <c r="F21" s="36" t="s">
        <v>980</v>
      </c>
      <c r="G21" s="36" t="s">
        <v>1420</v>
      </c>
      <c r="H21" s="36" t="s">
        <v>1421</v>
      </c>
      <c r="I21" s="36" t="s">
        <v>1421</v>
      </c>
      <c r="J21" s="36" t="s">
        <v>1421</v>
      </c>
      <c r="K21" s="36">
        <v>343.75</v>
      </c>
      <c r="L21" s="36" t="s">
        <v>1422</v>
      </c>
      <c r="M21" s="49">
        <v>4</v>
      </c>
      <c r="N21" s="37" t="s">
        <v>1436</v>
      </c>
      <c r="O21" s="37"/>
      <c r="P21" s="36">
        <v>1</v>
      </c>
      <c r="Q21" s="36" t="s">
        <v>1878</v>
      </c>
      <c r="R21" s="36" t="s">
        <v>1896</v>
      </c>
      <c r="S21" s="36" t="s">
        <v>1880</v>
      </c>
      <c r="T21" s="36" t="s">
        <v>1881</v>
      </c>
      <c r="U21" s="38">
        <v>45474</v>
      </c>
      <c r="V21" s="39">
        <v>645145</v>
      </c>
      <c r="W21" s="39" t="s">
        <v>2363</v>
      </c>
      <c r="X21" s="39" t="s">
        <v>2363</v>
      </c>
      <c r="Y21" s="40">
        <f t="shared" si="9"/>
        <v>32257.25</v>
      </c>
      <c r="Z21" s="40">
        <f t="shared" si="10"/>
        <v>677402.25</v>
      </c>
      <c r="AA21" s="41" t="str">
        <f t="shared" si="11"/>
        <v>0.0018</v>
      </c>
      <c r="AB21" s="41">
        <f t="shared" si="12"/>
        <v>0</v>
      </c>
      <c r="AC21" s="41">
        <f t="shared" si="13"/>
        <v>0</v>
      </c>
      <c r="AD21" s="41">
        <f t="shared" si="14"/>
        <v>0</v>
      </c>
      <c r="AE21" s="41">
        <f t="shared" si="15"/>
        <v>0</v>
      </c>
      <c r="AF21" s="41">
        <f t="shared" si="16"/>
        <v>0</v>
      </c>
      <c r="AG21" s="41">
        <f t="shared" si="17"/>
        <v>0</v>
      </c>
      <c r="AH21" s="41">
        <f t="shared" si="18"/>
        <v>0</v>
      </c>
      <c r="AI21" s="41">
        <f t="shared" si="19"/>
        <v>183</v>
      </c>
      <c r="AJ21" s="41">
        <f t="shared" si="20"/>
        <v>365</v>
      </c>
      <c r="AK21" s="41">
        <f t="shared" si="21"/>
        <v>181</v>
      </c>
      <c r="AL21" s="42">
        <f t="shared" si="22"/>
        <v>3.1815369863013698</v>
      </c>
      <c r="AM21" s="42">
        <f t="shared" si="23"/>
        <v>575.85819452054795</v>
      </c>
      <c r="AN21" s="43">
        <f t="shared" si="1"/>
        <v>612887.75</v>
      </c>
      <c r="AO21" s="43"/>
      <c r="AP21" s="42">
        <f t="shared" si="24"/>
        <v>64514.5</v>
      </c>
      <c r="AQ21" s="43">
        <v>6</v>
      </c>
      <c r="AR21" s="44">
        <f t="shared" si="25"/>
        <v>0.90476190476190477</v>
      </c>
      <c r="AS21" s="45">
        <f t="shared" si="26"/>
        <v>1876.7854545454545</v>
      </c>
      <c r="AU21" s="1">
        <v>580630.5</v>
      </c>
      <c r="AV21" s="50">
        <v>32257.25</v>
      </c>
    </row>
    <row r="22" spans="1:48" s="1" customFormat="1" ht="37.200000000000003" thickTop="1" thickBot="1" x14ac:dyDescent="0.55000000000000004">
      <c r="A22" s="33">
        <v>15</v>
      </c>
      <c r="B22" s="34" t="s">
        <v>69</v>
      </c>
      <c r="C22" s="34" t="s">
        <v>965</v>
      </c>
      <c r="D22" s="35" t="s">
        <v>524</v>
      </c>
      <c r="E22" s="35" t="s">
        <v>966</v>
      </c>
      <c r="F22" s="36" t="s">
        <v>981</v>
      </c>
      <c r="G22" s="36" t="s">
        <v>1420</v>
      </c>
      <c r="H22" s="36" t="s">
        <v>1421</v>
      </c>
      <c r="I22" s="36" t="s">
        <v>1421</v>
      </c>
      <c r="J22" s="36" t="s">
        <v>1421</v>
      </c>
      <c r="K22" s="36">
        <v>350</v>
      </c>
      <c r="L22" s="36" t="s">
        <v>1422</v>
      </c>
      <c r="M22" s="49">
        <v>4</v>
      </c>
      <c r="N22" s="37" t="s">
        <v>1437</v>
      </c>
      <c r="O22" s="37"/>
      <c r="P22" s="36">
        <v>1</v>
      </c>
      <c r="Q22" s="36" t="s">
        <v>1878</v>
      </c>
      <c r="R22" s="36" t="s">
        <v>1897</v>
      </c>
      <c r="S22" s="36" t="s">
        <v>1880</v>
      </c>
      <c r="T22" s="36" t="s">
        <v>1883</v>
      </c>
      <c r="U22" s="38">
        <v>45474</v>
      </c>
      <c r="V22" s="39">
        <v>716269.8</v>
      </c>
      <c r="W22" s="39" t="s">
        <v>2363</v>
      </c>
      <c r="X22" s="39" t="s">
        <v>2363</v>
      </c>
      <c r="Y22" s="40">
        <f t="shared" si="9"/>
        <v>35813.49</v>
      </c>
      <c r="Z22" s="40">
        <f t="shared" si="10"/>
        <v>752083.29</v>
      </c>
      <c r="AA22" s="41" t="str">
        <f t="shared" si="11"/>
        <v>0.0022</v>
      </c>
      <c r="AB22" s="41">
        <f t="shared" si="12"/>
        <v>0</v>
      </c>
      <c r="AC22" s="41">
        <f t="shared" si="13"/>
        <v>0</v>
      </c>
      <c r="AD22" s="41">
        <f t="shared" si="14"/>
        <v>0</v>
      </c>
      <c r="AE22" s="41">
        <f t="shared" si="15"/>
        <v>0</v>
      </c>
      <c r="AF22" s="41">
        <f t="shared" si="16"/>
        <v>0</v>
      </c>
      <c r="AG22" s="41">
        <f t="shared" si="17"/>
        <v>0</v>
      </c>
      <c r="AH22" s="41">
        <f t="shared" si="18"/>
        <v>0</v>
      </c>
      <c r="AI22" s="41">
        <f t="shared" si="19"/>
        <v>183</v>
      </c>
      <c r="AJ22" s="41">
        <f t="shared" si="20"/>
        <v>365</v>
      </c>
      <c r="AK22" s="41">
        <f t="shared" si="21"/>
        <v>181</v>
      </c>
      <c r="AL22" s="42">
        <f t="shared" si="22"/>
        <v>4.3172426301369873</v>
      </c>
      <c r="AM22" s="42">
        <f t="shared" si="23"/>
        <v>781.4209160547947</v>
      </c>
      <c r="AN22" s="43">
        <f t="shared" si="1"/>
        <v>680456.37999999989</v>
      </c>
      <c r="AO22" s="43"/>
      <c r="AP22" s="42">
        <f t="shared" si="24"/>
        <v>71626.910000000149</v>
      </c>
      <c r="AQ22" s="43">
        <v>6</v>
      </c>
      <c r="AR22" s="44">
        <f t="shared" si="25"/>
        <v>0.90476199783670219</v>
      </c>
      <c r="AS22" s="45">
        <f t="shared" si="26"/>
        <v>2046.485142857143</v>
      </c>
      <c r="AU22" s="1">
        <v>644642.87999999989</v>
      </c>
      <c r="AV22" s="50">
        <v>35813.5</v>
      </c>
    </row>
    <row r="23" spans="1:48" s="1" customFormat="1" ht="37.200000000000003" thickTop="1" thickBot="1" x14ac:dyDescent="0.55000000000000004">
      <c r="A23" s="33">
        <v>16</v>
      </c>
      <c r="B23" s="34" t="s">
        <v>70</v>
      </c>
      <c r="C23" s="34" t="s">
        <v>965</v>
      </c>
      <c r="D23" s="35" t="s">
        <v>525</v>
      </c>
      <c r="E23" s="35" t="s">
        <v>966</v>
      </c>
      <c r="F23" s="36" t="s">
        <v>982</v>
      </c>
      <c r="G23" s="36" t="s">
        <v>1420</v>
      </c>
      <c r="H23" s="36" t="s">
        <v>1421</v>
      </c>
      <c r="I23" s="36" t="s">
        <v>1421</v>
      </c>
      <c r="J23" s="36" t="s">
        <v>1421</v>
      </c>
      <c r="K23" s="36">
        <v>384.83</v>
      </c>
      <c r="L23" s="36" t="s">
        <v>1422</v>
      </c>
      <c r="M23" s="49">
        <v>4</v>
      </c>
      <c r="N23" s="37" t="s">
        <v>1438</v>
      </c>
      <c r="O23" s="37"/>
      <c r="P23" s="36">
        <v>1</v>
      </c>
      <c r="Q23" s="36" t="s">
        <v>1898</v>
      </c>
      <c r="R23" s="36" t="s">
        <v>1899</v>
      </c>
      <c r="S23" s="36" t="s">
        <v>1880</v>
      </c>
      <c r="T23" s="36" t="s">
        <v>1883</v>
      </c>
      <c r="U23" s="38">
        <v>45474</v>
      </c>
      <c r="V23" s="39">
        <v>772825</v>
      </c>
      <c r="W23" s="39" t="s">
        <v>2363</v>
      </c>
      <c r="X23" s="39" t="s">
        <v>2363</v>
      </c>
      <c r="Y23" s="40">
        <f t="shared" si="9"/>
        <v>38641.25</v>
      </c>
      <c r="Z23" s="40">
        <f t="shared" si="10"/>
        <v>811466.25</v>
      </c>
      <c r="AA23" s="41" t="str">
        <f t="shared" si="11"/>
        <v>0.0022</v>
      </c>
      <c r="AB23" s="41">
        <f t="shared" si="12"/>
        <v>0</v>
      </c>
      <c r="AC23" s="41">
        <f t="shared" si="13"/>
        <v>0</v>
      </c>
      <c r="AD23" s="41">
        <f t="shared" si="14"/>
        <v>0</v>
      </c>
      <c r="AE23" s="41">
        <f t="shared" si="15"/>
        <v>0</v>
      </c>
      <c r="AF23" s="41">
        <f t="shared" si="16"/>
        <v>0</v>
      </c>
      <c r="AG23" s="41">
        <f t="shared" si="17"/>
        <v>0</v>
      </c>
      <c r="AH23" s="41">
        <f t="shared" si="18"/>
        <v>0</v>
      </c>
      <c r="AI23" s="41">
        <f t="shared" si="19"/>
        <v>183</v>
      </c>
      <c r="AJ23" s="41">
        <f t="shared" si="20"/>
        <v>365</v>
      </c>
      <c r="AK23" s="41">
        <f t="shared" si="21"/>
        <v>181</v>
      </c>
      <c r="AL23" s="42">
        <f t="shared" si="22"/>
        <v>4.6581232876712333</v>
      </c>
      <c r="AM23" s="42">
        <f t="shared" si="23"/>
        <v>843.12031506849326</v>
      </c>
      <c r="AN23" s="43">
        <f t="shared" si="1"/>
        <v>734183.75</v>
      </c>
      <c r="AO23" s="43"/>
      <c r="AP23" s="42">
        <f t="shared" si="24"/>
        <v>77282.5</v>
      </c>
      <c r="AQ23" s="43">
        <v>6</v>
      </c>
      <c r="AR23" s="44">
        <f t="shared" si="25"/>
        <v>0.90476190476190477</v>
      </c>
      <c r="AS23" s="45">
        <f t="shared" si="26"/>
        <v>2008.2244107787856</v>
      </c>
      <c r="AU23" s="1">
        <v>695542.5</v>
      </c>
      <c r="AV23" s="50">
        <v>38641.25</v>
      </c>
    </row>
    <row r="24" spans="1:48" s="1" customFormat="1" ht="37.200000000000003" thickTop="1" thickBot="1" x14ac:dyDescent="0.55000000000000004">
      <c r="A24" s="33">
        <v>17</v>
      </c>
      <c r="B24" s="34" t="s">
        <v>71</v>
      </c>
      <c r="C24" s="34" t="s">
        <v>965</v>
      </c>
      <c r="D24" s="35" t="s">
        <v>526</v>
      </c>
      <c r="E24" s="35" t="s">
        <v>966</v>
      </c>
      <c r="F24" s="36" t="s">
        <v>983</v>
      </c>
      <c r="G24" s="36" t="s">
        <v>1420</v>
      </c>
      <c r="H24" s="36" t="s">
        <v>1421</v>
      </c>
      <c r="I24" s="36" t="s">
        <v>1421</v>
      </c>
      <c r="J24" s="36" t="s">
        <v>1421</v>
      </c>
      <c r="K24" s="36">
        <v>350</v>
      </c>
      <c r="L24" s="36" t="s">
        <v>1422</v>
      </c>
      <c r="M24" s="49">
        <v>4</v>
      </c>
      <c r="N24" s="37" t="s">
        <v>1439</v>
      </c>
      <c r="O24" s="37"/>
      <c r="P24" s="36">
        <v>1</v>
      </c>
      <c r="Q24" s="36" t="s">
        <v>1898</v>
      </c>
      <c r="R24" s="36" t="s">
        <v>1900</v>
      </c>
      <c r="S24" s="36" t="s">
        <v>1880</v>
      </c>
      <c r="T24" s="36" t="s">
        <v>1901</v>
      </c>
      <c r="U24" s="38">
        <v>45474</v>
      </c>
      <c r="V24" s="39">
        <v>716269.8</v>
      </c>
      <c r="W24" s="39" t="s">
        <v>2363</v>
      </c>
      <c r="X24" s="39" t="s">
        <v>2363</v>
      </c>
      <c r="Y24" s="40">
        <f t="shared" si="9"/>
        <v>35813.49</v>
      </c>
      <c r="Z24" s="40">
        <f t="shared" si="10"/>
        <v>752083.29</v>
      </c>
      <c r="AA24" s="41" t="str">
        <f t="shared" si="11"/>
        <v>0.0022</v>
      </c>
      <c r="AB24" s="41">
        <f t="shared" si="12"/>
        <v>0</v>
      </c>
      <c r="AC24" s="41">
        <f t="shared" si="13"/>
        <v>0</v>
      </c>
      <c r="AD24" s="41">
        <f t="shared" si="14"/>
        <v>0</v>
      </c>
      <c r="AE24" s="41">
        <f t="shared" si="15"/>
        <v>0</v>
      </c>
      <c r="AF24" s="41">
        <f t="shared" si="16"/>
        <v>0</v>
      </c>
      <c r="AG24" s="41">
        <f t="shared" si="17"/>
        <v>0</v>
      </c>
      <c r="AH24" s="41">
        <f t="shared" si="18"/>
        <v>0</v>
      </c>
      <c r="AI24" s="41">
        <f t="shared" si="19"/>
        <v>183</v>
      </c>
      <c r="AJ24" s="41">
        <f t="shared" si="20"/>
        <v>365</v>
      </c>
      <c r="AK24" s="41">
        <f t="shared" si="21"/>
        <v>181</v>
      </c>
      <c r="AL24" s="42">
        <f t="shared" si="22"/>
        <v>4.3172426301369873</v>
      </c>
      <c r="AM24" s="42">
        <f t="shared" si="23"/>
        <v>781.4209160547947</v>
      </c>
      <c r="AN24" s="43">
        <f t="shared" si="1"/>
        <v>680456.37999999989</v>
      </c>
      <c r="AO24" s="43"/>
      <c r="AP24" s="42">
        <f t="shared" si="24"/>
        <v>71626.910000000149</v>
      </c>
      <c r="AQ24" s="43">
        <v>6</v>
      </c>
      <c r="AR24" s="44">
        <f t="shared" si="25"/>
        <v>0.90476199783670219</v>
      </c>
      <c r="AS24" s="45">
        <f t="shared" si="26"/>
        <v>2046.485142857143</v>
      </c>
      <c r="AU24" s="1">
        <v>644642.87999999989</v>
      </c>
      <c r="AV24" s="50">
        <v>35813.5</v>
      </c>
    </row>
    <row r="25" spans="1:48" s="1" customFormat="1" ht="37.200000000000003" thickTop="1" thickBot="1" x14ac:dyDescent="0.55000000000000004">
      <c r="A25" s="33">
        <v>18</v>
      </c>
      <c r="B25" s="34" t="s">
        <v>72</v>
      </c>
      <c r="C25" s="34" t="s">
        <v>965</v>
      </c>
      <c r="D25" s="35" t="s">
        <v>527</v>
      </c>
      <c r="E25" s="35" t="s">
        <v>966</v>
      </c>
      <c r="F25" s="36" t="s">
        <v>984</v>
      </c>
      <c r="G25" s="36" t="s">
        <v>1420</v>
      </c>
      <c r="H25" s="36" t="s">
        <v>1421</v>
      </c>
      <c r="I25" s="36" t="s">
        <v>1421</v>
      </c>
      <c r="J25" s="36" t="s">
        <v>1421</v>
      </c>
      <c r="K25" s="36">
        <v>362.5</v>
      </c>
      <c r="L25" s="36" t="s">
        <v>1422</v>
      </c>
      <c r="M25" s="49">
        <v>4</v>
      </c>
      <c r="N25" s="37" t="s">
        <v>1440</v>
      </c>
      <c r="O25" s="37"/>
      <c r="P25" s="36">
        <v>1</v>
      </c>
      <c r="Q25" s="36" t="s">
        <v>1898</v>
      </c>
      <c r="R25" s="36" t="s">
        <v>1902</v>
      </c>
      <c r="S25" s="36" t="s">
        <v>1880</v>
      </c>
      <c r="T25" s="36" t="s">
        <v>1881</v>
      </c>
      <c r="U25" s="38">
        <v>45474</v>
      </c>
      <c r="V25" s="39">
        <v>716519.8</v>
      </c>
      <c r="W25" s="39" t="s">
        <v>2363</v>
      </c>
      <c r="X25" s="39" t="s">
        <v>2363</v>
      </c>
      <c r="Y25" s="40">
        <f t="shared" si="9"/>
        <v>35825.99</v>
      </c>
      <c r="Z25" s="40">
        <f t="shared" si="10"/>
        <v>752345.79</v>
      </c>
      <c r="AA25" s="41" t="str">
        <f t="shared" si="11"/>
        <v>0.0022</v>
      </c>
      <c r="AB25" s="41">
        <f t="shared" si="12"/>
        <v>0</v>
      </c>
      <c r="AC25" s="41">
        <f t="shared" si="13"/>
        <v>0</v>
      </c>
      <c r="AD25" s="41">
        <f t="shared" si="14"/>
        <v>0</v>
      </c>
      <c r="AE25" s="41">
        <f t="shared" si="15"/>
        <v>0</v>
      </c>
      <c r="AF25" s="41">
        <f t="shared" si="16"/>
        <v>0</v>
      </c>
      <c r="AG25" s="41">
        <f t="shared" si="17"/>
        <v>0</v>
      </c>
      <c r="AH25" s="41">
        <f t="shared" si="18"/>
        <v>0</v>
      </c>
      <c r="AI25" s="41">
        <f t="shared" si="19"/>
        <v>183</v>
      </c>
      <c r="AJ25" s="41">
        <f t="shared" si="20"/>
        <v>365</v>
      </c>
      <c r="AK25" s="41">
        <f t="shared" si="21"/>
        <v>181</v>
      </c>
      <c r="AL25" s="42">
        <f t="shared" si="22"/>
        <v>4.3187494794520553</v>
      </c>
      <c r="AM25" s="42">
        <f t="shared" si="23"/>
        <v>781.69365578082204</v>
      </c>
      <c r="AN25" s="43">
        <f t="shared" si="1"/>
        <v>680693.80999999994</v>
      </c>
      <c r="AO25" s="43"/>
      <c r="AP25" s="42">
        <f t="shared" si="24"/>
        <v>71651.980000000098</v>
      </c>
      <c r="AQ25" s="43">
        <v>6</v>
      </c>
      <c r="AR25" s="44">
        <f t="shared" si="25"/>
        <v>0.90476190476190466</v>
      </c>
      <c r="AS25" s="45">
        <f t="shared" si="26"/>
        <v>1976.6063448275863</v>
      </c>
      <c r="AU25" s="1">
        <v>644867.81999999995</v>
      </c>
      <c r="AV25" s="50">
        <v>35825.99</v>
      </c>
    </row>
    <row r="26" spans="1:48" s="1" customFormat="1" ht="37.200000000000003" thickTop="1" thickBot="1" x14ac:dyDescent="0.55000000000000004">
      <c r="A26" s="33">
        <v>19</v>
      </c>
      <c r="B26" s="34" t="s">
        <v>73</v>
      </c>
      <c r="C26" s="34" t="s">
        <v>965</v>
      </c>
      <c r="D26" s="35" t="s">
        <v>528</v>
      </c>
      <c r="E26" s="35" t="s">
        <v>966</v>
      </c>
      <c r="F26" s="36" t="s">
        <v>985</v>
      </c>
      <c r="G26" s="36" t="s">
        <v>1420</v>
      </c>
      <c r="H26" s="36" t="s">
        <v>1421</v>
      </c>
      <c r="I26" s="36" t="s">
        <v>1421</v>
      </c>
      <c r="J26" s="36" t="s">
        <v>1421</v>
      </c>
      <c r="K26" s="36">
        <v>350</v>
      </c>
      <c r="L26" s="36" t="s">
        <v>1422</v>
      </c>
      <c r="M26" s="49">
        <v>4</v>
      </c>
      <c r="N26" s="37" t="s">
        <v>1441</v>
      </c>
      <c r="O26" s="37"/>
      <c r="P26" s="36">
        <v>1</v>
      </c>
      <c r="Q26" s="36" t="s">
        <v>1898</v>
      </c>
      <c r="R26" s="36" t="s">
        <v>1903</v>
      </c>
      <c r="S26" s="36" t="s">
        <v>1880</v>
      </c>
      <c r="T26" s="36" t="s">
        <v>1881</v>
      </c>
      <c r="U26" s="38">
        <v>45474</v>
      </c>
      <c r="V26" s="39">
        <v>716269.8</v>
      </c>
      <c r="W26" s="39" t="s">
        <v>2363</v>
      </c>
      <c r="X26" s="39" t="s">
        <v>2363</v>
      </c>
      <c r="Y26" s="40">
        <f t="shared" si="9"/>
        <v>35813.49</v>
      </c>
      <c r="Z26" s="40">
        <f t="shared" si="10"/>
        <v>752083.29</v>
      </c>
      <c r="AA26" s="41" t="str">
        <f t="shared" si="11"/>
        <v>0.0022</v>
      </c>
      <c r="AB26" s="41">
        <f t="shared" si="12"/>
        <v>0</v>
      </c>
      <c r="AC26" s="41">
        <f t="shared" si="13"/>
        <v>0</v>
      </c>
      <c r="AD26" s="41">
        <f t="shared" si="14"/>
        <v>0</v>
      </c>
      <c r="AE26" s="41">
        <f t="shared" si="15"/>
        <v>0</v>
      </c>
      <c r="AF26" s="41">
        <f t="shared" si="16"/>
        <v>0</v>
      </c>
      <c r="AG26" s="41">
        <f t="shared" si="17"/>
        <v>0</v>
      </c>
      <c r="AH26" s="41">
        <f t="shared" si="18"/>
        <v>0</v>
      </c>
      <c r="AI26" s="41">
        <f t="shared" si="19"/>
        <v>183</v>
      </c>
      <c r="AJ26" s="41">
        <f t="shared" si="20"/>
        <v>365</v>
      </c>
      <c r="AK26" s="41">
        <f t="shared" si="21"/>
        <v>181</v>
      </c>
      <c r="AL26" s="42">
        <f t="shared" si="22"/>
        <v>4.3172426301369873</v>
      </c>
      <c r="AM26" s="42">
        <f t="shared" si="23"/>
        <v>781.4209160547947</v>
      </c>
      <c r="AN26" s="43">
        <f t="shared" si="1"/>
        <v>680456.30999999994</v>
      </c>
      <c r="AO26" s="43"/>
      <c r="AP26" s="42">
        <f t="shared" si="24"/>
        <v>71626.980000000098</v>
      </c>
      <c r="AQ26" s="43">
        <v>6</v>
      </c>
      <c r="AR26" s="44">
        <f t="shared" si="25"/>
        <v>0.90476190476190466</v>
      </c>
      <c r="AS26" s="45">
        <f t="shared" si="26"/>
        <v>2046.485142857143</v>
      </c>
      <c r="AU26" s="1">
        <v>644642.81999999995</v>
      </c>
      <c r="AV26" s="50">
        <v>35813.49</v>
      </c>
    </row>
    <row r="27" spans="1:48" s="1" customFormat="1" ht="37.200000000000003" thickTop="1" thickBot="1" x14ac:dyDescent="0.55000000000000004">
      <c r="A27" s="33">
        <v>20</v>
      </c>
      <c r="B27" s="34" t="s">
        <v>74</v>
      </c>
      <c r="C27" s="34" t="s">
        <v>965</v>
      </c>
      <c r="D27" s="35" t="s">
        <v>529</v>
      </c>
      <c r="E27" s="35" t="s">
        <v>966</v>
      </c>
      <c r="F27" s="36" t="s">
        <v>986</v>
      </c>
      <c r="G27" s="36" t="s">
        <v>1420</v>
      </c>
      <c r="H27" s="36" t="s">
        <v>1421</v>
      </c>
      <c r="I27" s="36" t="s">
        <v>1421</v>
      </c>
      <c r="J27" s="36" t="s">
        <v>1421</v>
      </c>
      <c r="K27" s="36">
        <v>362.5</v>
      </c>
      <c r="L27" s="36" t="s">
        <v>1422</v>
      </c>
      <c r="M27" s="49">
        <v>4</v>
      </c>
      <c r="N27" s="37" t="s">
        <v>1442</v>
      </c>
      <c r="O27" s="37"/>
      <c r="P27" s="36">
        <v>1</v>
      </c>
      <c r="Q27" s="36" t="s">
        <v>1898</v>
      </c>
      <c r="R27" s="36" t="s">
        <v>1904</v>
      </c>
      <c r="S27" s="36" t="s">
        <v>1880</v>
      </c>
      <c r="T27" s="36" t="s">
        <v>1881</v>
      </c>
      <c r="U27" s="38">
        <v>45474</v>
      </c>
      <c r="V27" s="39">
        <v>716519.8</v>
      </c>
      <c r="W27" s="39" t="s">
        <v>2363</v>
      </c>
      <c r="X27" s="39" t="s">
        <v>2363</v>
      </c>
      <c r="Y27" s="40">
        <f t="shared" si="9"/>
        <v>35825.99</v>
      </c>
      <c r="Z27" s="40">
        <f t="shared" si="10"/>
        <v>752345.79</v>
      </c>
      <c r="AA27" s="41" t="str">
        <f t="shared" si="11"/>
        <v>0.0022</v>
      </c>
      <c r="AB27" s="41">
        <f t="shared" si="12"/>
        <v>0</v>
      </c>
      <c r="AC27" s="41">
        <f t="shared" si="13"/>
        <v>0</v>
      </c>
      <c r="AD27" s="41">
        <f t="shared" si="14"/>
        <v>0</v>
      </c>
      <c r="AE27" s="41">
        <f t="shared" si="15"/>
        <v>0</v>
      </c>
      <c r="AF27" s="41">
        <f t="shared" si="16"/>
        <v>0</v>
      </c>
      <c r="AG27" s="41">
        <f t="shared" si="17"/>
        <v>0</v>
      </c>
      <c r="AH27" s="41">
        <f t="shared" si="18"/>
        <v>0</v>
      </c>
      <c r="AI27" s="41">
        <f t="shared" si="19"/>
        <v>183</v>
      </c>
      <c r="AJ27" s="41">
        <f t="shared" si="20"/>
        <v>365</v>
      </c>
      <c r="AK27" s="41">
        <f t="shared" si="21"/>
        <v>181</v>
      </c>
      <c r="AL27" s="42">
        <f t="shared" si="22"/>
        <v>4.3187494794520553</v>
      </c>
      <c r="AM27" s="42">
        <f t="shared" si="23"/>
        <v>781.69365578082204</v>
      </c>
      <c r="AN27" s="43">
        <f t="shared" si="1"/>
        <v>680693.80999999994</v>
      </c>
      <c r="AO27" s="43"/>
      <c r="AP27" s="42">
        <f t="shared" si="24"/>
        <v>71651.980000000098</v>
      </c>
      <c r="AQ27" s="43">
        <v>6</v>
      </c>
      <c r="AR27" s="44">
        <f t="shared" si="25"/>
        <v>0.90476190476190466</v>
      </c>
      <c r="AS27" s="45">
        <f t="shared" si="26"/>
        <v>1976.6063448275863</v>
      </c>
      <c r="AU27" s="1">
        <v>644867.81999999995</v>
      </c>
      <c r="AV27" s="50">
        <v>35825.99</v>
      </c>
    </row>
    <row r="28" spans="1:48" s="1" customFormat="1" ht="37.200000000000003" thickTop="1" thickBot="1" x14ac:dyDescent="0.55000000000000004">
      <c r="A28" s="33">
        <v>21</v>
      </c>
      <c r="B28" s="34" t="s">
        <v>75</v>
      </c>
      <c r="C28" s="34" t="s">
        <v>965</v>
      </c>
      <c r="D28" s="35" t="s">
        <v>530</v>
      </c>
      <c r="E28" s="35" t="s">
        <v>966</v>
      </c>
      <c r="F28" s="36" t="s">
        <v>987</v>
      </c>
      <c r="G28" s="36" t="s">
        <v>1420</v>
      </c>
      <c r="H28" s="36" t="s">
        <v>1421</v>
      </c>
      <c r="I28" s="36" t="s">
        <v>1421</v>
      </c>
      <c r="J28" s="36" t="s">
        <v>1421</v>
      </c>
      <c r="K28" s="36">
        <v>350</v>
      </c>
      <c r="L28" s="36" t="s">
        <v>1422</v>
      </c>
      <c r="M28" s="49">
        <v>4</v>
      </c>
      <c r="N28" s="37" t="s">
        <v>1443</v>
      </c>
      <c r="O28" s="37"/>
      <c r="P28" s="36">
        <v>1</v>
      </c>
      <c r="Q28" s="36" t="s">
        <v>1898</v>
      </c>
      <c r="R28" s="36" t="s">
        <v>1905</v>
      </c>
      <c r="S28" s="36" t="s">
        <v>1880</v>
      </c>
      <c r="T28" s="36" t="s">
        <v>1883</v>
      </c>
      <c r="U28" s="38">
        <v>45474</v>
      </c>
      <c r="V28" s="39">
        <v>545000</v>
      </c>
      <c r="W28" s="39" t="s">
        <v>2363</v>
      </c>
      <c r="X28" s="39" t="s">
        <v>2363</v>
      </c>
      <c r="Y28" s="40">
        <f t="shared" si="9"/>
        <v>27250</v>
      </c>
      <c r="Z28" s="40">
        <f t="shared" si="10"/>
        <v>572250</v>
      </c>
      <c r="AA28" s="41" t="str">
        <f t="shared" si="11"/>
        <v>0.0018</v>
      </c>
      <c r="AB28" s="41">
        <f t="shared" si="12"/>
        <v>0</v>
      </c>
      <c r="AC28" s="41">
        <f t="shared" si="13"/>
        <v>0</v>
      </c>
      <c r="AD28" s="41">
        <f t="shared" si="14"/>
        <v>0</v>
      </c>
      <c r="AE28" s="41">
        <f t="shared" si="15"/>
        <v>0</v>
      </c>
      <c r="AF28" s="41">
        <f t="shared" si="16"/>
        <v>0</v>
      </c>
      <c r="AG28" s="41">
        <f t="shared" si="17"/>
        <v>0</v>
      </c>
      <c r="AH28" s="41">
        <f t="shared" si="18"/>
        <v>0</v>
      </c>
      <c r="AI28" s="41">
        <f t="shared" si="19"/>
        <v>183</v>
      </c>
      <c r="AJ28" s="41">
        <f t="shared" si="20"/>
        <v>365</v>
      </c>
      <c r="AK28" s="41">
        <f t="shared" si="21"/>
        <v>181</v>
      </c>
      <c r="AL28" s="42">
        <f t="shared" si="22"/>
        <v>2.6876712328767125</v>
      </c>
      <c r="AM28" s="42">
        <f t="shared" si="23"/>
        <v>486.46849315068494</v>
      </c>
      <c r="AN28" s="43">
        <f t="shared" si="1"/>
        <v>517750</v>
      </c>
      <c r="AO28" s="43"/>
      <c r="AP28" s="42">
        <f t="shared" si="24"/>
        <v>54500</v>
      </c>
      <c r="AQ28" s="43">
        <v>6</v>
      </c>
      <c r="AR28" s="44">
        <f t="shared" si="25"/>
        <v>0.90476190476190477</v>
      </c>
      <c r="AS28" s="45">
        <f t="shared" si="26"/>
        <v>1557.1428571428571</v>
      </c>
      <c r="AU28" s="1">
        <v>490500</v>
      </c>
      <c r="AV28" s="50">
        <v>27250</v>
      </c>
    </row>
    <row r="29" spans="1:48" s="1" customFormat="1" ht="37.200000000000003" thickTop="1" thickBot="1" x14ac:dyDescent="0.55000000000000004">
      <c r="A29" s="33">
        <v>22</v>
      </c>
      <c r="B29" s="34" t="s">
        <v>76</v>
      </c>
      <c r="C29" s="34" t="s">
        <v>965</v>
      </c>
      <c r="D29" s="35" t="s">
        <v>531</v>
      </c>
      <c r="E29" s="35" t="s">
        <v>966</v>
      </c>
      <c r="F29" s="36" t="s">
        <v>988</v>
      </c>
      <c r="G29" s="36" t="s">
        <v>1420</v>
      </c>
      <c r="H29" s="36" t="s">
        <v>1421</v>
      </c>
      <c r="I29" s="36" t="s">
        <v>1421</v>
      </c>
      <c r="J29" s="36" t="s">
        <v>1421</v>
      </c>
      <c r="K29" s="36">
        <v>362.5</v>
      </c>
      <c r="L29" s="36" t="s">
        <v>1422</v>
      </c>
      <c r="M29" s="49">
        <v>4</v>
      </c>
      <c r="N29" s="37" t="s">
        <v>1444</v>
      </c>
      <c r="O29" s="37"/>
      <c r="P29" s="36">
        <v>1</v>
      </c>
      <c r="Q29" s="36" t="s">
        <v>1898</v>
      </c>
      <c r="R29" s="36" t="s">
        <v>1906</v>
      </c>
      <c r="S29" s="36" t="s">
        <v>1880</v>
      </c>
      <c r="T29" s="36" t="s">
        <v>1881</v>
      </c>
      <c r="U29" s="38">
        <v>45474</v>
      </c>
      <c r="V29" s="39">
        <v>670724</v>
      </c>
      <c r="W29" s="39" t="s">
        <v>2363</v>
      </c>
      <c r="X29" s="39" t="s">
        <v>2363</v>
      </c>
      <c r="Y29" s="40">
        <f t="shared" si="9"/>
        <v>33536.199999999997</v>
      </c>
      <c r="Z29" s="40">
        <f t="shared" si="10"/>
        <v>704260.2</v>
      </c>
      <c r="AA29" s="41" t="str">
        <f t="shared" si="11"/>
        <v>0.0018</v>
      </c>
      <c r="AB29" s="41">
        <f t="shared" si="12"/>
        <v>0</v>
      </c>
      <c r="AC29" s="41">
        <f t="shared" si="13"/>
        <v>0</v>
      </c>
      <c r="AD29" s="41">
        <f t="shared" si="14"/>
        <v>0</v>
      </c>
      <c r="AE29" s="41">
        <f t="shared" si="15"/>
        <v>0</v>
      </c>
      <c r="AF29" s="41">
        <f t="shared" si="16"/>
        <v>0</v>
      </c>
      <c r="AG29" s="41">
        <f t="shared" si="17"/>
        <v>0</v>
      </c>
      <c r="AH29" s="41">
        <f t="shared" si="18"/>
        <v>0</v>
      </c>
      <c r="AI29" s="41">
        <f t="shared" si="19"/>
        <v>183</v>
      </c>
      <c r="AJ29" s="41">
        <f t="shared" si="20"/>
        <v>365</v>
      </c>
      <c r="AK29" s="41">
        <f t="shared" si="21"/>
        <v>181</v>
      </c>
      <c r="AL29" s="42">
        <f t="shared" si="22"/>
        <v>3.30768</v>
      </c>
      <c r="AM29" s="42">
        <f t="shared" si="23"/>
        <v>598.69007999999997</v>
      </c>
      <c r="AN29" s="43">
        <f t="shared" si="1"/>
        <v>637187.79999999993</v>
      </c>
      <c r="AO29" s="43"/>
      <c r="AP29" s="42">
        <f t="shared" si="24"/>
        <v>67072.400000000023</v>
      </c>
      <c r="AQ29" s="43">
        <v>6</v>
      </c>
      <c r="AR29" s="44">
        <f t="shared" si="25"/>
        <v>0.90476190476190477</v>
      </c>
      <c r="AS29" s="45">
        <f t="shared" si="26"/>
        <v>1850.2731034482758</v>
      </c>
      <c r="AU29" s="1">
        <v>603651.6</v>
      </c>
      <c r="AV29" s="50">
        <v>33536.199999999997</v>
      </c>
    </row>
    <row r="30" spans="1:48" s="1" customFormat="1" ht="37.200000000000003" thickTop="1" thickBot="1" x14ac:dyDescent="0.55000000000000004">
      <c r="A30" s="33">
        <v>23</v>
      </c>
      <c r="B30" s="34" t="s">
        <v>77</v>
      </c>
      <c r="C30" s="34" t="s">
        <v>965</v>
      </c>
      <c r="D30" s="35" t="s">
        <v>532</v>
      </c>
      <c r="E30" s="35" t="s">
        <v>966</v>
      </c>
      <c r="F30" s="36" t="s">
        <v>989</v>
      </c>
      <c r="G30" s="36" t="s">
        <v>1420</v>
      </c>
      <c r="H30" s="36" t="s">
        <v>1421</v>
      </c>
      <c r="I30" s="36" t="s">
        <v>1421</v>
      </c>
      <c r="J30" s="36" t="s">
        <v>1421</v>
      </c>
      <c r="K30" s="36">
        <v>362.5</v>
      </c>
      <c r="L30" s="36" t="s">
        <v>1422</v>
      </c>
      <c r="M30" s="49">
        <v>4</v>
      </c>
      <c r="N30" s="37" t="s">
        <v>1445</v>
      </c>
      <c r="O30" s="37"/>
      <c r="P30" s="36">
        <v>1</v>
      </c>
      <c r="Q30" s="36" t="s">
        <v>1898</v>
      </c>
      <c r="R30" s="36" t="s">
        <v>1907</v>
      </c>
      <c r="S30" s="36" t="s">
        <v>1880</v>
      </c>
      <c r="T30" s="36" t="s">
        <v>1901</v>
      </c>
      <c r="U30" s="38">
        <v>45474</v>
      </c>
      <c r="V30" s="39">
        <v>649020</v>
      </c>
      <c r="W30" s="39" t="s">
        <v>2363</v>
      </c>
      <c r="X30" s="39" t="s">
        <v>2363</v>
      </c>
      <c r="Y30" s="40">
        <f t="shared" si="9"/>
        <v>32451</v>
      </c>
      <c r="Z30" s="40">
        <f t="shared" si="10"/>
        <v>681471</v>
      </c>
      <c r="AA30" s="41" t="str">
        <f t="shared" si="11"/>
        <v>0.0018</v>
      </c>
      <c r="AB30" s="41">
        <f t="shared" si="12"/>
        <v>0</v>
      </c>
      <c r="AC30" s="41">
        <f t="shared" si="13"/>
        <v>0</v>
      </c>
      <c r="AD30" s="41">
        <f t="shared" si="14"/>
        <v>0</v>
      </c>
      <c r="AE30" s="41">
        <f t="shared" si="15"/>
        <v>0</v>
      </c>
      <c r="AF30" s="41">
        <f t="shared" si="16"/>
        <v>0</v>
      </c>
      <c r="AG30" s="41">
        <f t="shared" si="17"/>
        <v>0</v>
      </c>
      <c r="AH30" s="41">
        <f t="shared" si="18"/>
        <v>0</v>
      </c>
      <c r="AI30" s="41">
        <f t="shared" si="19"/>
        <v>183</v>
      </c>
      <c r="AJ30" s="41">
        <f t="shared" si="20"/>
        <v>365</v>
      </c>
      <c r="AK30" s="41">
        <f t="shared" si="21"/>
        <v>181</v>
      </c>
      <c r="AL30" s="42">
        <f t="shared" si="22"/>
        <v>3.2006465753424655</v>
      </c>
      <c r="AM30" s="42">
        <f t="shared" si="23"/>
        <v>579.31703013698632</v>
      </c>
      <c r="AN30" s="43">
        <f t="shared" si="1"/>
        <v>616569</v>
      </c>
      <c r="AO30" s="43"/>
      <c r="AP30" s="42">
        <f t="shared" si="24"/>
        <v>64902</v>
      </c>
      <c r="AQ30" s="43">
        <v>6</v>
      </c>
      <c r="AR30" s="44">
        <f t="shared" si="25"/>
        <v>0.90476190476190477</v>
      </c>
      <c r="AS30" s="45">
        <f t="shared" si="26"/>
        <v>1790.4</v>
      </c>
      <c r="AU30" s="1">
        <v>584118</v>
      </c>
      <c r="AV30" s="50">
        <v>32451</v>
      </c>
    </row>
    <row r="31" spans="1:48" s="1" customFormat="1" ht="37.200000000000003" thickTop="1" thickBot="1" x14ac:dyDescent="0.55000000000000004">
      <c r="A31" s="33">
        <v>24</v>
      </c>
      <c r="B31" s="34" t="s">
        <v>78</v>
      </c>
      <c r="C31" s="34" t="s">
        <v>965</v>
      </c>
      <c r="D31" s="35" t="s">
        <v>533</v>
      </c>
      <c r="E31" s="35" t="s">
        <v>966</v>
      </c>
      <c r="F31" s="36" t="s">
        <v>990</v>
      </c>
      <c r="G31" s="36" t="s">
        <v>1420</v>
      </c>
      <c r="H31" s="36" t="s">
        <v>1421</v>
      </c>
      <c r="I31" s="36" t="s">
        <v>1421</v>
      </c>
      <c r="J31" s="36" t="s">
        <v>1421</v>
      </c>
      <c r="K31" s="36">
        <v>362.5</v>
      </c>
      <c r="L31" s="36" t="s">
        <v>1422</v>
      </c>
      <c r="M31" s="49">
        <v>4</v>
      </c>
      <c r="N31" s="37" t="s">
        <v>1446</v>
      </c>
      <c r="O31" s="37"/>
      <c r="P31" s="36">
        <v>1</v>
      </c>
      <c r="Q31" s="36" t="s">
        <v>1898</v>
      </c>
      <c r="R31" s="36" t="s">
        <v>1908</v>
      </c>
      <c r="S31" s="36" t="s">
        <v>1880</v>
      </c>
      <c r="T31" s="36" t="s">
        <v>1901</v>
      </c>
      <c r="U31" s="38">
        <v>45474</v>
      </c>
      <c r="V31" s="39">
        <v>649020</v>
      </c>
      <c r="W31" s="39" t="s">
        <v>2363</v>
      </c>
      <c r="X31" s="39" t="s">
        <v>2363</v>
      </c>
      <c r="Y31" s="40">
        <f t="shared" si="9"/>
        <v>32451</v>
      </c>
      <c r="Z31" s="40">
        <f t="shared" si="10"/>
        <v>681471</v>
      </c>
      <c r="AA31" s="41" t="str">
        <f t="shared" si="11"/>
        <v>0.0018</v>
      </c>
      <c r="AB31" s="41">
        <f t="shared" si="12"/>
        <v>0</v>
      </c>
      <c r="AC31" s="41">
        <f t="shared" si="13"/>
        <v>0</v>
      </c>
      <c r="AD31" s="41">
        <f t="shared" si="14"/>
        <v>0</v>
      </c>
      <c r="AE31" s="41">
        <f t="shared" si="15"/>
        <v>0</v>
      </c>
      <c r="AF31" s="41">
        <f t="shared" si="16"/>
        <v>0</v>
      </c>
      <c r="AG31" s="41">
        <f t="shared" si="17"/>
        <v>0</v>
      </c>
      <c r="AH31" s="41">
        <f t="shared" si="18"/>
        <v>0</v>
      </c>
      <c r="AI31" s="41">
        <f t="shared" si="19"/>
        <v>183</v>
      </c>
      <c r="AJ31" s="41">
        <f t="shared" si="20"/>
        <v>365</v>
      </c>
      <c r="AK31" s="41">
        <f t="shared" si="21"/>
        <v>181</v>
      </c>
      <c r="AL31" s="42">
        <f t="shared" si="22"/>
        <v>3.2006465753424655</v>
      </c>
      <c r="AM31" s="42">
        <f t="shared" si="23"/>
        <v>579.31703013698632</v>
      </c>
      <c r="AN31" s="43">
        <f t="shared" si="1"/>
        <v>616569</v>
      </c>
      <c r="AO31" s="43"/>
      <c r="AP31" s="42">
        <f t="shared" si="24"/>
        <v>64902</v>
      </c>
      <c r="AQ31" s="43">
        <v>6</v>
      </c>
      <c r="AR31" s="44">
        <f t="shared" si="25"/>
        <v>0.90476190476190477</v>
      </c>
      <c r="AS31" s="45">
        <f t="shared" si="26"/>
        <v>1790.4</v>
      </c>
      <c r="AU31" s="1">
        <v>584118</v>
      </c>
      <c r="AV31" s="50">
        <v>32451</v>
      </c>
    </row>
    <row r="32" spans="1:48" s="1" customFormat="1" ht="37.200000000000003" thickTop="1" thickBot="1" x14ac:dyDescent="0.55000000000000004">
      <c r="A32" s="33">
        <v>25</v>
      </c>
      <c r="B32" s="34" t="s">
        <v>79</v>
      </c>
      <c r="C32" s="34" t="s">
        <v>965</v>
      </c>
      <c r="D32" s="35" t="s">
        <v>534</v>
      </c>
      <c r="E32" s="35" t="s">
        <v>966</v>
      </c>
      <c r="F32" s="36" t="s">
        <v>991</v>
      </c>
      <c r="G32" s="36" t="s">
        <v>1420</v>
      </c>
      <c r="H32" s="36" t="s">
        <v>1421</v>
      </c>
      <c r="I32" s="36" t="s">
        <v>1421</v>
      </c>
      <c r="J32" s="36" t="s">
        <v>1421</v>
      </c>
      <c r="K32" s="36">
        <v>350</v>
      </c>
      <c r="L32" s="36" t="s">
        <v>1422</v>
      </c>
      <c r="M32" s="49">
        <v>4</v>
      </c>
      <c r="N32" s="37" t="s">
        <v>1447</v>
      </c>
      <c r="O32" s="37"/>
      <c r="P32" s="36">
        <v>1</v>
      </c>
      <c r="Q32" s="36" t="s">
        <v>1898</v>
      </c>
      <c r="R32" s="36" t="s">
        <v>1909</v>
      </c>
      <c r="S32" s="36" t="s">
        <v>1880</v>
      </c>
      <c r="T32" s="36" t="s">
        <v>1883</v>
      </c>
      <c r="U32" s="38">
        <v>45474</v>
      </c>
      <c r="V32" s="39">
        <v>545000</v>
      </c>
      <c r="W32" s="39" t="s">
        <v>2363</v>
      </c>
      <c r="X32" s="39" t="s">
        <v>2363</v>
      </c>
      <c r="Y32" s="40">
        <f t="shared" si="9"/>
        <v>27250</v>
      </c>
      <c r="Z32" s="40">
        <f t="shared" si="10"/>
        <v>572250</v>
      </c>
      <c r="AA32" s="41" t="str">
        <f t="shared" si="11"/>
        <v>0.0018</v>
      </c>
      <c r="AB32" s="41">
        <f t="shared" si="12"/>
        <v>0</v>
      </c>
      <c r="AC32" s="41">
        <f t="shared" si="13"/>
        <v>0</v>
      </c>
      <c r="AD32" s="41">
        <f t="shared" si="14"/>
        <v>0</v>
      </c>
      <c r="AE32" s="41">
        <f t="shared" si="15"/>
        <v>0</v>
      </c>
      <c r="AF32" s="41">
        <f t="shared" si="16"/>
        <v>0</v>
      </c>
      <c r="AG32" s="41">
        <f t="shared" si="17"/>
        <v>0</v>
      </c>
      <c r="AH32" s="41">
        <f t="shared" si="18"/>
        <v>0</v>
      </c>
      <c r="AI32" s="41">
        <f t="shared" si="19"/>
        <v>183</v>
      </c>
      <c r="AJ32" s="41">
        <f t="shared" si="20"/>
        <v>365</v>
      </c>
      <c r="AK32" s="41">
        <f t="shared" si="21"/>
        <v>181</v>
      </c>
      <c r="AL32" s="42">
        <f t="shared" si="22"/>
        <v>2.6876712328767125</v>
      </c>
      <c r="AM32" s="42">
        <f t="shared" si="23"/>
        <v>486.46849315068494</v>
      </c>
      <c r="AN32" s="43">
        <f t="shared" si="1"/>
        <v>517750</v>
      </c>
      <c r="AO32" s="43"/>
      <c r="AP32" s="42">
        <f t="shared" si="24"/>
        <v>54500</v>
      </c>
      <c r="AQ32" s="43">
        <v>6</v>
      </c>
      <c r="AR32" s="44">
        <f t="shared" si="25"/>
        <v>0.90476190476190477</v>
      </c>
      <c r="AS32" s="45">
        <f t="shared" si="26"/>
        <v>1557.1428571428571</v>
      </c>
      <c r="AU32" s="1">
        <v>490500</v>
      </c>
      <c r="AV32" s="50">
        <v>27250</v>
      </c>
    </row>
    <row r="33" spans="1:48" s="1" customFormat="1" ht="37.200000000000003" thickTop="1" thickBot="1" x14ac:dyDescent="0.55000000000000004">
      <c r="A33" s="33">
        <v>26</v>
      </c>
      <c r="B33" s="34" t="s">
        <v>80</v>
      </c>
      <c r="C33" s="34" t="s">
        <v>965</v>
      </c>
      <c r="D33" s="35" t="s">
        <v>535</v>
      </c>
      <c r="E33" s="35" t="s">
        <v>966</v>
      </c>
      <c r="F33" s="36" t="s">
        <v>992</v>
      </c>
      <c r="G33" s="36" t="s">
        <v>1420</v>
      </c>
      <c r="H33" s="36" t="s">
        <v>1421</v>
      </c>
      <c r="I33" s="36" t="s">
        <v>1421</v>
      </c>
      <c r="J33" s="36" t="s">
        <v>1421</v>
      </c>
      <c r="K33" s="36">
        <v>362.5</v>
      </c>
      <c r="L33" s="36" t="s">
        <v>1422</v>
      </c>
      <c r="M33" s="49">
        <v>4</v>
      </c>
      <c r="N33" s="37" t="s">
        <v>1448</v>
      </c>
      <c r="O33" s="37"/>
      <c r="P33" s="36">
        <v>1</v>
      </c>
      <c r="Q33" s="36" t="s">
        <v>1898</v>
      </c>
      <c r="R33" s="36" t="s">
        <v>1910</v>
      </c>
      <c r="S33" s="36" t="s">
        <v>1880</v>
      </c>
      <c r="T33" s="36" t="s">
        <v>1881</v>
      </c>
      <c r="U33" s="38">
        <v>45474</v>
      </c>
      <c r="V33" s="39">
        <v>716519.8</v>
      </c>
      <c r="W33" s="39" t="s">
        <v>2363</v>
      </c>
      <c r="X33" s="39" t="s">
        <v>2363</v>
      </c>
      <c r="Y33" s="40">
        <f t="shared" si="9"/>
        <v>35825.99</v>
      </c>
      <c r="Z33" s="40">
        <f t="shared" si="10"/>
        <v>752345.79</v>
      </c>
      <c r="AA33" s="41" t="str">
        <f t="shared" si="11"/>
        <v>0.0022</v>
      </c>
      <c r="AB33" s="41">
        <f t="shared" si="12"/>
        <v>0</v>
      </c>
      <c r="AC33" s="41">
        <f t="shared" si="13"/>
        <v>0</v>
      </c>
      <c r="AD33" s="41">
        <f t="shared" si="14"/>
        <v>0</v>
      </c>
      <c r="AE33" s="41">
        <f t="shared" si="15"/>
        <v>0</v>
      </c>
      <c r="AF33" s="41">
        <f t="shared" si="16"/>
        <v>0</v>
      </c>
      <c r="AG33" s="41">
        <f t="shared" si="17"/>
        <v>0</v>
      </c>
      <c r="AH33" s="41">
        <f t="shared" si="18"/>
        <v>0</v>
      </c>
      <c r="AI33" s="41">
        <f t="shared" si="19"/>
        <v>183</v>
      </c>
      <c r="AJ33" s="41">
        <f t="shared" si="20"/>
        <v>365</v>
      </c>
      <c r="AK33" s="41">
        <f t="shared" si="21"/>
        <v>181</v>
      </c>
      <c r="AL33" s="42">
        <f t="shared" si="22"/>
        <v>4.3187494794520553</v>
      </c>
      <c r="AM33" s="42">
        <f t="shared" si="23"/>
        <v>781.69365578082204</v>
      </c>
      <c r="AN33" s="43">
        <f t="shared" si="1"/>
        <v>680693.80999999994</v>
      </c>
      <c r="AO33" s="43"/>
      <c r="AP33" s="42">
        <f t="shared" si="24"/>
        <v>71651.980000000098</v>
      </c>
      <c r="AQ33" s="43">
        <v>6</v>
      </c>
      <c r="AR33" s="44">
        <f t="shared" si="25"/>
        <v>0.90476190476190466</v>
      </c>
      <c r="AS33" s="45">
        <f t="shared" si="26"/>
        <v>1976.6063448275863</v>
      </c>
      <c r="AU33" s="1">
        <v>644867.81999999995</v>
      </c>
      <c r="AV33" s="50">
        <v>35825.99</v>
      </c>
    </row>
    <row r="34" spans="1:48" s="1" customFormat="1" ht="37.200000000000003" thickTop="1" thickBot="1" x14ac:dyDescent="0.55000000000000004">
      <c r="A34" s="33">
        <v>27</v>
      </c>
      <c r="B34" s="34" t="s">
        <v>81</v>
      </c>
      <c r="C34" s="34" t="s">
        <v>965</v>
      </c>
      <c r="D34" s="35" t="s">
        <v>536</v>
      </c>
      <c r="E34" s="35" t="s">
        <v>966</v>
      </c>
      <c r="F34" s="36" t="s">
        <v>993</v>
      </c>
      <c r="G34" s="36" t="s">
        <v>1420</v>
      </c>
      <c r="H34" s="36" t="s">
        <v>1421</v>
      </c>
      <c r="I34" s="36" t="s">
        <v>1421</v>
      </c>
      <c r="J34" s="36" t="s">
        <v>1421</v>
      </c>
      <c r="K34" s="36">
        <v>350</v>
      </c>
      <c r="L34" s="36" t="s">
        <v>1422</v>
      </c>
      <c r="M34" s="49">
        <v>4</v>
      </c>
      <c r="N34" s="37" t="s">
        <v>1449</v>
      </c>
      <c r="O34" s="37"/>
      <c r="P34" s="36">
        <v>1</v>
      </c>
      <c r="Q34" s="36" t="s">
        <v>1898</v>
      </c>
      <c r="R34" s="36" t="s">
        <v>1911</v>
      </c>
      <c r="S34" s="36" t="s">
        <v>1880</v>
      </c>
      <c r="T34" s="36" t="s">
        <v>1883</v>
      </c>
      <c r="U34" s="38">
        <v>45474</v>
      </c>
      <c r="V34" s="39">
        <v>716269.8</v>
      </c>
      <c r="W34" s="39" t="s">
        <v>2363</v>
      </c>
      <c r="X34" s="39" t="s">
        <v>2363</v>
      </c>
      <c r="Y34" s="40">
        <f t="shared" si="9"/>
        <v>35813.49</v>
      </c>
      <c r="Z34" s="40">
        <f t="shared" si="10"/>
        <v>752083.29</v>
      </c>
      <c r="AA34" s="41" t="str">
        <f t="shared" si="11"/>
        <v>0.0022</v>
      </c>
      <c r="AB34" s="41">
        <f t="shared" si="12"/>
        <v>0</v>
      </c>
      <c r="AC34" s="41">
        <f t="shared" si="13"/>
        <v>0</v>
      </c>
      <c r="AD34" s="41">
        <f t="shared" si="14"/>
        <v>0</v>
      </c>
      <c r="AE34" s="41">
        <f t="shared" si="15"/>
        <v>0</v>
      </c>
      <c r="AF34" s="41">
        <f t="shared" si="16"/>
        <v>0</v>
      </c>
      <c r="AG34" s="41">
        <f t="shared" si="17"/>
        <v>0</v>
      </c>
      <c r="AH34" s="41">
        <f t="shared" si="18"/>
        <v>0</v>
      </c>
      <c r="AI34" s="41">
        <f t="shared" si="19"/>
        <v>183</v>
      </c>
      <c r="AJ34" s="41">
        <f t="shared" si="20"/>
        <v>365</v>
      </c>
      <c r="AK34" s="41">
        <f t="shared" si="21"/>
        <v>181</v>
      </c>
      <c r="AL34" s="42">
        <f t="shared" si="22"/>
        <v>4.3172426301369873</v>
      </c>
      <c r="AM34" s="42">
        <f t="shared" si="23"/>
        <v>781.4209160547947</v>
      </c>
      <c r="AN34" s="43">
        <f t="shared" si="1"/>
        <v>680456.37999999989</v>
      </c>
      <c r="AO34" s="43"/>
      <c r="AP34" s="42">
        <f t="shared" si="24"/>
        <v>71626.910000000149</v>
      </c>
      <c r="AQ34" s="43">
        <v>6</v>
      </c>
      <c r="AR34" s="44">
        <f t="shared" si="25"/>
        <v>0.90476199783670219</v>
      </c>
      <c r="AS34" s="45">
        <f t="shared" si="26"/>
        <v>2046.485142857143</v>
      </c>
      <c r="AU34" s="1">
        <v>644642.87999999989</v>
      </c>
      <c r="AV34" s="50">
        <v>35813.5</v>
      </c>
    </row>
    <row r="35" spans="1:48" s="1" customFormat="1" ht="37.200000000000003" thickTop="1" thickBot="1" x14ac:dyDescent="0.55000000000000004">
      <c r="A35" s="33">
        <v>28</v>
      </c>
      <c r="B35" s="34" t="s">
        <v>82</v>
      </c>
      <c r="C35" s="34" t="s">
        <v>965</v>
      </c>
      <c r="D35" s="35" t="s">
        <v>537</v>
      </c>
      <c r="E35" s="35" t="s">
        <v>966</v>
      </c>
      <c r="F35" s="36" t="s">
        <v>994</v>
      </c>
      <c r="G35" s="36" t="s">
        <v>1420</v>
      </c>
      <c r="H35" s="36" t="s">
        <v>1421</v>
      </c>
      <c r="I35" s="36" t="s">
        <v>1421</v>
      </c>
      <c r="J35" s="36" t="s">
        <v>1421</v>
      </c>
      <c r="K35" s="36">
        <v>362.5</v>
      </c>
      <c r="L35" s="36" t="s">
        <v>1422</v>
      </c>
      <c r="M35" s="49">
        <v>4</v>
      </c>
      <c r="N35" s="37" t="s">
        <v>1450</v>
      </c>
      <c r="O35" s="37"/>
      <c r="P35" s="36">
        <v>1</v>
      </c>
      <c r="Q35" s="36" t="s">
        <v>1898</v>
      </c>
      <c r="R35" s="36" t="s">
        <v>1912</v>
      </c>
      <c r="S35" s="36" t="s">
        <v>1880</v>
      </c>
      <c r="T35" s="36" t="s">
        <v>1901</v>
      </c>
      <c r="U35" s="38">
        <v>45474</v>
      </c>
      <c r="V35" s="39">
        <v>716519.8</v>
      </c>
      <c r="W35" s="39" t="s">
        <v>2363</v>
      </c>
      <c r="X35" s="39" t="s">
        <v>2363</v>
      </c>
      <c r="Y35" s="40">
        <f t="shared" si="9"/>
        <v>35825.99</v>
      </c>
      <c r="Z35" s="40">
        <f t="shared" si="10"/>
        <v>752345.79</v>
      </c>
      <c r="AA35" s="41" t="str">
        <f t="shared" si="11"/>
        <v>0.0022</v>
      </c>
      <c r="AB35" s="41">
        <f t="shared" si="12"/>
        <v>0</v>
      </c>
      <c r="AC35" s="41">
        <f t="shared" si="13"/>
        <v>0</v>
      </c>
      <c r="AD35" s="41">
        <f t="shared" si="14"/>
        <v>0</v>
      </c>
      <c r="AE35" s="41">
        <f t="shared" si="15"/>
        <v>0</v>
      </c>
      <c r="AF35" s="41">
        <f t="shared" si="16"/>
        <v>0</v>
      </c>
      <c r="AG35" s="41">
        <f t="shared" si="17"/>
        <v>0</v>
      </c>
      <c r="AH35" s="41">
        <f t="shared" si="18"/>
        <v>0</v>
      </c>
      <c r="AI35" s="41">
        <f t="shared" si="19"/>
        <v>183</v>
      </c>
      <c r="AJ35" s="41">
        <f t="shared" si="20"/>
        <v>365</v>
      </c>
      <c r="AK35" s="41">
        <f t="shared" si="21"/>
        <v>181</v>
      </c>
      <c r="AL35" s="42">
        <f t="shared" si="22"/>
        <v>4.3187494794520553</v>
      </c>
      <c r="AM35" s="42">
        <f t="shared" si="23"/>
        <v>781.69365578082204</v>
      </c>
      <c r="AN35" s="43">
        <f t="shared" si="1"/>
        <v>680693.87999999989</v>
      </c>
      <c r="AO35" s="43"/>
      <c r="AP35" s="42">
        <f t="shared" si="24"/>
        <v>71651.910000000149</v>
      </c>
      <c r="AQ35" s="43">
        <v>6</v>
      </c>
      <c r="AR35" s="44">
        <f t="shared" si="25"/>
        <v>0.90476199780422761</v>
      </c>
      <c r="AS35" s="45">
        <f t="shared" si="26"/>
        <v>1976.6063448275863</v>
      </c>
      <c r="AU35" s="1">
        <v>644867.87999999989</v>
      </c>
      <c r="AV35" s="50">
        <v>35826</v>
      </c>
    </row>
    <row r="36" spans="1:48" s="1" customFormat="1" ht="37.200000000000003" thickTop="1" thickBot="1" x14ac:dyDescent="0.55000000000000004">
      <c r="A36" s="33">
        <v>29</v>
      </c>
      <c r="B36" s="34" t="s">
        <v>83</v>
      </c>
      <c r="C36" s="34" t="s">
        <v>965</v>
      </c>
      <c r="D36" s="35" t="s">
        <v>538</v>
      </c>
      <c r="E36" s="35" t="s">
        <v>966</v>
      </c>
      <c r="F36" s="36" t="s">
        <v>995</v>
      </c>
      <c r="G36" s="36" t="s">
        <v>1420</v>
      </c>
      <c r="H36" s="36" t="s">
        <v>1421</v>
      </c>
      <c r="I36" s="36" t="s">
        <v>1421</v>
      </c>
      <c r="J36" s="36" t="s">
        <v>1421</v>
      </c>
      <c r="K36" s="36">
        <v>362.5</v>
      </c>
      <c r="L36" s="36" t="s">
        <v>1422</v>
      </c>
      <c r="M36" s="49">
        <v>4</v>
      </c>
      <c r="N36" s="37" t="s">
        <v>1451</v>
      </c>
      <c r="O36" s="37"/>
      <c r="P36" s="36">
        <v>1</v>
      </c>
      <c r="Q36" s="36" t="s">
        <v>1898</v>
      </c>
      <c r="R36" s="36" t="s">
        <v>1913</v>
      </c>
      <c r="S36" s="36" t="s">
        <v>1880</v>
      </c>
      <c r="T36" s="36" t="s">
        <v>1881</v>
      </c>
      <c r="U36" s="38">
        <v>45474</v>
      </c>
      <c r="V36" s="39">
        <v>716519.8</v>
      </c>
      <c r="W36" s="39" t="s">
        <v>2363</v>
      </c>
      <c r="X36" s="39" t="s">
        <v>2363</v>
      </c>
      <c r="Y36" s="40">
        <f t="shared" si="9"/>
        <v>35825.99</v>
      </c>
      <c r="Z36" s="40">
        <f t="shared" si="10"/>
        <v>752345.79</v>
      </c>
      <c r="AA36" s="41" t="str">
        <f t="shared" si="11"/>
        <v>0.0022</v>
      </c>
      <c r="AB36" s="41">
        <f t="shared" si="12"/>
        <v>0</v>
      </c>
      <c r="AC36" s="41">
        <f t="shared" si="13"/>
        <v>0</v>
      </c>
      <c r="AD36" s="41">
        <f t="shared" si="14"/>
        <v>0</v>
      </c>
      <c r="AE36" s="41">
        <f t="shared" si="15"/>
        <v>0</v>
      </c>
      <c r="AF36" s="41">
        <f t="shared" si="16"/>
        <v>0</v>
      </c>
      <c r="AG36" s="41">
        <f t="shared" si="17"/>
        <v>0</v>
      </c>
      <c r="AH36" s="41">
        <f t="shared" si="18"/>
        <v>0</v>
      </c>
      <c r="AI36" s="41">
        <f t="shared" si="19"/>
        <v>183</v>
      </c>
      <c r="AJ36" s="41">
        <f t="shared" si="20"/>
        <v>365</v>
      </c>
      <c r="AK36" s="41">
        <f t="shared" si="21"/>
        <v>181</v>
      </c>
      <c r="AL36" s="42">
        <f t="shared" si="22"/>
        <v>4.3187494794520553</v>
      </c>
      <c r="AM36" s="42">
        <f t="shared" si="23"/>
        <v>781.69365578082204</v>
      </c>
      <c r="AN36" s="43">
        <f t="shared" si="1"/>
        <v>680693.80999999994</v>
      </c>
      <c r="AO36" s="43"/>
      <c r="AP36" s="42">
        <f t="shared" si="24"/>
        <v>71651.980000000098</v>
      </c>
      <c r="AQ36" s="43">
        <v>6</v>
      </c>
      <c r="AR36" s="44">
        <f t="shared" si="25"/>
        <v>0.90476190476190466</v>
      </c>
      <c r="AS36" s="45">
        <f t="shared" si="26"/>
        <v>1976.6063448275863</v>
      </c>
      <c r="AU36" s="1">
        <v>644867.81999999995</v>
      </c>
      <c r="AV36" s="50">
        <v>35825.99</v>
      </c>
    </row>
    <row r="37" spans="1:48" s="1" customFormat="1" ht="37.200000000000003" thickTop="1" thickBot="1" x14ac:dyDescent="0.55000000000000004">
      <c r="A37" s="33">
        <v>30</v>
      </c>
      <c r="B37" s="34" t="s">
        <v>84</v>
      </c>
      <c r="C37" s="34" t="s">
        <v>965</v>
      </c>
      <c r="D37" s="35" t="s">
        <v>539</v>
      </c>
      <c r="E37" s="35" t="s">
        <v>966</v>
      </c>
      <c r="F37" s="36" t="s">
        <v>996</v>
      </c>
      <c r="G37" s="36" t="s">
        <v>1420</v>
      </c>
      <c r="H37" s="36" t="s">
        <v>1421</v>
      </c>
      <c r="I37" s="36" t="s">
        <v>1421</v>
      </c>
      <c r="J37" s="36" t="s">
        <v>1421</v>
      </c>
      <c r="K37" s="36">
        <v>362.5</v>
      </c>
      <c r="L37" s="36" t="s">
        <v>1422</v>
      </c>
      <c r="M37" s="49">
        <v>4</v>
      </c>
      <c r="N37" s="37" t="s">
        <v>1452</v>
      </c>
      <c r="O37" s="37"/>
      <c r="P37" s="36">
        <v>1</v>
      </c>
      <c r="Q37" s="36" t="s">
        <v>1898</v>
      </c>
      <c r="R37" s="36" t="s">
        <v>1914</v>
      </c>
      <c r="S37" s="36" t="s">
        <v>1880</v>
      </c>
      <c r="T37" s="36" t="s">
        <v>1881</v>
      </c>
      <c r="U37" s="38">
        <v>45474</v>
      </c>
      <c r="V37" s="39">
        <v>716519.8</v>
      </c>
      <c r="W37" s="39" t="s">
        <v>2363</v>
      </c>
      <c r="X37" s="39" t="s">
        <v>2363</v>
      </c>
      <c r="Y37" s="40">
        <f t="shared" si="9"/>
        <v>35825.99</v>
      </c>
      <c r="Z37" s="40">
        <f t="shared" si="10"/>
        <v>752345.79</v>
      </c>
      <c r="AA37" s="41" t="str">
        <f t="shared" si="11"/>
        <v>0.0022</v>
      </c>
      <c r="AB37" s="41">
        <f t="shared" si="12"/>
        <v>0</v>
      </c>
      <c r="AC37" s="41">
        <f t="shared" si="13"/>
        <v>0</v>
      </c>
      <c r="AD37" s="41">
        <f t="shared" si="14"/>
        <v>0</v>
      </c>
      <c r="AE37" s="41">
        <f t="shared" si="15"/>
        <v>0</v>
      </c>
      <c r="AF37" s="41">
        <f t="shared" si="16"/>
        <v>0</v>
      </c>
      <c r="AG37" s="41">
        <f t="shared" si="17"/>
        <v>0</v>
      </c>
      <c r="AH37" s="41">
        <f t="shared" si="18"/>
        <v>0</v>
      </c>
      <c r="AI37" s="41">
        <f t="shared" si="19"/>
        <v>183</v>
      </c>
      <c r="AJ37" s="41">
        <f t="shared" si="20"/>
        <v>365</v>
      </c>
      <c r="AK37" s="41">
        <f t="shared" si="21"/>
        <v>181</v>
      </c>
      <c r="AL37" s="42">
        <f t="shared" si="22"/>
        <v>4.3187494794520553</v>
      </c>
      <c r="AM37" s="42">
        <f t="shared" si="23"/>
        <v>781.69365578082204</v>
      </c>
      <c r="AN37" s="43">
        <f t="shared" si="1"/>
        <v>680693.80999999994</v>
      </c>
      <c r="AO37" s="43"/>
      <c r="AP37" s="42">
        <f t="shared" si="24"/>
        <v>71651.980000000098</v>
      </c>
      <c r="AQ37" s="43">
        <v>6</v>
      </c>
      <c r="AR37" s="44">
        <f t="shared" si="25"/>
        <v>0.90476190476190466</v>
      </c>
      <c r="AS37" s="45">
        <f t="shared" si="26"/>
        <v>1976.6063448275863</v>
      </c>
      <c r="AU37" s="1">
        <v>644867.81999999995</v>
      </c>
      <c r="AV37" s="50">
        <v>35825.99</v>
      </c>
    </row>
    <row r="38" spans="1:48" s="1" customFormat="1" ht="37.200000000000003" thickTop="1" thickBot="1" x14ac:dyDescent="0.55000000000000004">
      <c r="A38" s="33">
        <v>31</v>
      </c>
      <c r="B38" s="34" t="s">
        <v>85</v>
      </c>
      <c r="C38" s="34" t="s">
        <v>965</v>
      </c>
      <c r="D38" s="35" t="s">
        <v>540</v>
      </c>
      <c r="E38" s="35" t="s">
        <v>966</v>
      </c>
      <c r="F38" s="36" t="s">
        <v>997</v>
      </c>
      <c r="G38" s="36" t="s">
        <v>1420</v>
      </c>
      <c r="H38" s="36" t="s">
        <v>1421</v>
      </c>
      <c r="I38" s="36" t="s">
        <v>1421</v>
      </c>
      <c r="J38" s="36" t="s">
        <v>1421</v>
      </c>
      <c r="K38" s="36">
        <v>350</v>
      </c>
      <c r="L38" s="36" t="s">
        <v>1422</v>
      </c>
      <c r="M38" s="49">
        <v>4</v>
      </c>
      <c r="N38" s="37" t="s">
        <v>1453</v>
      </c>
      <c r="O38" s="37"/>
      <c r="P38" s="36">
        <v>1</v>
      </c>
      <c r="Q38" s="36" t="s">
        <v>1915</v>
      </c>
      <c r="R38" s="36" t="s">
        <v>1916</v>
      </c>
      <c r="S38" s="36" t="s">
        <v>1880</v>
      </c>
      <c r="T38" s="36" t="s">
        <v>1881</v>
      </c>
      <c r="U38" s="38">
        <v>45474</v>
      </c>
      <c r="V38" s="39">
        <v>711769.8</v>
      </c>
      <c r="W38" s="39" t="s">
        <v>2363</v>
      </c>
      <c r="X38" s="39" t="s">
        <v>2363</v>
      </c>
      <c r="Y38" s="40">
        <f t="shared" si="9"/>
        <v>35588.49</v>
      </c>
      <c r="Z38" s="40">
        <f t="shared" si="10"/>
        <v>747358.29</v>
      </c>
      <c r="AA38" s="41" t="str">
        <f t="shared" si="11"/>
        <v>0.0022</v>
      </c>
      <c r="AB38" s="41">
        <f t="shared" si="12"/>
        <v>0</v>
      </c>
      <c r="AC38" s="41">
        <f t="shared" si="13"/>
        <v>0</v>
      </c>
      <c r="AD38" s="41">
        <f t="shared" si="14"/>
        <v>0</v>
      </c>
      <c r="AE38" s="41">
        <f t="shared" si="15"/>
        <v>0</v>
      </c>
      <c r="AF38" s="41">
        <f t="shared" si="16"/>
        <v>0</v>
      </c>
      <c r="AG38" s="41">
        <f t="shared" si="17"/>
        <v>0</v>
      </c>
      <c r="AH38" s="41">
        <f t="shared" si="18"/>
        <v>0</v>
      </c>
      <c r="AI38" s="41">
        <f t="shared" si="19"/>
        <v>183</v>
      </c>
      <c r="AJ38" s="41">
        <f t="shared" si="20"/>
        <v>365</v>
      </c>
      <c r="AK38" s="41">
        <f t="shared" si="21"/>
        <v>181</v>
      </c>
      <c r="AL38" s="42">
        <f t="shared" si="22"/>
        <v>4.2901193424657542</v>
      </c>
      <c r="AM38" s="42">
        <f t="shared" si="23"/>
        <v>776.51160098630146</v>
      </c>
      <c r="AN38" s="43">
        <f t="shared" si="1"/>
        <v>676181.30999999994</v>
      </c>
      <c r="AO38" s="43"/>
      <c r="AP38" s="42">
        <f t="shared" si="24"/>
        <v>71176.980000000098</v>
      </c>
      <c r="AQ38" s="43">
        <v>6</v>
      </c>
      <c r="AR38" s="44">
        <f t="shared" si="25"/>
        <v>0.90476190476190466</v>
      </c>
      <c r="AS38" s="45">
        <f t="shared" si="26"/>
        <v>2033.6280000000002</v>
      </c>
      <c r="AU38" s="1">
        <v>640592.81999999995</v>
      </c>
      <c r="AV38" s="50">
        <v>35588.49</v>
      </c>
    </row>
    <row r="39" spans="1:48" s="1" customFormat="1" ht="37.200000000000003" thickTop="1" thickBot="1" x14ac:dyDescent="0.55000000000000004">
      <c r="A39" s="33">
        <v>32</v>
      </c>
      <c r="B39" s="34" t="s">
        <v>86</v>
      </c>
      <c r="C39" s="34" t="s">
        <v>965</v>
      </c>
      <c r="D39" s="35" t="s">
        <v>541</v>
      </c>
      <c r="E39" s="35" t="s">
        <v>966</v>
      </c>
      <c r="F39" s="36" t="s">
        <v>998</v>
      </c>
      <c r="G39" s="36" t="s">
        <v>1420</v>
      </c>
      <c r="H39" s="36" t="s">
        <v>1421</v>
      </c>
      <c r="I39" s="36" t="s">
        <v>1421</v>
      </c>
      <c r="J39" s="36" t="s">
        <v>1421</v>
      </c>
      <c r="K39" s="36">
        <v>350.01</v>
      </c>
      <c r="L39" s="36" t="s">
        <v>1422</v>
      </c>
      <c r="M39" s="49">
        <v>4</v>
      </c>
      <c r="N39" s="37" t="s">
        <v>1454</v>
      </c>
      <c r="O39" s="37"/>
      <c r="P39" s="36">
        <v>1</v>
      </c>
      <c r="Q39" s="36" t="s">
        <v>1915</v>
      </c>
      <c r="R39" s="36" t="s">
        <v>1917</v>
      </c>
      <c r="S39" s="36" t="s">
        <v>1880</v>
      </c>
      <c r="T39" s="36" t="s">
        <v>1881</v>
      </c>
      <c r="U39" s="38">
        <v>45474</v>
      </c>
      <c r="V39" s="39">
        <v>652777</v>
      </c>
      <c r="W39" s="39" t="s">
        <v>2363</v>
      </c>
      <c r="X39" s="39" t="s">
        <v>2363</v>
      </c>
      <c r="Y39" s="40">
        <f t="shared" si="9"/>
        <v>32638.85</v>
      </c>
      <c r="Z39" s="40">
        <f t="shared" si="10"/>
        <v>685415.85</v>
      </c>
      <c r="AA39" s="41" t="str">
        <f t="shared" si="11"/>
        <v>0.0018</v>
      </c>
      <c r="AB39" s="41">
        <f t="shared" si="12"/>
        <v>0</v>
      </c>
      <c r="AC39" s="41">
        <f t="shared" si="13"/>
        <v>0</v>
      </c>
      <c r="AD39" s="41">
        <f t="shared" si="14"/>
        <v>0</v>
      </c>
      <c r="AE39" s="41">
        <f t="shared" si="15"/>
        <v>0</v>
      </c>
      <c r="AF39" s="41">
        <f t="shared" si="16"/>
        <v>0</v>
      </c>
      <c r="AG39" s="41">
        <f t="shared" si="17"/>
        <v>0</v>
      </c>
      <c r="AH39" s="41">
        <f t="shared" si="18"/>
        <v>0</v>
      </c>
      <c r="AI39" s="41">
        <f t="shared" si="19"/>
        <v>183</v>
      </c>
      <c r="AJ39" s="41">
        <f t="shared" si="20"/>
        <v>365</v>
      </c>
      <c r="AK39" s="41">
        <f t="shared" si="21"/>
        <v>181</v>
      </c>
      <c r="AL39" s="42">
        <f t="shared" si="22"/>
        <v>3.2191742465753421</v>
      </c>
      <c r="AM39" s="42">
        <f t="shared" si="23"/>
        <v>582.67053863013689</v>
      </c>
      <c r="AN39" s="43">
        <f t="shared" si="1"/>
        <v>620138.18000000005</v>
      </c>
      <c r="AO39" s="43"/>
      <c r="AP39" s="42">
        <f t="shared" si="24"/>
        <v>65277.669999999925</v>
      </c>
      <c r="AQ39" s="43">
        <v>6</v>
      </c>
      <c r="AR39" s="44">
        <f t="shared" si="25"/>
        <v>0.90476194853095393</v>
      </c>
      <c r="AS39" s="45">
        <f t="shared" si="26"/>
        <v>1865.0238564612441</v>
      </c>
      <c r="AU39" s="1">
        <v>587499.32000000007</v>
      </c>
      <c r="AV39" s="50">
        <v>32638.86</v>
      </c>
    </row>
    <row r="40" spans="1:48" s="1" customFormat="1" ht="37.200000000000003" thickTop="1" thickBot="1" x14ac:dyDescent="0.55000000000000004">
      <c r="A40" s="33">
        <v>33</v>
      </c>
      <c r="B40" s="34" t="s">
        <v>87</v>
      </c>
      <c r="C40" s="34" t="s">
        <v>965</v>
      </c>
      <c r="D40" s="35" t="s">
        <v>542</v>
      </c>
      <c r="E40" s="35" t="s">
        <v>966</v>
      </c>
      <c r="F40" s="36" t="s">
        <v>999</v>
      </c>
      <c r="G40" s="36" t="s">
        <v>1420</v>
      </c>
      <c r="H40" s="36" t="s">
        <v>1421</v>
      </c>
      <c r="I40" s="36" t="s">
        <v>1421</v>
      </c>
      <c r="J40" s="36" t="s">
        <v>1421</v>
      </c>
      <c r="K40" s="36">
        <v>350</v>
      </c>
      <c r="L40" s="36" t="s">
        <v>1422</v>
      </c>
      <c r="M40" s="49">
        <v>4</v>
      </c>
      <c r="N40" s="37" t="s">
        <v>1455</v>
      </c>
      <c r="O40" s="37"/>
      <c r="P40" s="36">
        <v>1</v>
      </c>
      <c r="Q40" s="36" t="s">
        <v>1915</v>
      </c>
      <c r="R40" s="36" t="s">
        <v>1918</v>
      </c>
      <c r="S40" s="36" t="s">
        <v>1880</v>
      </c>
      <c r="T40" s="36" t="s">
        <v>1883</v>
      </c>
      <c r="U40" s="38">
        <v>45474</v>
      </c>
      <c r="V40" s="39">
        <v>665974</v>
      </c>
      <c r="W40" s="39" t="s">
        <v>2363</v>
      </c>
      <c r="X40" s="39" t="s">
        <v>2363</v>
      </c>
      <c r="Y40" s="40">
        <f t="shared" si="9"/>
        <v>33298.699999999997</v>
      </c>
      <c r="Z40" s="40">
        <f t="shared" si="10"/>
        <v>699272.7</v>
      </c>
      <c r="AA40" s="41" t="str">
        <f t="shared" si="11"/>
        <v>0.0018</v>
      </c>
      <c r="AB40" s="41">
        <f t="shared" si="12"/>
        <v>0</v>
      </c>
      <c r="AC40" s="41">
        <f t="shared" si="13"/>
        <v>0</v>
      </c>
      <c r="AD40" s="41">
        <f t="shared" si="14"/>
        <v>0</v>
      </c>
      <c r="AE40" s="41">
        <f t="shared" si="15"/>
        <v>0</v>
      </c>
      <c r="AF40" s="41">
        <f t="shared" si="16"/>
        <v>0</v>
      </c>
      <c r="AG40" s="41">
        <f t="shared" si="17"/>
        <v>0</v>
      </c>
      <c r="AH40" s="41">
        <f t="shared" si="18"/>
        <v>0</v>
      </c>
      <c r="AI40" s="41">
        <f t="shared" si="19"/>
        <v>183</v>
      </c>
      <c r="AJ40" s="41">
        <f t="shared" si="20"/>
        <v>365</v>
      </c>
      <c r="AK40" s="41">
        <f t="shared" si="21"/>
        <v>181</v>
      </c>
      <c r="AL40" s="42">
        <f t="shared" si="22"/>
        <v>3.284255342465753</v>
      </c>
      <c r="AM40" s="42">
        <f t="shared" si="23"/>
        <v>594.45021698630126</v>
      </c>
      <c r="AN40" s="43">
        <f t="shared" si="1"/>
        <v>632675.29999999993</v>
      </c>
      <c r="AO40" s="43"/>
      <c r="AP40" s="42">
        <f t="shared" si="24"/>
        <v>66597.400000000023</v>
      </c>
      <c r="AQ40" s="43">
        <v>6</v>
      </c>
      <c r="AR40" s="44">
        <f t="shared" si="25"/>
        <v>0.90476190476190477</v>
      </c>
      <c r="AS40" s="45">
        <f t="shared" si="26"/>
        <v>1902.7828571428572</v>
      </c>
      <c r="AU40" s="1">
        <v>599376.6</v>
      </c>
      <c r="AV40" s="50">
        <v>33298.699999999997</v>
      </c>
    </row>
    <row r="41" spans="1:48" s="1" customFormat="1" ht="37.200000000000003" thickTop="1" thickBot="1" x14ac:dyDescent="0.55000000000000004">
      <c r="A41" s="33">
        <v>34</v>
      </c>
      <c r="B41" s="34" t="s">
        <v>88</v>
      </c>
      <c r="C41" s="34" t="s">
        <v>965</v>
      </c>
      <c r="D41" s="35" t="s">
        <v>543</v>
      </c>
      <c r="E41" s="35" t="s">
        <v>966</v>
      </c>
      <c r="F41" s="36" t="s">
        <v>1000</v>
      </c>
      <c r="G41" s="36" t="s">
        <v>1420</v>
      </c>
      <c r="H41" s="36" t="s">
        <v>1421</v>
      </c>
      <c r="I41" s="36" t="s">
        <v>1421</v>
      </c>
      <c r="J41" s="36" t="s">
        <v>1421</v>
      </c>
      <c r="K41" s="36">
        <v>350</v>
      </c>
      <c r="L41" s="36" t="s">
        <v>1422</v>
      </c>
      <c r="M41" s="49">
        <v>4</v>
      </c>
      <c r="N41" s="37" t="s">
        <v>1456</v>
      </c>
      <c r="O41" s="37"/>
      <c r="P41" s="36">
        <v>1</v>
      </c>
      <c r="Q41" s="36" t="s">
        <v>1915</v>
      </c>
      <c r="R41" s="36" t="s">
        <v>1919</v>
      </c>
      <c r="S41" s="36" t="s">
        <v>1880</v>
      </c>
      <c r="T41" s="36" t="s">
        <v>1881</v>
      </c>
      <c r="U41" s="38">
        <v>45474</v>
      </c>
      <c r="V41" s="39">
        <v>545000</v>
      </c>
      <c r="W41" s="39" t="s">
        <v>2363</v>
      </c>
      <c r="X41" s="39" t="s">
        <v>2363</v>
      </c>
      <c r="Y41" s="40">
        <f t="shared" si="9"/>
        <v>27250</v>
      </c>
      <c r="Z41" s="40">
        <f t="shared" si="10"/>
        <v>572250</v>
      </c>
      <c r="AA41" s="41" t="str">
        <f t="shared" si="11"/>
        <v>0.0018</v>
      </c>
      <c r="AB41" s="41">
        <f t="shared" si="12"/>
        <v>0</v>
      </c>
      <c r="AC41" s="41">
        <f t="shared" si="13"/>
        <v>0</v>
      </c>
      <c r="AD41" s="41">
        <f t="shared" si="14"/>
        <v>0</v>
      </c>
      <c r="AE41" s="41">
        <f t="shared" si="15"/>
        <v>0</v>
      </c>
      <c r="AF41" s="41">
        <f t="shared" si="16"/>
        <v>0</v>
      </c>
      <c r="AG41" s="41">
        <f t="shared" si="17"/>
        <v>0</v>
      </c>
      <c r="AH41" s="41">
        <f t="shared" si="18"/>
        <v>0</v>
      </c>
      <c r="AI41" s="41">
        <f t="shared" si="19"/>
        <v>183</v>
      </c>
      <c r="AJ41" s="41">
        <f t="shared" si="20"/>
        <v>365</v>
      </c>
      <c r="AK41" s="41">
        <f t="shared" si="21"/>
        <v>181</v>
      </c>
      <c r="AL41" s="42">
        <f t="shared" si="22"/>
        <v>2.6876712328767125</v>
      </c>
      <c r="AM41" s="42">
        <f t="shared" si="23"/>
        <v>486.46849315068494</v>
      </c>
      <c r="AN41" s="43">
        <f t="shared" si="1"/>
        <v>517750</v>
      </c>
      <c r="AO41" s="43"/>
      <c r="AP41" s="42">
        <f t="shared" si="24"/>
        <v>54500</v>
      </c>
      <c r="AQ41" s="43">
        <v>6</v>
      </c>
      <c r="AR41" s="44">
        <f t="shared" si="25"/>
        <v>0.90476190476190477</v>
      </c>
      <c r="AS41" s="45">
        <f t="shared" si="26"/>
        <v>1557.1428571428571</v>
      </c>
      <c r="AU41" s="1">
        <v>490500</v>
      </c>
      <c r="AV41" s="50">
        <v>27250</v>
      </c>
    </row>
    <row r="42" spans="1:48" s="1" customFormat="1" ht="37.200000000000003" thickTop="1" thickBot="1" x14ac:dyDescent="0.55000000000000004">
      <c r="A42" s="33">
        <v>35</v>
      </c>
      <c r="B42" s="34" t="s">
        <v>89</v>
      </c>
      <c r="C42" s="34" t="s">
        <v>965</v>
      </c>
      <c r="D42" s="35" t="s">
        <v>544</v>
      </c>
      <c r="E42" s="35" t="s">
        <v>966</v>
      </c>
      <c r="F42" s="36" t="s">
        <v>1001</v>
      </c>
      <c r="G42" s="36" t="s">
        <v>1420</v>
      </c>
      <c r="H42" s="36" t="s">
        <v>1421</v>
      </c>
      <c r="I42" s="36" t="s">
        <v>1421</v>
      </c>
      <c r="J42" s="36" t="s">
        <v>1421</v>
      </c>
      <c r="K42" s="36">
        <v>350</v>
      </c>
      <c r="L42" s="36" t="s">
        <v>1422</v>
      </c>
      <c r="M42" s="49">
        <v>4</v>
      </c>
      <c r="N42" s="37" t="s">
        <v>1457</v>
      </c>
      <c r="O42" s="37"/>
      <c r="P42" s="36">
        <v>1</v>
      </c>
      <c r="Q42" s="36" t="s">
        <v>1915</v>
      </c>
      <c r="R42" s="36" t="s">
        <v>1920</v>
      </c>
      <c r="S42" s="36" t="s">
        <v>1880</v>
      </c>
      <c r="T42" s="36" t="s">
        <v>1901</v>
      </c>
      <c r="U42" s="38">
        <v>45474</v>
      </c>
      <c r="V42" s="39">
        <v>545000</v>
      </c>
      <c r="W42" s="39" t="s">
        <v>2363</v>
      </c>
      <c r="X42" s="39" t="s">
        <v>2363</v>
      </c>
      <c r="Y42" s="40">
        <f t="shared" si="9"/>
        <v>27250</v>
      </c>
      <c r="Z42" s="40">
        <f t="shared" si="10"/>
        <v>572250</v>
      </c>
      <c r="AA42" s="41" t="str">
        <f t="shared" si="11"/>
        <v>0.0018</v>
      </c>
      <c r="AB42" s="41">
        <f t="shared" si="12"/>
        <v>0</v>
      </c>
      <c r="AC42" s="41">
        <f t="shared" si="13"/>
        <v>0</v>
      </c>
      <c r="AD42" s="41">
        <f t="shared" si="14"/>
        <v>0</v>
      </c>
      <c r="AE42" s="41">
        <f t="shared" si="15"/>
        <v>0</v>
      </c>
      <c r="AF42" s="41">
        <f t="shared" si="16"/>
        <v>0</v>
      </c>
      <c r="AG42" s="41">
        <f t="shared" si="17"/>
        <v>0</v>
      </c>
      <c r="AH42" s="41">
        <f t="shared" si="18"/>
        <v>0</v>
      </c>
      <c r="AI42" s="41">
        <f t="shared" si="19"/>
        <v>183</v>
      </c>
      <c r="AJ42" s="41">
        <f t="shared" si="20"/>
        <v>365</v>
      </c>
      <c r="AK42" s="41">
        <f t="shared" si="21"/>
        <v>181</v>
      </c>
      <c r="AL42" s="42">
        <f t="shared" si="22"/>
        <v>2.6876712328767125</v>
      </c>
      <c r="AM42" s="42">
        <f t="shared" si="23"/>
        <v>486.46849315068494</v>
      </c>
      <c r="AN42" s="43">
        <f t="shared" si="1"/>
        <v>517750</v>
      </c>
      <c r="AO42" s="43"/>
      <c r="AP42" s="42">
        <f t="shared" si="24"/>
        <v>54500</v>
      </c>
      <c r="AQ42" s="43">
        <v>6</v>
      </c>
      <c r="AR42" s="44">
        <f t="shared" si="25"/>
        <v>0.90476190476190477</v>
      </c>
      <c r="AS42" s="45">
        <f t="shared" si="26"/>
        <v>1557.1428571428571</v>
      </c>
      <c r="AU42" s="1">
        <v>490500</v>
      </c>
      <c r="AV42" s="50">
        <v>27250</v>
      </c>
    </row>
    <row r="43" spans="1:48" s="1" customFormat="1" ht="37.200000000000003" thickTop="1" thickBot="1" x14ac:dyDescent="0.55000000000000004">
      <c r="A43" s="33">
        <v>36</v>
      </c>
      <c r="B43" s="34" t="s">
        <v>90</v>
      </c>
      <c r="C43" s="34" t="s">
        <v>965</v>
      </c>
      <c r="D43" s="35" t="s">
        <v>545</v>
      </c>
      <c r="E43" s="35" t="s">
        <v>966</v>
      </c>
      <c r="F43" s="36" t="s">
        <v>1002</v>
      </c>
      <c r="G43" s="36" t="s">
        <v>1420</v>
      </c>
      <c r="H43" s="36" t="s">
        <v>1421</v>
      </c>
      <c r="I43" s="36" t="s">
        <v>1421</v>
      </c>
      <c r="J43" s="36" t="s">
        <v>1421</v>
      </c>
      <c r="K43" s="36">
        <v>350</v>
      </c>
      <c r="L43" s="36" t="s">
        <v>1422</v>
      </c>
      <c r="M43" s="49">
        <v>4</v>
      </c>
      <c r="N43" s="37" t="s">
        <v>1458</v>
      </c>
      <c r="O43" s="37"/>
      <c r="P43" s="36">
        <v>1</v>
      </c>
      <c r="Q43" s="36" t="s">
        <v>1915</v>
      </c>
      <c r="R43" s="36" t="s">
        <v>1921</v>
      </c>
      <c r="S43" s="36" t="s">
        <v>1880</v>
      </c>
      <c r="T43" s="36" t="s">
        <v>1881</v>
      </c>
      <c r="U43" s="38">
        <v>45474</v>
      </c>
      <c r="V43" s="39">
        <v>719269.8</v>
      </c>
      <c r="W43" s="39" t="s">
        <v>2363</v>
      </c>
      <c r="X43" s="39" t="s">
        <v>2363</v>
      </c>
      <c r="Y43" s="40">
        <f t="shared" si="9"/>
        <v>35963.49</v>
      </c>
      <c r="Z43" s="40">
        <f t="shared" si="10"/>
        <v>755233.29</v>
      </c>
      <c r="AA43" s="41" t="str">
        <f t="shared" si="11"/>
        <v>0.0022</v>
      </c>
      <c r="AB43" s="41">
        <f t="shared" si="12"/>
        <v>0</v>
      </c>
      <c r="AC43" s="41">
        <f t="shared" si="13"/>
        <v>0</v>
      </c>
      <c r="AD43" s="41">
        <f t="shared" si="14"/>
        <v>0</v>
      </c>
      <c r="AE43" s="41">
        <f t="shared" si="15"/>
        <v>0</v>
      </c>
      <c r="AF43" s="41">
        <f t="shared" si="16"/>
        <v>0</v>
      </c>
      <c r="AG43" s="41">
        <f t="shared" si="17"/>
        <v>0</v>
      </c>
      <c r="AH43" s="41">
        <f t="shared" si="18"/>
        <v>0</v>
      </c>
      <c r="AI43" s="41">
        <f t="shared" si="19"/>
        <v>183</v>
      </c>
      <c r="AJ43" s="41">
        <f t="shared" si="20"/>
        <v>365</v>
      </c>
      <c r="AK43" s="41">
        <f t="shared" si="21"/>
        <v>181</v>
      </c>
      <c r="AL43" s="42">
        <f t="shared" si="22"/>
        <v>4.3353248219178084</v>
      </c>
      <c r="AM43" s="42">
        <f t="shared" si="23"/>
        <v>784.69379276712334</v>
      </c>
      <c r="AN43" s="43">
        <f t="shared" si="1"/>
        <v>647342.81999999995</v>
      </c>
      <c r="AO43" s="43"/>
      <c r="AP43" s="42">
        <f t="shared" si="24"/>
        <v>107890.47000000009</v>
      </c>
      <c r="AQ43" s="43">
        <v>5</v>
      </c>
      <c r="AR43" s="44">
        <f t="shared" si="25"/>
        <v>0.85714285714285698</v>
      </c>
      <c r="AS43" s="45">
        <f t="shared" si="26"/>
        <v>2055.0565714285717</v>
      </c>
      <c r="AU43" s="1">
        <v>647342.81999999995</v>
      </c>
      <c r="AV43" s="50">
        <v>0</v>
      </c>
    </row>
    <row r="44" spans="1:48" s="1" customFormat="1" ht="37.200000000000003" thickTop="1" thickBot="1" x14ac:dyDescent="0.55000000000000004">
      <c r="A44" s="33">
        <v>37</v>
      </c>
      <c r="B44" s="34" t="s">
        <v>91</v>
      </c>
      <c r="C44" s="34" t="s">
        <v>965</v>
      </c>
      <c r="D44" s="35" t="s">
        <v>546</v>
      </c>
      <c r="E44" s="35" t="s">
        <v>966</v>
      </c>
      <c r="F44" s="36" t="s">
        <v>1003</v>
      </c>
      <c r="G44" s="36" t="s">
        <v>1420</v>
      </c>
      <c r="H44" s="36" t="s">
        <v>1421</v>
      </c>
      <c r="I44" s="36" t="s">
        <v>1421</v>
      </c>
      <c r="J44" s="36" t="s">
        <v>1421</v>
      </c>
      <c r="K44" s="36">
        <v>350</v>
      </c>
      <c r="L44" s="36" t="s">
        <v>1422</v>
      </c>
      <c r="M44" s="49">
        <v>4</v>
      </c>
      <c r="N44" s="37" t="s">
        <v>1459</v>
      </c>
      <c r="O44" s="37"/>
      <c r="P44" s="36">
        <v>1</v>
      </c>
      <c r="Q44" s="36" t="s">
        <v>1915</v>
      </c>
      <c r="R44" s="36" t="s">
        <v>1922</v>
      </c>
      <c r="S44" s="36" t="s">
        <v>1880</v>
      </c>
      <c r="T44" s="36" t="s">
        <v>1883</v>
      </c>
      <c r="U44" s="38">
        <v>45474</v>
      </c>
      <c r="V44" s="39">
        <v>545000</v>
      </c>
      <c r="W44" s="39" t="s">
        <v>2363</v>
      </c>
      <c r="X44" s="39" t="s">
        <v>2363</v>
      </c>
      <c r="Y44" s="40">
        <f t="shared" si="9"/>
        <v>27250</v>
      </c>
      <c r="Z44" s="40">
        <f t="shared" si="10"/>
        <v>572250</v>
      </c>
      <c r="AA44" s="41" t="str">
        <f t="shared" si="11"/>
        <v>0.0018</v>
      </c>
      <c r="AB44" s="41">
        <f t="shared" si="12"/>
        <v>0</v>
      </c>
      <c r="AC44" s="41">
        <f t="shared" si="13"/>
        <v>0</v>
      </c>
      <c r="AD44" s="41">
        <f t="shared" si="14"/>
        <v>0</v>
      </c>
      <c r="AE44" s="41">
        <f t="shared" si="15"/>
        <v>0</v>
      </c>
      <c r="AF44" s="41">
        <f t="shared" si="16"/>
        <v>0</v>
      </c>
      <c r="AG44" s="41">
        <f t="shared" si="17"/>
        <v>0</v>
      </c>
      <c r="AH44" s="41">
        <f t="shared" si="18"/>
        <v>0</v>
      </c>
      <c r="AI44" s="41">
        <f t="shared" si="19"/>
        <v>183</v>
      </c>
      <c r="AJ44" s="41">
        <f t="shared" si="20"/>
        <v>365</v>
      </c>
      <c r="AK44" s="41">
        <f t="shared" si="21"/>
        <v>181</v>
      </c>
      <c r="AL44" s="42">
        <f t="shared" si="22"/>
        <v>2.6876712328767125</v>
      </c>
      <c r="AM44" s="42">
        <f t="shared" si="23"/>
        <v>486.46849315068494</v>
      </c>
      <c r="AN44" s="43">
        <f t="shared" si="1"/>
        <v>517750</v>
      </c>
      <c r="AO44" s="43"/>
      <c r="AP44" s="42">
        <f t="shared" si="24"/>
        <v>54500</v>
      </c>
      <c r="AQ44" s="43">
        <v>6</v>
      </c>
      <c r="AR44" s="44">
        <f t="shared" si="25"/>
        <v>0.90476190476190477</v>
      </c>
      <c r="AS44" s="45">
        <f t="shared" si="26"/>
        <v>1557.1428571428571</v>
      </c>
      <c r="AU44" s="1">
        <v>490500</v>
      </c>
      <c r="AV44" s="50">
        <v>27250</v>
      </c>
    </row>
    <row r="45" spans="1:48" s="1" customFormat="1" ht="37.200000000000003" thickTop="1" thickBot="1" x14ac:dyDescent="0.55000000000000004">
      <c r="A45" s="33">
        <v>38</v>
      </c>
      <c r="B45" s="34" t="s">
        <v>92</v>
      </c>
      <c r="C45" s="34" t="s">
        <v>965</v>
      </c>
      <c r="D45" s="35" t="s">
        <v>547</v>
      </c>
      <c r="E45" s="35" t="s">
        <v>966</v>
      </c>
      <c r="F45" s="36" t="s">
        <v>1004</v>
      </c>
      <c r="G45" s="36" t="s">
        <v>1420</v>
      </c>
      <c r="H45" s="36" t="s">
        <v>1421</v>
      </c>
      <c r="I45" s="36" t="s">
        <v>1421</v>
      </c>
      <c r="J45" s="36" t="s">
        <v>1421</v>
      </c>
      <c r="K45" s="36">
        <v>350</v>
      </c>
      <c r="L45" s="36" t="s">
        <v>1422</v>
      </c>
      <c r="M45" s="49">
        <v>4</v>
      </c>
      <c r="N45" s="37" t="s">
        <v>1460</v>
      </c>
      <c r="O45" s="37"/>
      <c r="P45" s="36">
        <v>1</v>
      </c>
      <c r="Q45" s="36" t="s">
        <v>1915</v>
      </c>
      <c r="R45" s="36" t="s">
        <v>1923</v>
      </c>
      <c r="S45" s="36" t="s">
        <v>1880</v>
      </c>
      <c r="T45" s="36" t="s">
        <v>1883</v>
      </c>
      <c r="U45" s="38">
        <v>45474</v>
      </c>
      <c r="V45" s="39">
        <v>719269.8</v>
      </c>
      <c r="W45" s="39" t="s">
        <v>2363</v>
      </c>
      <c r="X45" s="39" t="s">
        <v>2363</v>
      </c>
      <c r="Y45" s="40">
        <f t="shared" si="9"/>
        <v>35963.49</v>
      </c>
      <c r="Z45" s="40">
        <f t="shared" si="10"/>
        <v>755233.29</v>
      </c>
      <c r="AA45" s="41" t="str">
        <f t="shared" si="11"/>
        <v>0.0022</v>
      </c>
      <c r="AB45" s="41">
        <f t="shared" si="12"/>
        <v>0</v>
      </c>
      <c r="AC45" s="41">
        <f t="shared" si="13"/>
        <v>0</v>
      </c>
      <c r="AD45" s="41">
        <f t="shared" si="14"/>
        <v>0</v>
      </c>
      <c r="AE45" s="41">
        <f t="shared" si="15"/>
        <v>0</v>
      </c>
      <c r="AF45" s="41">
        <f t="shared" si="16"/>
        <v>0</v>
      </c>
      <c r="AG45" s="41">
        <f t="shared" si="17"/>
        <v>0</v>
      </c>
      <c r="AH45" s="41">
        <f t="shared" si="18"/>
        <v>0</v>
      </c>
      <c r="AI45" s="41">
        <f t="shared" si="19"/>
        <v>183</v>
      </c>
      <c r="AJ45" s="41">
        <f t="shared" si="20"/>
        <v>365</v>
      </c>
      <c r="AK45" s="41">
        <f t="shared" si="21"/>
        <v>181</v>
      </c>
      <c r="AL45" s="42">
        <f t="shared" si="22"/>
        <v>4.3353248219178084</v>
      </c>
      <c r="AM45" s="42">
        <f t="shared" si="23"/>
        <v>784.69379276712334</v>
      </c>
      <c r="AN45" s="43">
        <f t="shared" si="1"/>
        <v>683306.37999999989</v>
      </c>
      <c r="AO45" s="43"/>
      <c r="AP45" s="42">
        <f t="shared" si="24"/>
        <v>71926.910000000149</v>
      </c>
      <c r="AQ45" s="43">
        <v>6</v>
      </c>
      <c r="AR45" s="44">
        <f t="shared" si="25"/>
        <v>0.90476199744849684</v>
      </c>
      <c r="AS45" s="45">
        <f t="shared" si="26"/>
        <v>2055.0565714285717</v>
      </c>
      <c r="AU45" s="1">
        <v>647342.87999999989</v>
      </c>
      <c r="AV45" s="50">
        <v>35963.5</v>
      </c>
    </row>
    <row r="46" spans="1:48" s="1" customFormat="1" ht="37.200000000000003" thickTop="1" thickBot="1" x14ac:dyDescent="0.55000000000000004">
      <c r="A46" s="33">
        <v>39</v>
      </c>
      <c r="B46" s="34" t="s">
        <v>93</v>
      </c>
      <c r="C46" s="34" t="s">
        <v>965</v>
      </c>
      <c r="D46" s="35" t="s">
        <v>548</v>
      </c>
      <c r="E46" s="35" t="s">
        <v>966</v>
      </c>
      <c r="F46" s="36" t="s">
        <v>1005</v>
      </c>
      <c r="G46" s="36" t="s">
        <v>1420</v>
      </c>
      <c r="H46" s="36" t="s">
        <v>1421</v>
      </c>
      <c r="I46" s="36" t="s">
        <v>1421</v>
      </c>
      <c r="J46" s="36" t="s">
        <v>1421</v>
      </c>
      <c r="K46" s="36">
        <v>350</v>
      </c>
      <c r="L46" s="36" t="s">
        <v>1422</v>
      </c>
      <c r="M46" s="49">
        <v>4</v>
      </c>
      <c r="N46" s="37" t="s">
        <v>1461</v>
      </c>
      <c r="O46" s="37"/>
      <c r="P46" s="36">
        <v>1</v>
      </c>
      <c r="Q46" s="36" t="s">
        <v>1915</v>
      </c>
      <c r="R46" s="36" t="s">
        <v>1924</v>
      </c>
      <c r="S46" s="36" t="s">
        <v>1880</v>
      </c>
      <c r="T46" s="36" t="s">
        <v>1881</v>
      </c>
      <c r="U46" s="38">
        <v>45474</v>
      </c>
      <c r="V46" s="39">
        <v>545000</v>
      </c>
      <c r="W46" s="39" t="s">
        <v>2363</v>
      </c>
      <c r="X46" s="39" t="s">
        <v>2363</v>
      </c>
      <c r="Y46" s="40">
        <f t="shared" si="9"/>
        <v>27250</v>
      </c>
      <c r="Z46" s="40">
        <f t="shared" si="10"/>
        <v>572250</v>
      </c>
      <c r="AA46" s="41" t="str">
        <f t="shared" si="11"/>
        <v>0.0018</v>
      </c>
      <c r="AB46" s="41">
        <f t="shared" si="12"/>
        <v>0</v>
      </c>
      <c r="AC46" s="41">
        <f t="shared" si="13"/>
        <v>0</v>
      </c>
      <c r="AD46" s="41">
        <f t="shared" si="14"/>
        <v>0</v>
      </c>
      <c r="AE46" s="41">
        <f t="shared" si="15"/>
        <v>0</v>
      </c>
      <c r="AF46" s="41">
        <f t="shared" si="16"/>
        <v>0</v>
      </c>
      <c r="AG46" s="41">
        <f t="shared" si="17"/>
        <v>0</v>
      </c>
      <c r="AH46" s="41">
        <f t="shared" si="18"/>
        <v>0</v>
      </c>
      <c r="AI46" s="41">
        <f t="shared" si="19"/>
        <v>183</v>
      </c>
      <c r="AJ46" s="41">
        <f t="shared" si="20"/>
        <v>365</v>
      </c>
      <c r="AK46" s="41">
        <f t="shared" si="21"/>
        <v>181</v>
      </c>
      <c r="AL46" s="42">
        <f t="shared" si="22"/>
        <v>2.6876712328767125</v>
      </c>
      <c r="AM46" s="42">
        <f t="shared" si="23"/>
        <v>486.46849315068494</v>
      </c>
      <c r="AN46" s="43">
        <f t="shared" si="1"/>
        <v>517750</v>
      </c>
      <c r="AO46" s="43"/>
      <c r="AP46" s="42">
        <f t="shared" si="24"/>
        <v>54500</v>
      </c>
      <c r="AQ46" s="43">
        <v>6</v>
      </c>
      <c r="AR46" s="44">
        <f t="shared" si="25"/>
        <v>0.90476190476190477</v>
      </c>
      <c r="AS46" s="45">
        <f t="shared" si="26"/>
        <v>1557.1428571428571</v>
      </c>
      <c r="AU46" s="1">
        <v>490500</v>
      </c>
      <c r="AV46" s="50">
        <v>27250</v>
      </c>
    </row>
    <row r="47" spans="1:48" s="1" customFormat="1" ht="37.200000000000003" thickTop="1" thickBot="1" x14ac:dyDescent="0.55000000000000004">
      <c r="A47" s="33">
        <v>40</v>
      </c>
      <c r="B47" s="34" t="s">
        <v>94</v>
      </c>
      <c r="C47" s="34" t="s">
        <v>965</v>
      </c>
      <c r="D47" s="35" t="s">
        <v>549</v>
      </c>
      <c r="E47" s="35" t="s">
        <v>966</v>
      </c>
      <c r="F47" s="36" t="s">
        <v>1006</v>
      </c>
      <c r="G47" s="36" t="s">
        <v>1420</v>
      </c>
      <c r="H47" s="36" t="s">
        <v>1421</v>
      </c>
      <c r="I47" s="36" t="s">
        <v>1421</v>
      </c>
      <c r="J47" s="36" t="s">
        <v>1421</v>
      </c>
      <c r="K47" s="36">
        <v>350</v>
      </c>
      <c r="L47" s="36" t="s">
        <v>1422</v>
      </c>
      <c r="M47" s="49">
        <v>4</v>
      </c>
      <c r="N47" s="37" t="s">
        <v>1462</v>
      </c>
      <c r="O47" s="37"/>
      <c r="P47" s="36">
        <v>1</v>
      </c>
      <c r="Q47" s="36" t="s">
        <v>1915</v>
      </c>
      <c r="R47" s="36" t="s">
        <v>1925</v>
      </c>
      <c r="S47" s="36" t="s">
        <v>1880</v>
      </c>
      <c r="T47" s="36" t="s">
        <v>1883</v>
      </c>
      <c r="U47" s="38">
        <v>45474</v>
      </c>
      <c r="V47" s="39">
        <v>545000</v>
      </c>
      <c r="W47" s="39" t="s">
        <v>2363</v>
      </c>
      <c r="X47" s="39" t="s">
        <v>2363</v>
      </c>
      <c r="Y47" s="40">
        <f t="shared" si="9"/>
        <v>27250</v>
      </c>
      <c r="Z47" s="40">
        <f t="shared" si="10"/>
        <v>572250</v>
      </c>
      <c r="AA47" s="41" t="str">
        <f t="shared" si="11"/>
        <v>0.0018</v>
      </c>
      <c r="AB47" s="41">
        <f t="shared" si="12"/>
        <v>0</v>
      </c>
      <c r="AC47" s="41">
        <f t="shared" si="13"/>
        <v>0</v>
      </c>
      <c r="AD47" s="41">
        <f t="shared" si="14"/>
        <v>0</v>
      </c>
      <c r="AE47" s="41">
        <f t="shared" si="15"/>
        <v>0</v>
      </c>
      <c r="AF47" s="41">
        <f t="shared" si="16"/>
        <v>0</v>
      </c>
      <c r="AG47" s="41">
        <f t="shared" si="17"/>
        <v>0</v>
      </c>
      <c r="AH47" s="41">
        <f t="shared" si="18"/>
        <v>0</v>
      </c>
      <c r="AI47" s="41">
        <f t="shared" si="19"/>
        <v>183</v>
      </c>
      <c r="AJ47" s="41">
        <f t="shared" si="20"/>
        <v>365</v>
      </c>
      <c r="AK47" s="41">
        <f t="shared" si="21"/>
        <v>181</v>
      </c>
      <c r="AL47" s="42">
        <f t="shared" si="22"/>
        <v>2.6876712328767125</v>
      </c>
      <c r="AM47" s="42">
        <f t="shared" si="23"/>
        <v>486.46849315068494</v>
      </c>
      <c r="AN47" s="43">
        <f t="shared" si="1"/>
        <v>517750</v>
      </c>
      <c r="AO47" s="43"/>
      <c r="AP47" s="42">
        <f t="shared" si="24"/>
        <v>54500</v>
      </c>
      <c r="AQ47" s="43">
        <v>6</v>
      </c>
      <c r="AR47" s="44">
        <f t="shared" si="25"/>
        <v>0.90476190476190477</v>
      </c>
      <c r="AS47" s="45">
        <f t="shared" si="26"/>
        <v>1557.1428571428571</v>
      </c>
      <c r="AU47" s="1">
        <v>490500</v>
      </c>
      <c r="AV47" s="50">
        <v>27250</v>
      </c>
    </row>
    <row r="48" spans="1:48" s="1" customFormat="1" ht="37.200000000000003" thickTop="1" thickBot="1" x14ac:dyDescent="0.55000000000000004">
      <c r="A48" s="33">
        <v>41</v>
      </c>
      <c r="B48" s="34" t="s">
        <v>95</v>
      </c>
      <c r="C48" s="34" t="s">
        <v>965</v>
      </c>
      <c r="D48" s="35" t="s">
        <v>550</v>
      </c>
      <c r="E48" s="35" t="s">
        <v>966</v>
      </c>
      <c r="F48" s="36" t="s">
        <v>1007</v>
      </c>
      <c r="G48" s="36" t="s">
        <v>1420</v>
      </c>
      <c r="H48" s="36" t="s">
        <v>1421</v>
      </c>
      <c r="I48" s="36" t="s">
        <v>1421</v>
      </c>
      <c r="J48" s="36" t="s">
        <v>1421</v>
      </c>
      <c r="K48" s="36">
        <v>350</v>
      </c>
      <c r="L48" s="36" t="s">
        <v>1422</v>
      </c>
      <c r="M48" s="49">
        <v>4</v>
      </c>
      <c r="N48" s="37" t="s">
        <v>1463</v>
      </c>
      <c r="O48" s="37"/>
      <c r="P48" s="36">
        <v>1</v>
      </c>
      <c r="Q48" s="36" t="s">
        <v>1915</v>
      </c>
      <c r="R48" s="36" t="s">
        <v>1926</v>
      </c>
      <c r="S48" s="36" t="s">
        <v>1880</v>
      </c>
      <c r="T48" s="36" t="s">
        <v>1883</v>
      </c>
      <c r="U48" s="38">
        <v>45474</v>
      </c>
      <c r="V48" s="39">
        <v>719269.8</v>
      </c>
      <c r="W48" s="39" t="s">
        <v>2363</v>
      </c>
      <c r="X48" s="39" t="s">
        <v>2363</v>
      </c>
      <c r="Y48" s="40">
        <f t="shared" si="9"/>
        <v>35963.49</v>
      </c>
      <c r="Z48" s="40">
        <f t="shared" si="10"/>
        <v>755233.29</v>
      </c>
      <c r="AA48" s="41" t="str">
        <f t="shared" si="11"/>
        <v>0.0022</v>
      </c>
      <c r="AB48" s="41">
        <f t="shared" si="12"/>
        <v>0</v>
      </c>
      <c r="AC48" s="41">
        <f t="shared" si="13"/>
        <v>0</v>
      </c>
      <c r="AD48" s="41">
        <f t="shared" si="14"/>
        <v>0</v>
      </c>
      <c r="AE48" s="41">
        <f t="shared" si="15"/>
        <v>0</v>
      </c>
      <c r="AF48" s="41">
        <f t="shared" si="16"/>
        <v>0</v>
      </c>
      <c r="AG48" s="41">
        <f t="shared" si="17"/>
        <v>0</v>
      </c>
      <c r="AH48" s="41">
        <f t="shared" si="18"/>
        <v>0</v>
      </c>
      <c r="AI48" s="41">
        <f t="shared" si="19"/>
        <v>183</v>
      </c>
      <c r="AJ48" s="41">
        <f t="shared" si="20"/>
        <v>365</v>
      </c>
      <c r="AK48" s="41">
        <f t="shared" si="21"/>
        <v>181</v>
      </c>
      <c r="AL48" s="42">
        <f t="shared" si="22"/>
        <v>4.3353248219178084</v>
      </c>
      <c r="AM48" s="42">
        <f t="shared" si="23"/>
        <v>784.69379276712334</v>
      </c>
      <c r="AN48" s="43">
        <f t="shared" si="1"/>
        <v>683306.37999999989</v>
      </c>
      <c r="AO48" s="43"/>
      <c r="AP48" s="42">
        <f t="shared" si="24"/>
        <v>71926.910000000149</v>
      </c>
      <c r="AQ48" s="43">
        <v>6</v>
      </c>
      <c r="AR48" s="44">
        <f t="shared" si="25"/>
        <v>0.90476199744849684</v>
      </c>
      <c r="AS48" s="45">
        <f t="shared" si="26"/>
        <v>2055.0565714285717</v>
      </c>
      <c r="AU48" s="1">
        <v>647342.87999999989</v>
      </c>
      <c r="AV48" s="50">
        <v>35963.5</v>
      </c>
    </row>
    <row r="49" spans="1:48" s="1" customFormat="1" ht="37.200000000000003" thickTop="1" thickBot="1" x14ac:dyDescent="0.55000000000000004">
      <c r="A49" s="33">
        <v>42</v>
      </c>
      <c r="B49" s="34" t="s">
        <v>96</v>
      </c>
      <c r="C49" s="34" t="s">
        <v>965</v>
      </c>
      <c r="D49" s="35" t="s">
        <v>551</v>
      </c>
      <c r="E49" s="35" t="s">
        <v>966</v>
      </c>
      <c r="F49" s="36" t="s">
        <v>1008</v>
      </c>
      <c r="G49" s="36" t="s">
        <v>1420</v>
      </c>
      <c r="H49" s="36" t="s">
        <v>1421</v>
      </c>
      <c r="I49" s="36" t="s">
        <v>1421</v>
      </c>
      <c r="J49" s="36" t="s">
        <v>1421</v>
      </c>
      <c r="K49" s="36">
        <v>343.75</v>
      </c>
      <c r="L49" s="36" t="s">
        <v>1422</v>
      </c>
      <c r="M49" s="49">
        <v>4</v>
      </c>
      <c r="N49" s="37" t="s">
        <v>1464</v>
      </c>
      <c r="O49" s="37"/>
      <c r="P49" s="36">
        <v>1</v>
      </c>
      <c r="Q49" s="36" t="s">
        <v>1915</v>
      </c>
      <c r="R49" s="36" t="s">
        <v>1927</v>
      </c>
      <c r="S49" s="36" t="s">
        <v>1880</v>
      </c>
      <c r="T49" s="36" t="s">
        <v>1881</v>
      </c>
      <c r="U49" s="38">
        <v>45474</v>
      </c>
      <c r="V49" s="39">
        <v>704144.75</v>
      </c>
      <c r="W49" s="39" t="s">
        <v>2363</v>
      </c>
      <c r="X49" s="39" t="s">
        <v>2363</v>
      </c>
      <c r="Y49" s="40">
        <f t="shared" si="9"/>
        <v>35207.237500000003</v>
      </c>
      <c r="Z49" s="40">
        <f t="shared" si="10"/>
        <v>739351.98750000005</v>
      </c>
      <c r="AA49" s="41" t="str">
        <f t="shared" si="11"/>
        <v>0.0022</v>
      </c>
      <c r="AB49" s="41">
        <f t="shared" si="12"/>
        <v>0</v>
      </c>
      <c r="AC49" s="41">
        <f t="shared" si="13"/>
        <v>0</v>
      </c>
      <c r="AD49" s="41">
        <f t="shared" si="14"/>
        <v>0</v>
      </c>
      <c r="AE49" s="41">
        <f t="shared" si="15"/>
        <v>0</v>
      </c>
      <c r="AF49" s="41">
        <f t="shared" si="16"/>
        <v>0</v>
      </c>
      <c r="AG49" s="41">
        <f t="shared" si="17"/>
        <v>0</v>
      </c>
      <c r="AH49" s="41">
        <f t="shared" si="18"/>
        <v>0</v>
      </c>
      <c r="AI49" s="41">
        <f t="shared" si="19"/>
        <v>183</v>
      </c>
      <c r="AJ49" s="41">
        <f t="shared" si="20"/>
        <v>365</v>
      </c>
      <c r="AK49" s="41">
        <f t="shared" si="21"/>
        <v>181</v>
      </c>
      <c r="AL49" s="42">
        <f t="shared" si="22"/>
        <v>4.2441601369863022</v>
      </c>
      <c r="AM49" s="42">
        <f t="shared" si="23"/>
        <v>768.19298479452073</v>
      </c>
      <c r="AN49" s="43">
        <f t="shared" si="1"/>
        <v>633730.27</v>
      </c>
      <c r="AO49" s="43"/>
      <c r="AP49" s="42">
        <f t="shared" si="24"/>
        <v>105621.71750000003</v>
      </c>
      <c r="AQ49" s="43">
        <v>5</v>
      </c>
      <c r="AR49" s="44">
        <f t="shared" si="25"/>
        <v>0.85714285038017834</v>
      </c>
      <c r="AS49" s="45">
        <f t="shared" si="26"/>
        <v>2048.4210909090907</v>
      </c>
      <c r="AU49" s="1">
        <v>528108.56000000006</v>
      </c>
      <c r="AV49" s="50">
        <v>105621.71</v>
      </c>
    </row>
    <row r="50" spans="1:48" s="1" customFormat="1" ht="37.200000000000003" thickTop="1" thickBot="1" x14ac:dyDescent="0.55000000000000004">
      <c r="A50" s="33">
        <v>43</v>
      </c>
      <c r="B50" s="34" t="s">
        <v>97</v>
      </c>
      <c r="C50" s="34" t="s">
        <v>965</v>
      </c>
      <c r="D50" s="35" t="s">
        <v>552</v>
      </c>
      <c r="E50" s="35" t="s">
        <v>966</v>
      </c>
      <c r="F50" s="36" t="s">
        <v>1009</v>
      </c>
      <c r="G50" s="36" t="s">
        <v>1420</v>
      </c>
      <c r="H50" s="36" t="s">
        <v>1421</v>
      </c>
      <c r="I50" s="36" t="s">
        <v>1421</v>
      </c>
      <c r="J50" s="36" t="s">
        <v>1421</v>
      </c>
      <c r="K50" s="36">
        <v>350</v>
      </c>
      <c r="L50" s="36" t="s">
        <v>1422</v>
      </c>
      <c r="M50" s="49">
        <v>4</v>
      </c>
      <c r="N50" s="37" t="s">
        <v>1465</v>
      </c>
      <c r="O50" s="37"/>
      <c r="P50" s="36">
        <v>1</v>
      </c>
      <c r="Q50" s="36" t="s">
        <v>1915</v>
      </c>
      <c r="R50" s="36" t="s">
        <v>1928</v>
      </c>
      <c r="S50" s="36" t="s">
        <v>1880</v>
      </c>
      <c r="T50" s="36" t="s">
        <v>1881</v>
      </c>
      <c r="U50" s="38">
        <v>45474</v>
      </c>
      <c r="V50" s="39">
        <v>719269.8</v>
      </c>
      <c r="W50" s="39" t="s">
        <v>2363</v>
      </c>
      <c r="X50" s="39" t="s">
        <v>2363</v>
      </c>
      <c r="Y50" s="40">
        <f t="shared" si="9"/>
        <v>35963.49</v>
      </c>
      <c r="Z50" s="40">
        <f t="shared" si="10"/>
        <v>755233.29</v>
      </c>
      <c r="AA50" s="41" t="str">
        <f t="shared" si="11"/>
        <v>0.0022</v>
      </c>
      <c r="AB50" s="41">
        <f t="shared" si="12"/>
        <v>0</v>
      </c>
      <c r="AC50" s="41">
        <f t="shared" si="13"/>
        <v>0</v>
      </c>
      <c r="AD50" s="41">
        <f t="shared" si="14"/>
        <v>0</v>
      </c>
      <c r="AE50" s="41">
        <f t="shared" si="15"/>
        <v>0</v>
      </c>
      <c r="AF50" s="41">
        <f t="shared" si="16"/>
        <v>0</v>
      </c>
      <c r="AG50" s="41">
        <f t="shared" si="17"/>
        <v>0</v>
      </c>
      <c r="AH50" s="41">
        <f t="shared" si="18"/>
        <v>0</v>
      </c>
      <c r="AI50" s="41">
        <f t="shared" si="19"/>
        <v>183</v>
      </c>
      <c r="AJ50" s="41">
        <f t="shared" si="20"/>
        <v>365</v>
      </c>
      <c r="AK50" s="41">
        <f t="shared" si="21"/>
        <v>181</v>
      </c>
      <c r="AL50" s="42">
        <f t="shared" si="22"/>
        <v>4.3353248219178084</v>
      </c>
      <c r="AM50" s="42">
        <f t="shared" si="23"/>
        <v>784.69379276712334</v>
      </c>
      <c r="AN50" s="43">
        <f t="shared" si="1"/>
        <v>683306.30999999994</v>
      </c>
      <c r="AO50" s="43"/>
      <c r="AP50" s="42">
        <f t="shared" si="24"/>
        <v>71926.980000000098</v>
      </c>
      <c r="AQ50" s="43">
        <v>6</v>
      </c>
      <c r="AR50" s="44">
        <f t="shared" si="25"/>
        <v>0.90476190476190466</v>
      </c>
      <c r="AS50" s="45">
        <f t="shared" si="26"/>
        <v>2055.0565714285717</v>
      </c>
      <c r="AU50" s="1">
        <v>539452.35</v>
      </c>
      <c r="AV50" s="50">
        <v>143853.96</v>
      </c>
    </row>
    <row r="51" spans="1:48" s="1" customFormat="1" ht="37.200000000000003" thickTop="1" thickBot="1" x14ac:dyDescent="0.55000000000000004">
      <c r="A51" s="33">
        <v>44</v>
      </c>
      <c r="B51" s="34" t="s">
        <v>98</v>
      </c>
      <c r="C51" s="34" t="s">
        <v>965</v>
      </c>
      <c r="D51" s="35" t="s">
        <v>553</v>
      </c>
      <c r="E51" s="35" t="s">
        <v>966</v>
      </c>
      <c r="F51" s="36" t="s">
        <v>1010</v>
      </c>
      <c r="G51" s="36" t="s">
        <v>1420</v>
      </c>
      <c r="H51" s="36" t="s">
        <v>1421</v>
      </c>
      <c r="I51" s="36" t="s">
        <v>1421</v>
      </c>
      <c r="J51" s="36" t="s">
        <v>1421</v>
      </c>
      <c r="K51" s="36">
        <v>375</v>
      </c>
      <c r="L51" s="36" t="s">
        <v>1422</v>
      </c>
      <c r="M51" s="49">
        <v>4</v>
      </c>
      <c r="N51" s="37" t="s">
        <v>1466</v>
      </c>
      <c r="O51" s="37"/>
      <c r="P51" s="36">
        <v>1</v>
      </c>
      <c r="Q51" s="36" t="s">
        <v>1929</v>
      </c>
      <c r="R51" s="36" t="s">
        <v>1930</v>
      </c>
      <c r="S51" s="36" t="s">
        <v>1880</v>
      </c>
      <c r="T51" s="36" t="s">
        <v>1881</v>
      </c>
      <c r="U51" s="38">
        <v>45474</v>
      </c>
      <c r="V51" s="39">
        <v>652270</v>
      </c>
      <c r="W51" s="39" t="s">
        <v>2363</v>
      </c>
      <c r="X51" s="39" t="s">
        <v>2363</v>
      </c>
      <c r="Y51" s="40">
        <f t="shared" si="9"/>
        <v>32613.5</v>
      </c>
      <c r="Z51" s="40">
        <f t="shared" si="10"/>
        <v>684883.5</v>
      </c>
      <c r="AA51" s="41" t="str">
        <f t="shared" si="11"/>
        <v>0.0018</v>
      </c>
      <c r="AB51" s="41">
        <f t="shared" si="12"/>
        <v>0</v>
      </c>
      <c r="AC51" s="41">
        <f t="shared" si="13"/>
        <v>0</v>
      </c>
      <c r="AD51" s="41">
        <f t="shared" si="14"/>
        <v>0</v>
      </c>
      <c r="AE51" s="41">
        <f t="shared" si="15"/>
        <v>0</v>
      </c>
      <c r="AF51" s="41">
        <f t="shared" si="16"/>
        <v>0</v>
      </c>
      <c r="AG51" s="41">
        <f t="shared" si="17"/>
        <v>0</v>
      </c>
      <c r="AH51" s="41">
        <f t="shared" si="18"/>
        <v>0</v>
      </c>
      <c r="AI51" s="41">
        <f t="shared" si="19"/>
        <v>183</v>
      </c>
      <c r="AJ51" s="41">
        <f t="shared" si="20"/>
        <v>365</v>
      </c>
      <c r="AK51" s="41">
        <f t="shared" si="21"/>
        <v>181</v>
      </c>
      <c r="AL51" s="42">
        <f t="shared" si="22"/>
        <v>3.2166739726027398</v>
      </c>
      <c r="AM51" s="42">
        <f t="shared" si="23"/>
        <v>582.21798904109585</v>
      </c>
      <c r="AN51" s="43">
        <f t="shared" si="1"/>
        <v>619656.5</v>
      </c>
      <c r="AO51" s="43"/>
      <c r="AP51" s="42">
        <f t="shared" si="24"/>
        <v>65227</v>
      </c>
      <c r="AQ51" s="43">
        <v>6</v>
      </c>
      <c r="AR51" s="44">
        <f t="shared" si="25"/>
        <v>0.90476190476190477</v>
      </c>
      <c r="AS51" s="45">
        <f t="shared" si="26"/>
        <v>1739.3866666666668</v>
      </c>
      <c r="AU51" s="1">
        <v>587043</v>
      </c>
      <c r="AV51" s="50">
        <v>32613.5</v>
      </c>
    </row>
    <row r="52" spans="1:48" s="1" customFormat="1" ht="37.200000000000003" thickTop="1" thickBot="1" x14ac:dyDescent="0.55000000000000004">
      <c r="A52" s="33">
        <v>45</v>
      </c>
      <c r="B52" s="34" t="s">
        <v>99</v>
      </c>
      <c r="C52" s="34" t="s">
        <v>965</v>
      </c>
      <c r="D52" s="35" t="s">
        <v>554</v>
      </c>
      <c r="E52" s="35" t="s">
        <v>966</v>
      </c>
      <c r="F52" s="36" t="s">
        <v>1011</v>
      </c>
      <c r="G52" s="36" t="s">
        <v>1420</v>
      </c>
      <c r="H52" s="36" t="s">
        <v>1421</v>
      </c>
      <c r="I52" s="36" t="s">
        <v>1421</v>
      </c>
      <c r="J52" s="36" t="s">
        <v>1421</v>
      </c>
      <c r="K52" s="36">
        <v>368.75</v>
      </c>
      <c r="L52" s="36" t="s">
        <v>1422</v>
      </c>
      <c r="M52" s="49">
        <v>4</v>
      </c>
      <c r="N52" s="37" t="s">
        <v>1467</v>
      </c>
      <c r="O52" s="37"/>
      <c r="P52" s="36">
        <v>1</v>
      </c>
      <c r="Q52" s="36" t="s">
        <v>1931</v>
      </c>
      <c r="R52" s="36" t="s">
        <v>1932</v>
      </c>
      <c r="S52" s="36" t="s">
        <v>1880</v>
      </c>
      <c r="T52" s="36" t="s">
        <v>1901</v>
      </c>
      <c r="U52" s="38">
        <v>45474</v>
      </c>
      <c r="V52" s="39">
        <v>654645</v>
      </c>
      <c r="W52" s="39" t="s">
        <v>2363</v>
      </c>
      <c r="X52" s="39" t="s">
        <v>2363</v>
      </c>
      <c r="Y52" s="40">
        <f t="shared" si="9"/>
        <v>32732.25</v>
      </c>
      <c r="Z52" s="40">
        <f t="shared" si="10"/>
        <v>687377.25</v>
      </c>
      <c r="AA52" s="41" t="str">
        <f t="shared" si="11"/>
        <v>0.0018</v>
      </c>
      <c r="AB52" s="41">
        <f t="shared" si="12"/>
        <v>0</v>
      </c>
      <c r="AC52" s="41">
        <f t="shared" si="13"/>
        <v>0</v>
      </c>
      <c r="AD52" s="41">
        <f t="shared" si="14"/>
        <v>0</v>
      </c>
      <c r="AE52" s="41">
        <f t="shared" si="15"/>
        <v>0</v>
      </c>
      <c r="AF52" s="41">
        <f t="shared" si="16"/>
        <v>0</v>
      </c>
      <c r="AG52" s="41">
        <f t="shared" si="17"/>
        <v>0</v>
      </c>
      <c r="AH52" s="41">
        <f t="shared" si="18"/>
        <v>0</v>
      </c>
      <c r="AI52" s="41">
        <f t="shared" si="19"/>
        <v>183</v>
      </c>
      <c r="AJ52" s="41">
        <f t="shared" si="20"/>
        <v>365</v>
      </c>
      <c r="AK52" s="41">
        <f t="shared" si="21"/>
        <v>181</v>
      </c>
      <c r="AL52" s="42">
        <f t="shared" si="22"/>
        <v>3.2283863013698628</v>
      </c>
      <c r="AM52" s="42">
        <f t="shared" si="23"/>
        <v>584.33792054794515</v>
      </c>
      <c r="AN52" s="43">
        <f t="shared" si="1"/>
        <v>589180.5</v>
      </c>
      <c r="AO52" s="43"/>
      <c r="AP52" s="42">
        <f t="shared" si="24"/>
        <v>98196.75</v>
      </c>
      <c r="AQ52" s="43">
        <v>5</v>
      </c>
      <c r="AR52" s="44">
        <f t="shared" si="25"/>
        <v>0.8571428571428571</v>
      </c>
      <c r="AS52" s="45">
        <f t="shared" si="26"/>
        <v>1775.3084745762712</v>
      </c>
      <c r="AU52" s="1">
        <v>490983.75</v>
      </c>
      <c r="AV52" s="50">
        <v>98196.75</v>
      </c>
    </row>
    <row r="53" spans="1:48" s="1" customFormat="1" ht="37.200000000000003" thickTop="1" thickBot="1" x14ac:dyDescent="0.55000000000000004">
      <c r="A53" s="33">
        <v>46</v>
      </c>
      <c r="B53" s="34" t="s">
        <v>100</v>
      </c>
      <c r="C53" s="34" t="s">
        <v>965</v>
      </c>
      <c r="D53" s="35" t="s">
        <v>555</v>
      </c>
      <c r="E53" s="35" t="s">
        <v>966</v>
      </c>
      <c r="F53" s="36" t="s">
        <v>1012</v>
      </c>
      <c r="G53" s="36" t="s">
        <v>1420</v>
      </c>
      <c r="H53" s="36" t="s">
        <v>1421</v>
      </c>
      <c r="I53" s="36" t="s">
        <v>1421</v>
      </c>
      <c r="J53" s="36" t="s">
        <v>1421</v>
      </c>
      <c r="K53" s="36">
        <v>343.75</v>
      </c>
      <c r="L53" s="36" t="s">
        <v>1422</v>
      </c>
      <c r="M53" s="49">
        <v>4</v>
      </c>
      <c r="N53" s="37" t="s">
        <v>1468</v>
      </c>
      <c r="O53" s="37"/>
      <c r="P53" s="36">
        <v>1</v>
      </c>
      <c r="Q53" s="36" t="s">
        <v>1933</v>
      </c>
      <c r="R53" s="36" t="s">
        <v>1934</v>
      </c>
      <c r="S53" s="36" t="s">
        <v>1880</v>
      </c>
      <c r="T53" s="36" t="s">
        <v>1883</v>
      </c>
      <c r="U53" s="38">
        <v>45474</v>
      </c>
      <c r="V53" s="39">
        <v>645145</v>
      </c>
      <c r="W53" s="39" t="s">
        <v>2363</v>
      </c>
      <c r="X53" s="39" t="s">
        <v>2363</v>
      </c>
      <c r="Y53" s="40">
        <f t="shared" si="9"/>
        <v>32257.25</v>
      </c>
      <c r="Z53" s="40">
        <f t="shared" si="10"/>
        <v>677402.25</v>
      </c>
      <c r="AA53" s="41" t="str">
        <f t="shared" si="11"/>
        <v>0.0018</v>
      </c>
      <c r="AB53" s="41">
        <f t="shared" si="12"/>
        <v>0</v>
      </c>
      <c r="AC53" s="41">
        <f t="shared" si="13"/>
        <v>0</v>
      </c>
      <c r="AD53" s="41">
        <f t="shared" si="14"/>
        <v>0</v>
      </c>
      <c r="AE53" s="41">
        <f t="shared" si="15"/>
        <v>0</v>
      </c>
      <c r="AF53" s="41">
        <f t="shared" si="16"/>
        <v>0</v>
      </c>
      <c r="AG53" s="41">
        <f t="shared" si="17"/>
        <v>0</v>
      </c>
      <c r="AH53" s="41">
        <f t="shared" si="18"/>
        <v>0</v>
      </c>
      <c r="AI53" s="41">
        <f t="shared" si="19"/>
        <v>183</v>
      </c>
      <c r="AJ53" s="41">
        <f t="shared" si="20"/>
        <v>365</v>
      </c>
      <c r="AK53" s="41">
        <f t="shared" si="21"/>
        <v>181</v>
      </c>
      <c r="AL53" s="42">
        <f t="shared" si="22"/>
        <v>3.1815369863013698</v>
      </c>
      <c r="AM53" s="42">
        <f t="shared" si="23"/>
        <v>575.85819452054795</v>
      </c>
      <c r="AN53" s="43">
        <f t="shared" si="1"/>
        <v>580630.5</v>
      </c>
      <c r="AO53" s="43"/>
      <c r="AP53" s="42">
        <f t="shared" si="24"/>
        <v>96771.75</v>
      </c>
      <c r="AQ53" s="43">
        <v>5</v>
      </c>
      <c r="AR53" s="44">
        <f t="shared" si="25"/>
        <v>0.8571428571428571</v>
      </c>
      <c r="AS53" s="45">
        <f t="shared" si="26"/>
        <v>1876.7854545454545</v>
      </c>
      <c r="AU53" s="1">
        <v>483858.75</v>
      </c>
      <c r="AV53" s="50">
        <v>96771.75</v>
      </c>
    </row>
    <row r="54" spans="1:48" s="1" customFormat="1" ht="37.200000000000003" thickTop="1" thickBot="1" x14ac:dyDescent="0.55000000000000004">
      <c r="A54" s="33">
        <v>47</v>
      </c>
      <c r="B54" s="34" t="s">
        <v>101</v>
      </c>
      <c r="C54" s="34" t="s">
        <v>965</v>
      </c>
      <c r="D54" s="35" t="s">
        <v>556</v>
      </c>
      <c r="E54" s="35" t="s">
        <v>966</v>
      </c>
      <c r="F54" s="36" t="s">
        <v>1013</v>
      </c>
      <c r="G54" s="36" t="s">
        <v>1420</v>
      </c>
      <c r="H54" s="36" t="s">
        <v>1421</v>
      </c>
      <c r="I54" s="36" t="s">
        <v>1421</v>
      </c>
      <c r="J54" s="36" t="s">
        <v>1421</v>
      </c>
      <c r="K54" s="36">
        <v>375</v>
      </c>
      <c r="L54" s="36" t="s">
        <v>1422</v>
      </c>
      <c r="M54" s="49">
        <v>4</v>
      </c>
      <c r="N54" s="37" t="s">
        <v>1469</v>
      </c>
      <c r="O54" s="37"/>
      <c r="P54" s="36">
        <v>1</v>
      </c>
      <c r="Q54" s="36" t="s">
        <v>1935</v>
      </c>
      <c r="R54" s="36" t="s">
        <v>1936</v>
      </c>
      <c r="S54" s="36" t="s">
        <v>1880</v>
      </c>
      <c r="T54" s="36" t="s">
        <v>1881</v>
      </c>
      <c r="U54" s="38">
        <v>45474</v>
      </c>
      <c r="V54" s="39">
        <v>728769.8</v>
      </c>
      <c r="W54" s="39" t="s">
        <v>2363</v>
      </c>
      <c r="X54" s="39" t="s">
        <v>2363</v>
      </c>
      <c r="Y54" s="40">
        <f t="shared" si="9"/>
        <v>36438.49</v>
      </c>
      <c r="Z54" s="40">
        <f t="shared" si="10"/>
        <v>765208.29</v>
      </c>
      <c r="AA54" s="41" t="str">
        <f t="shared" si="11"/>
        <v>0.0022</v>
      </c>
      <c r="AB54" s="41">
        <f t="shared" si="12"/>
        <v>0</v>
      </c>
      <c r="AC54" s="41">
        <f t="shared" si="13"/>
        <v>0</v>
      </c>
      <c r="AD54" s="41">
        <f t="shared" si="14"/>
        <v>0</v>
      </c>
      <c r="AE54" s="41">
        <f t="shared" si="15"/>
        <v>0</v>
      </c>
      <c r="AF54" s="41">
        <f t="shared" si="16"/>
        <v>0</v>
      </c>
      <c r="AG54" s="41">
        <f t="shared" si="17"/>
        <v>0</v>
      </c>
      <c r="AH54" s="41">
        <f t="shared" si="18"/>
        <v>0</v>
      </c>
      <c r="AI54" s="41">
        <f t="shared" si="19"/>
        <v>183</v>
      </c>
      <c r="AJ54" s="41">
        <f t="shared" si="20"/>
        <v>365</v>
      </c>
      <c r="AK54" s="41">
        <f t="shared" si="21"/>
        <v>181</v>
      </c>
      <c r="AL54" s="42">
        <f t="shared" si="22"/>
        <v>4.3925850958904116</v>
      </c>
      <c r="AM54" s="42">
        <f t="shared" si="23"/>
        <v>795.0579023561645</v>
      </c>
      <c r="AN54" s="43">
        <f t="shared" si="1"/>
        <v>655892.82000000007</v>
      </c>
      <c r="AO54" s="43"/>
      <c r="AP54" s="42">
        <f t="shared" si="24"/>
        <v>109315.46999999997</v>
      </c>
      <c r="AQ54" s="43">
        <v>5</v>
      </c>
      <c r="AR54" s="44">
        <f t="shared" si="25"/>
        <v>0.85714285714285721</v>
      </c>
      <c r="AS54" s="45">
        <f t="shared" si="26"/>
        <v>1943.3861333333334</v>
      </c>
      <c r="AU54" s="1">
        <v>437261.88</v>
      </c>
      <c r="AV54" s="50">
        <v>218630.94</v>
      </c>
    </row>
    <row r="55" spans="1:48" s="1" customFormat="1" ht="37.200000000000003" thickTop="1" thickBot="1" x14ac:dyDescent="0.55000000000000004">
      <c r="A55" s="33">
        <v>48</v>
      </c>
      <c r="B55" s="34" t="s">
        <v>102</v>
      </c>
      <c r="C55" s="34" t="s">
        <v>965</v>
      </c>
      <c r="D55" s="35" t="s">
        <v>557</v>
      </c>
      <c r="E55" s="35" t="s">
        <v>966</v>
      </c>
      <c r="F55" s="36" t="s">
        <v>1014</v>
      </c>
      <c r="G55" s="36" t="s">
        <v>1420</v>
      </c>
      <c r="H55" s="36" t="s">
        <v>1421</v>
      </c>
      <c r="I55" s="36" t="s">
        <v>1421</v>
      </c>
      <c r="J55" s="36" t="s">
        <v>1421</v>
      </c>
      <c r="K55" s="36">
        <v>300.08</v>
      </c>
      <c r="L55" s="36" t="s">
        <v>1422</v>
      </c>
      <c r="M55" s="49">
        <v>4</v>
      </c>
      <c r="N55" s="37" t="s">
        <v>1470</v>
      </c>
      <c r="O55" s="37"/>
      <c r="P55" s="36">
        <v>1</v>
      </c>
      <c r="Q55" s="36" t="s">
        <v>1937</v>
      </c>
      <c r="R55" s="36" t="s">
        <v>1938</v>
      </c>
      <c r="S55" s="36" t="s">
        <v>1880</v>
      </c>
      <c r="T55" s="36" t="s">
        <v>1881</v>
      </c>
      <c r="U55" s="38">
        <v>45474</v>
      </c>
      <c r="V55" s="39">
        <v>535000</v>
      </c>
      <c r="W55" s="39" t="s">
        <v>2363</v>
      </c>
      <c r="X55" s="39" t="s">
        <v>2363</v>
      </c>
      <c r="Y55" s="40">
        <f t="shared" si="9"/>
        <v>26750</v>
      </c>
      <c r="Z55" s="40">
        <f t="shared" si="10"/>
        <v>561750</v>
      </c>
      <c r="AA55" s="41" t="str">
        <f t="shared" si="11"/>
        <v>0.0018</v>
      </c>
      <c r="AB55" s="41">
        <f t="shared" si="12"/>
        <v>0</v>
      </c>
      <c r="AC55" s="41">
        <f t="shared" si="13"/>
        <v>0</v>
      </c>
      <c r="AD55" s="41">
        <f t="shared" si="14"/>
        <v>0</v>
      </c>
      <c r="AE55" s="41">
        <f t="shared" si="15"/>
        <v>0</v>
      </c>
      <c r="AF55" s="41">
        <f t="shared" si="16"/>
        <v>0</v>
      </c>
      <c r="AG55" s="41">
        <f t="shared" si="17"/>
        <v>0</v>
      </c>
      <c r="AH55" s="41">
        <f t="shared" si="18"/>
        <v>0</v>
      </c>
      <c r="AI55" s="41">
        <f t="shared" si="19"/>
        <v>183</v>
      </c>
      <c r="AJ55" s="41">
        <f t="shared" si="20"/>
        <v>365</v>
      </c>
      <c r="AK55" s="41">
        <f t="shared" si="21"/>
        <v>181</v>
      </c>
      <c r="AL55" s="42">
        <f t="shared" si="22"/>
        <v>2.6383561643835618</v>
      </c>
      <c r="AM55" s="42">
        <f t="shared" si="23"/>
        <v>477.54246575342466</v>
      </c>
      <c r="AN55" s="43">
        <f t="shared" si="1"/>
        <v>481500.02</v>
      </c>
      <c r="AO55" s="43"/>
      <c r="AP55" s="42">
        <f t="shared" si="24"/>
        <v>80249.979999999981</v>
      </c>
      <c r="AQ55" s="43">
        <v>5</v>
      </c>
      <c r="AR55" s="44">
        <f t="shared" si="25"/>
        <v>0.8571428927458834</v>
      </c>
      <c r="AS55" s="45">
        <f t="shared" si="26"/>
        <v>1782.8579045587844</v>
      </c>
      <c r="AU55" s="1">
        <v>321000</v>
      </c>
      <c r="AV55" s="50">
        <v>160500.01999999999</v>
      </c>
    </row>
    <row r="56" spans="1:48" s="1" customFormat="1" ht="37.200000000000003" thickTop="1" thickBot="1" x14ac:dyDescent="0.55000000000000004">
      <c r="A56" s="33">
        <v>49</v>
      </c>
      <c r="B56" s="34" t="s">
        <v>103</v>
      </c>
      <c r="C56" s="34" t="s">
        <v>965</v>
      </c>
      <c r="D56" s="35" t="s">
        <v>558</v>
      </c>
      <c r="E56" s="35" t="s">
        <v>966</v>
      </c>
      <c r="F56" s="36" t="s">
        <v>1015</v>
      </c>
      <c r="G56" s="36" t="s">
        <v>1420</v>
      </c>
      <c r="H56" s="36" t="s">
        <v>1421</v>
      </c>
      <c r="I56" s="36" t="s">
        <v>1421</v>
      </c>
      <c r="J56" s="36" t="s">
        <v>1421</v>
      </c>
      <c r="K56" s="36">
        <v>425</v>
      </c>
      <c r="L56" s="36" t="s">
        <v>1422</v>
      </c>
      <c r="M56" s="49">
        <v>4</v>
      </c>
      <c r="N56" s="37" t="s">
        <v>1471</v>
      </c>
      <c r="O56" s="37"/>
      <c r="P56" s="36">
        <v>1</v>
      </c>
      <c r="Q56" s="36" t="s">
        <v>1939</v>
      </c>
      <c r="R56" s="36" t="s">
        <v>1940</v>
      </c>
      <c r="S56" s="36" t="s">
        <v>1880</v>
      </c>
      <c r="T56" s="36" t="s">
        <v>1883</v>
      </c>
      <c r="U56" s="38">
        <v>45474</v>
      </c>
      <c r="V56" s="39">
        <v>707974</v>
      </c>
      <c r="W56" s="39" t="s">
        <v>2363</v>
      </c>
      <c r="X56" s="39" t="s">
        <v>2363</v>
      </c>
      <c r="Y56" s="40">
        <f t="shared" si="9"/>
        <v>35398.699999999997</v>
      </c>
      <c r="Z56" s="40">
        <f t="shared" si="10"/>
        <v>743372.7</v>
      </c>
      <c r="AA56" s="41" t="str">
        <f t="shared" si="11"/>
        <v>0.0022</v>
      </c>
      <c r="AB56" s="41">
        <f t="shared" si="12"/>
        <v>0</v>
      </c>
      <c r="AC56" s="41">
        <f t="shared" si="13"/>
        <v>0</v>
      </c>
      <c r="AD56" s="41">
        <f t="shared" si="14"/>
        <v>0</v>
      </c>
      <c r="AE56" s="41">
        <f t="shared" si="15"/>
        <v>0</v>
      </c>
      <c r="AF56" s="41">
        <f t="shared" si="16"/>
        <v>0</v>
      </c>
      <c r="AG56" s="41">
        <f t="shared" si="17"/>
        <v>0</v>
      </c>
      <c r="AH56" s="41">
        <f t="shared" si="18"/>
        <v>0</v>
      </c>
      <c r="AI56" s="41">
        <f t="shared" si="19"/>
        <v>183</v>
      </c>
      <c r="AJ56" s="41">
        <f t="shared" si="20"/>
        <v>365</v>
      </c>
      <c r="AK56" s="41">
        <f t="shared" si="21"/>
        <v>181</v>
      </c>
      <c r="AL56" s="42">
        <f t="shared" si="22"/>
        <v>4.2672405479452058</v>
      </c>
      <c r="AM56" s="42">
        <f t="shared" si="23"/>
        <v>772.37053917808225</v>
      </c>
      <c r="AN56" s="43">
        <f t="shared" si="1"/>
        <v>672575.29999999993</v>
      </c>
      <c r="AO56" s="43"/>
      <c r="AP56" s="42">
        <f t="shared" si="24"/>
        <v>70797.400000000023</v>
      </c>
      <c r="AQ56" s="43">
        <v>6</v>
      </c>
      <c r="AR56" s="44">
        <f t="shared" si="25"/>
        <v>0.90476190476190477</v>
      </c>
      <c r="AS56" s="45">
        <f t="shared" si="26"/>
        <v>1665.8211764705882</v>
      </c>
      <c r="AU56" s="1">
        <v>637176.6</v>
      </c>
      <c r="AV56" s="50">
        <v>35398.699999999997</v>
      </c>
    </row>
    <row r="57" spans="1:48" s="1" customFormat="1" ht="37.200000000000003" thickTop="1" thickBot="1" x14ac:dyDescent="0.55000000000000004">
      <c r="A57" s="33">
        <v>50</v>
      </c>
      <c r="B57" s="34" t="s">
        <v>104</v>
      </c>
      <c r="C57" s="34" t="s">
        <v>965</v>
      </c>
      <c r="D57" s="35" t="s">
        <v>559</v>
      </c>
      <c r="E57" s="35" t="s">
        <v>966</v>
      </c>
      <c r="F57" s="36" t="s">
        <v>1016</v>
      </c>
      <c r="G57" s="36" t="s">
        <v>1420</v>
      </c>
      <c r="H57" s="36" t="s">
        <v>1421</v>
      </c>
      <c r="I57" s="36" t="s">
        <v>1421</v>
      </c>
      <c r="J57" s="36" t="s">
        <v>1421</v>
      </c>
      <c r="K57" s="36">
        <v>375</v>
      </c>
      <c r="L57" s="36" t="s">
        <v>1422</v>
      </c>
      <c r="M57" s="49">
        <v>4</v>
      </c>
      <c r="N57" s="37" t="s">
        <v>1472</v>
      </c>
      <c r="O57" s="37"/>
      <c r="P57" s="36">
        <v>1</v>
      </c>
      <c r="Q57" s="36" t="s">
        <v>1941</v>
      </c>
      <c r="R57" s="36" t="s">
        <v>1942</v>
      </c>
      <c r="S57" s="36" t="s">
        <v>1880</v>
      </c>
      <c r="T57" s="36" t="s">
        <v>1883</v>
      </c>
      <c r="U57" s="38">
        <v>45474</v>
      </c>
      <c r="V57" s="39">
        <v>656770</v>
      </c>
      <c r="W57" s="39" t="s">
        <v>2363</v>
      </c>
      <c r="X57" s="39" t="s">
        <v>2363</v>
      </c>
      <c r="Y57" s="40">
        <f t="shared" si="9"/>
        <v>32838.5</v>
      </c>
      <c r="Z57" s="40">
        <f t="shared" si="10"/>
        <v>689608.5</v>
      </c>
      <c r="AA57" s="41" t="str">
        <f t="shared" si="11"/>
        <v>0.0018</v>
      </c>
      <c r="AB57" s="41">
        <f t="shared" si="12"/>
        <v>0</v>
      </c>
      <c r="AC57" s="41">
        <f t="shared" si="13"/>
        <v>0</v>
      </c>
      <c r="AD57" s="41">
        <f t="shared" si="14"/>
        <v>0</v>
      </c>
      <c r="AE57" s="41">
        <f t="shared" si="15"/>
        <v>0</v>
      </c>
      <c r="AF57" s="41">
        <f t="shared" si="16"/>
        <v>0</v>
      </c>
      <c r="AG57" s="41">
        <f t="shared" si="17"/>
        <v>0</v>
      </c>
      <c r="AH57" s="41">
        <f t="shared" si="18"/>
        <v>0</v>
      </c>
      <c r="AI57" s="41">
        <f t="shared" si="19"/>
        <v>183</v>
      </c>
      <c r="AJ57" s="41">
        <f t="shared" si="20"/>
        <v>365</v>
      </c>
      <c r="AK57" s="41">
        <f t="shared" si="21"/>
        <v>181</v>
      </c>
      <c r="AL57" s="42">
        <f t="shared" si="22"/>
        <v>3.2388657534246574</v>
      </c>
      <c r="AM57" s="42">
        <f t="shared" si="23"/>
        <v>586.23470136986305</v>
      </c>
      <c r="AN57" s="43">
        <f t="shared" si="1"/>
        <v>591093</v>
      </c>
      <c r="AO57" s="43"/>
      <c r="AP57" s="42">
        <f t="shared" si="24"/>
        <v>98515.5</v>
      </c>
      <c r="AQ57" s="43">
        <v>5</v>
      </c>
      <c r="AR57" s="44">
        <f t="shared" si="25"/>
        <v>0.8571428571428571</v>
      </c>
      <c r="AS57" s="45">
        <f t="shared" si="26"/>
        <v>1751.3866666666668</v>
      </c>
      <c r="AU57" s="1">
        <v>394062</v>
      </c>
      <c r="AV57" s="50">
        <v>197031</v>
      </c>
    </row>
    <row r="58" spans="1:48" s="1" customFormat="1" ht="37.200000000000003" thickTop="1" thickBot="1" x14ac:dyDescent="0.55000000000000004">
      <c r="A58" s="33">
        <v>51</v>
      </c>
      <c r="B58" s="34" t="s">
        <v>105</v>
      </c>
      <c r="C58" s="34" t="s">
        <v>965</v>
      </c>
      <c r="D58" s="35" t="s">
        <v>560</v>
      </c>
      <c r="E58" s="35" t="s">
        <v>966</v>
      </c>
      <c r="F58" s="36" t="s">
        <v>1017</v>
      </c>
      <c r="G58" s="36" t="s">
        <v>1420</v>
      </c>
      <c r="H58" s="36" t="s">
        <v>1421</v>
      </c>
      <c r="I58" s="36" t="s">
        <v>1421</v>
      </c>
      <c r="J58" s="36" t="s">
        <v>1421</v>
      </c>
      <c r="K58" s="36">
        <v>372.89</v>
      </c>
      <c r="L58" s="36" t="s">
        <v>1422</v>
      </c>
      <c r="M58" s="49">
        <v>4</v>
      </c>
      <c r="N58" s="37" t="s">
        <v>1473</v>
      </c>
      <c r="O58" s="37"/>
      <c r="P58" s="36">
        <v>1</v>
      </c>
      <c r="Q58" s="36" t="s">
        <v>1943</v>
      </c>
      <c r="R58" s="36" t="s">
        <v>1944</v>
      </c>
      <c r="S58" s="36" t="s">
        <v>1880</v>
      </c>
      <c r="T58" s="36" t="s">
        <v>1881</v>
      </c>
      <c r="U58" s="38">
        <v>45474</v>
      </c>
      <c r="V58" s="39">
        <v>763858</v>
      </c>
      <c r="W58" s="39" t="s">
        <v>2363</v>
      </c>
      <c r="X58" s="39" t="s">
        <v>2363</v>
      </c>
      <c r="Y58" s="40">
        <f t="shared" si="9"/>
        <v>38192.9</v>
      </c>
      <c r="Z58" s="40">
        <f t="shared" si="10"/>
        <v>802050.9</v>
      </c>
      <c r="AA58" s="41" t="str">
        <f t="shared" si="11"/>
        <v>0.0022</v>
      </c>
      <c r="AB58" s="41">
        <f t="shared" si="12"/>
        <v>0</v>
      </c>
      <c r="AC58" s="41">
        <f t="shared" si="13"/>
        <v>0</v>
      </c>
      <c r="AD58" s="41">
        <f t="shared" si="14"/>
        <v>0</v>
      </c>
      <c r="AE58" s="41">
        <f t="shared" si="15"/>
        <v>0</v>
      </c>
      <c r="AF58" s="41">
        <f t="shared" si="16"/>
        <v>0</v>
      </c>
      <c r="AG58" s="41">
        <f t="shared" si="17"/>
        <v>0</v>
      </c>
      <c r="AH58" s="41">
        <f t="shared" si="18"/>
        <v>0</v>
      </c>
      <c r="AI58" s="41">
        <f t="shared" si="19"/>
        <v>183</v>
      </c>
      <c r="AJ58" s="41">
        <f t="shared" si="20"/>
        <v>365</v>
      </c>
      <c r="AK58" s="41">
        <f t="shared" si="21"/>
        <v>181</v>
      </c>
      <c r="AL58" s="42">
        <f t="shared" si="22"/>
        <v>4.6040756164383563</v>
      </c>
      <c r="AM58" s="42">
        <f t="shared" si="23"/>
        <v>833.33768657534245</v>
      </c>
      <c r="AN58" s="43">
        <f t="shared" si="1"/>
        <v>725665.1</v>
      </c>
      <c r="AO58" s="43"/>
      <c r="AP58" s="42">
        <f t="shared" si="24"/>
        <v>76385.800000000047</v>
      </c>
      <c r="AQ58" s="43">
        <v>6</v>
      </c>
      <c r="AR58" s="44">
        <f t="shared" si="25"/>
        <v>0.90476190476190466</v>
      </c>
      <c r="AS58" s="45">
        <f t="shared" si="26"/>
        <v>2048.4807852181611</v>
      </c>
      <c r="AU58" s="1">
        <v>687472.2</v>
      </c>
      <c r="AV58" s="50">
        <v>38192.9</v>
      </c>
    </row>
    <row r="59" spans="1:48" s="1" customFormat="1" ht="37.200000000000003" thickTop="1" thickBot="1" x14ac:dyDescent="0.55000000000000004">
      <c r="A59" s="33">
        <v>52</v>
      </c>
      <c r="B59" s="34" t="s">
        <v>106</v>
      </c>
      <c r="C59" s="34" t="s">
        <v>965</v>
      </c>
      <c r="D59" s="35" t="s">
        <v>561</v>
      </c>
      <c r="E59" s="35" t="s">
        <v>966</v>
      </c>
      <c r="F59" s="36" t="s">
        <v>1018</v>
      </c>
      <c r="G59" s="36" t="s">
        <v>1420</v>
      </c>
      <c r="H59" s="36" t="s">
        <v>1421</v>
      </c>
      <c r="I59" s="36" t="s">
        <v>1421</v>
      </c>
      <c r="J59" s="36" t="s">
        <v>1421</v>
      </c>
      <c r="K59" s="36">
        <v>375</v>
      </c>
      <c r="L59" s="36" t="s">
        <v>1422</v>
      </c>
      <c r="M59" s="49">
        <v>4</v>
      </c>
      <c r="N59" s="37" t="s">
        <v>1474</v>
      </c>
      <c r="O59" s="37"/>
      <c r="P59" s="36">
        <v>1</v>
      </c>
      <c r="Q59" s="36" t="s">
        <v>1943</v>
      </c>
      <c r="R59" s="36" t="s">
        <v>1945</v>
      </c>
      <c r="S59" s="36" t="s">
        <v>1880</v>
      </c>
      <c r="T59" s="36" t="s">
        <v>1883</v>
      </c>
      <c r="U59" s="38">
        <v>45474</v>
      </c>
      <c r="V59" s="39">
        <v>673974</v>
      </c>
      <c r="W59" s="39" t="s">
        <v>2363</v>
      </c>
      <c r="X59" s="39" t="s">
        <v>2363</v>
      </c>
      <c r="Y59" s="40">
        <f t="shared" si="9"/>
        <v>33698.699999999997</v>
      </c>
      <c r="Z59" s="40">
        <f t="shared" si="10"/>
        <v>707672.7</v>
      </c>
      <c r="AA59" s="41" t="str">
        <f t="shared" si="11"/>
        <v>0.0018</v>
      </c>
      <c r="AB59" s="41">
        <f t="shared" si="12"/>
        <v>0</v>
      </c>
      <c r="AC59" s="41">
        <f t="shared" si="13"/>
        <v>0</v>
      </c>
      <c r="AD59" s="41">
        <f t="shared" si="14"/>
        <v>0</v>
      </c>
      <c r="AE59" s="41">
        <f t="shared" si="15"/>
        <v>0</v>
      </c>
      <c r="AF59" s="41">
        <f t="shared" si="16"/>
        <v>0</v>
      </c>
      <c r="AG59" s="41">
        <f t="shared" si="17"/>
        <v>0</v>
      </c>
      <c r="AH59" s="41">
        <f t="shared" si="18"/>
        <v>0</v>
      </c>
      <c r="AI59" s="41">
        <f t="shared" si="19"/>
        <v>183</v>
      </c>
      <c r="AJ59" s="41">
        <f t="shared" si="20"/>
        <v>365</v>
      </c>
      <c r="AK59" s="41">
        <f t="shared" si="21"/>
        <v>181</v>
      </c>
      <c r="AL59" s="42">
        <f t="shared" si="22"/>
        <v>3.3237073972602738</v>
      </c>
      <c r="AM59" s="42">
        <f t="shared" si="23"/>
        <v>601.5910389041095</v>
      </c>
      <c r="AN59" s="43">
        <f t="shared" si="1"/>
        <v>640275.29999999993</v>
      </c>
      <c r="AO59" s="43"/>
      <c r="AP59" s="42">
        <f t="shared" si="24"/>
        <v>67397.400000000023</v>
      </c>
      <c r="AQ59" s="43">
        <v>6</v>
      </c>
      <c r="AR59" s="44">
        <f t="shared" si="25"/>
        <v>0.90476190476190477</v>
      </c>
      <c r="AS59" s="45">
        <f t="shared" si="26"/>
        <v>1797.2639999999999</v>
      </c>
      <c r="AU59" s="1">
        <v>606576.6</v>
      </c>
      <c r="AV59" s="50">
        <v>33698.699999999997</v>
      </c>
    </row>
    <row r="60" spans="1:48" s="1" customFormat="1" ht="37.200000000000003" thickTop="1" thickBot="1" x14ac:dyDescent="0.55000000000000004">
      <c r="A60" s="33">
        <v>53</v>
      </c>
      <c r="B60" s="34" t="s">
        <v>107</v>
      </c>
      <c r="C60" s="34" t="s">
        <v>965</v>
      </c>
      <c r="D60" s="35" t="s">
        <v>562</v>
      </c>
      <c r="E60" s="35" t="s">
        <v>966</v>
      </c>
      <c r="F60" s="36" t="s">
        <v>1019</v>
      </c>
      <c r="G60" s="36" t="s">
        <v>1420</v>
      </c>
      <c r="H60" s="36" t="s">
        <v>1421</v>
      </c>
      <c r="I60" s="36" t="s">
        <v>1421</v>
      </c>
      <c r="J60" s="36" t="s">
        <v>1421</v>
      </c>
      <c r="K60" s="36">
        <v>375</v>
      </c>
      <c r="L60" s="36" t="s">
        <v>1422</v>
      </c>
      <c r="M60" s="49">
        <v>4</v>
      </c>
      <c r="N60" s="37" t="s">
        <v>1475</v>
      </c>
      <c r="O60" s="37"/>
      <c r="P60" s="36">
        <v>1</v>
      </c>
      <c r="Q60" s="36" t="s">
        <v>1943</v>
      </c>
      <c r="R60" s="36" t="s">
        <v>1946</v>
      </c>
      <c r="S60" s="36" t="s">
        <v>1880</v>
      </c>
      <c r="T60" s="36" t="s">
        <v>1883</v>
      </c>
      <c r="U60" s="38">
        <v>45474</v>
      </c>
      <c r="V60" s="39">
        <v>673974</v>
      </c>
      <c r="W60" s="39" t="s">
        <v>2363</v>
      </c>
      <c r="X60" s="39" t="s">
        <v>2363</v>
      </c>
      <c r="Y60" s="40">
        <f t="shared" si="9"/>
        <v>33698.699999999997</v>
      </c>
      <c r="Z60" s="40">
        <f t="shared" si="10"/>
        <v>707672.7</v>
      </c>
      <c r="AA60" s="41" t="str">
        <f t="shared" si="11"/>
        <v>0.0018</v>
      </c>
      <c r="AB60" s="41">
        <f t="shared" si="12"/>
        <v>0</v>
      </c>
      <c r="AC60" s="41">
        <f t="shared" si="13"/>
        <v>0</v>
      </c>
      <c r="AD60" s="41">
        <f t="shared" si="14"/>
        <v>0</v>
      </c>
      <c r="AE60" s="41">
        <f t="shared" si="15"/>
        <v>0</v>
      </c>
      <c r="AF60" s="41">
        <f t="shared" si="16"/>
        <v>0</v>
      </c>
      <c r="AG60" s="41">
        <f t="shared" si="17"/>
        <v>0</v>
      </c>
      <c r="AH60" s="41">
        <f t="shared" si="18"/>
        <v>0</v>
      </c>
      <c r="AI60" s="41">
        <f t="shared" si="19"/>
        <v>183</v>
      </c>
      <c r="AJ60" s="41">
        <f t="shared" si="20"/>
        <v>365</v>
      </c>
      <c r="AK60" s="41">
        <f t="shared" si="21"/>
        <v>181</v>
      </c>
      <c r="AL60" s="42">
        <f t="shared" si="22"/>
        <v>3.3237073972602738</v>
      </c>
      <c r="AM60" s="42">
        <f t="shared" si="23"/>
        <v>601.5910389041095</v>
      </c>
      <c r="AN60" s="43">
        <f t="shared" si="1"/>
        <v>640275.29999999993</v>
      </c>
      <c r="AO60" s="43"/>
      <c r="AP60" s="42">
        <f t="shared" si="24"/>
        <v>67397.400000000023</v>
      </c>
      <c r="AQ60" s="43">
        <v>6</v>
      </c>
      <c r="AR60" s="44">
        <f t="shared" si="25"/>
        <v>0.90476190476190477</v>
      </c>
      <c r="AS60" s="45">
        <f t="shared" si="26"/>
        <v>1797.2639999999999</v>
      </c>
      <c r="AU60" s="1">
        <v>606576.6</v>
      </c>
      <c r="AV60" s="50">
        <v>33698.699999999997</v>
      </c>
    </row>
    <row r="61" spans="1:48" s="1" customFormat="1" ht="37.200000000000003" thickTop="1" thickBot="1" x14ac:dyDescent="0.55000000000000004">
      <c r="A61" s="33">
        <v>54</v>
      </c>
      <c r="B61" s="34" t="s">
        <v>108</v>
      </c>
      <c r="C61" s="34" t="s">
        <v>965</v>
      </c>
      <c r="D61" s="35" t="s">
        <v>563</v>
      </c>
      <c r="E61" s="35" t="s">
        <v>966</v>
      </c>
      <c r="F61" s="36" t="s">
        <v>1020</v>
      </c>
      <c r="G61" s="36" t="s">
        <v>1420</v>
      </c>
      <c r="H61" s="36" t="s">
        <v>1421</v>
      </c>
      <c r="I61" s="36" t="s">
        <v>1421</v>
      </c>
      <c r="J61" s="36" t="s">
        <v>1421</v>
      </c>
      <c r="K61" s="36">
        <v>375</v>
      </c>
      <c r="L61" s="36" t="s">
        <v>1422</v>
      </c>
      <c r="M61" s="49">
        <v>4</v>
      </c>
      <c r="N61" s="37" t="s">
        <v>1476</v>
      </c>
      <c r="O61" s="37"/>
      <c r="P61" s="36">
        <v>1</v>
      </c>
      <c r="Q61" s="36" t="s">
        <v>1943</v>
      </c>
      <c r="R61" s="36" t="s">
        <v>1947</v>
      </c>
      <c r="S61" s="36" t="s">
        <v>1880</v>
      </c>
      <c r="T61" s="36" t="s">
        <v>1881</v>
      </c>
      <c r="U61" s="38">
        <v>45474</v>
      </c>
      <c r="V61" s="39">
        <v>673974</v>
      </c>
      <c r="W61" s="39" t="s">
        <v>2363</v>
      </c>
      <c r="X61" s="39" t="s">
        <v>2363</v>
      </c>
      <c r="Y61" s="40">
        <f t="shared" si="9"/>
        <v>33698.699999999997</v>
      </c>
      <c r="Z61" s="40">
        <f t="shared" si="10"/>
        <v>707672.7</v>
      </c>
      <c r="AA61" s="41" t="str">
        <f t="shared" si="11"/>
        <v>0.0018</v>
      </c>
      <c r="AB61" s="41">
        <f t="shared" si="12"/>
        <v>0</v>
      </c>
      <c r="AC61" s="41">
        <f t="shared" si="13"/>
        <v>0</v>
      </c>
      <c r="AD61" s="41">
        <f t="shared" si="14"/>
        <v>0</v>
      </c>
      <c r="AE61" s="41">
        <f t="shared" si="15"/>
        <v>0</v>
      </c>
      <c r="AF61" s="41">
        <f t="shared" si="16"/>
        <v>0</v>
      </c>
      <c r="AG61" s="41">
        <f t="shared" si="17"/>
        <v>0</v>
      </c>
      <c r="AH61" s="41">
        <f t="shared" si="18"/>
        <v>0</v>
      </c>
      <c r="AI61" s="41">
        <f t="shared" si="19"/>
        <v>183</v>
      </c>
      <c r="AJ61" s="41">
        <f t="shared" si="20"/>
        <v>365</v>
      </c>
      <c r="AK61" s="41">
        <f t="shared" si="21"/>
        <v>181</v>
      </c>
      <c r="AL61" s="42">
        <f t="shared" si="22"/>
        <v>3.3237073972602738</v>
      </c>
      <c r="AM61" s="42">
        <f t="shared" si="23"/>
        <v>601.5910389041095</v>
      </c>
      <c r="AN61" s="43">
        <f t="shared" si="1"/>
        <v>640275.29999999993</v>
      </c>
      <c r="AO61" s="43"/>
      <c r="AP61" s="42">
        <f t="shared" si="24"/>
        <v>67397.400000000023</v>
      </c>
      <c r="AQ61" s="43">
        <v>6</v>
      </c>
      <c r="AR61" s="44">
        <f t="shared" si="25"/>
        <v>0.90476190476190477</v>
      </c>
      <c r="AS61" s="45">
        <f t="shared" si="26"/>
        <v>1797.2639999999999</v>
      </c>
      <c r="AU61" s="1">
        <v>606576.6</v>
      </c>
      <c r="AV61" s="50">
        <v>33698.699999999997</v>
      </c>
    </row>
    <row r="62" spans="1:48" s="1" customFormat="1" ht="37.200000000000003" thickTop="1" thickBot="1" x14ac:dyDescent="0.55000000000000004">
      <c r="A62" s="33">
        <v>55</v>
      </c>
      <c r="B62" s="34" t="s">
        <v>109</v>
      </c>
      <c r="C62" s="34" t="s">
        <v>965</v>
      </c>
      <c r="D62" s="35" t="s">
        <v>564</v>
      </c>
      <c r="E62" s="35" t="s">
        <v>966</v>
      </c>
      <c r="F62" s="36" t="s">
        <v>1021</v>
      </c>
      <c r="G62" s="36" t="s">
        <v>1420</v>
      </c>
      <c r="H62" s="36" t="s">
        <v>1421</v>
      </c>
      <c r="I62" s="36" t="s">
        <v>1421</v>
      </c>
      <c r="J62" s="36" t="s">
        <v>1421</v>
      </c>
      <c r="K62" s="36">
        <v>375</v>
      </c>
      <c r="L62" s="36" t="s">
        <v>1422</v>
      </c>
      <c r="M62" s="49">
        <v>4</v>
      </c>
      <c r="N62" s="37" t="s">
        <v>1477</v>
      </c>
      <c r="O62" s="37"/>
      <c r="P62" s="36">
        <v>1</v>
      </c>
      <c r="Q62" s="36" t="s">
        <v>1943</v>
      </c>
      <c r="R62" s="36" t="s">
        <v>1948</v>
      </c>
      <c r="S62" s="36" t="s">
        <v>1880</v>
      </c>
      <c r="T62" s="36" t="s">
        <v>1881</v>
      </c>
      <c r="U62" s="38">
        <v>45474</v>
      </c>
      <c r="V62" s="39">
        <v>673974</v>
      </c>
      <c r="W62" s="39" t="s">
        <v>2363</v>
      </c>
      <c r="X62" s="39" t="s">
        <v>2363</v>
      </c>
      <c r="Y62" s="40">
        <f t="shared" si="9"/>
        <v>33698.699999999997</v>
      </c>
      <c r="Z62" s="40">
        <f t="shared" si="10"/>
        <v>707672.7</v>
      </c>
      <c r="AA62" s="41" t="str">
        <f t="shared" si="11"/>
        <v>0.0018</v>
      </c>
      <c r="AB62" s="41">
        <f t="shared" si="12"/>
        <v>0</v>
      </c>
      <c r="AC62" s="41">
        <f t="shared" si="13"/>
        <v>0</v>
      </c>
      <c r="AD62" s="41">
        <f t="shared" si="14"/>
        <v>0</v>
      </c>
      <c r="AE62" s="41">
        <f t="shared" si="15"/>
        <v>0</v>
      </c>
      <c r="AF62" s="41">
        <f t="shared" si="16"/>
        <v>0</v>
      </c>
      <c r="AG62" s="41">
        <f t="shared" si="17"/>
        <v>0</v>
      </c>
      <c r="AH62" s="41">
        <f t="shared" si="18"/>
        <v>0</v>
      </c>
      <c r="AI62" s="41">
        <f t="shared" si="19"/>
        <v>183</v>
      </c>
      <c r="AJ62" s="41">
        <f t="shared" si="20"/>
        <v>365</v>
      </c>
      <c r="AK62" s="41">
        <f t="shared" si="21"/>
        <v>181</v>
      </c>
      <c r="AL62" s="42">
        <f t="shared" si="22"/>
        <v>3.3237073972602738</v>
      </c>
      <c r="AM62" s="42">
        <f t="shared" si="23"/>
        <v>601.5910389041095</v>
      </c>
      <c r="AN62" s="43">
        <f t="shared" si="1"/>
        <v>640275.29999999993</v>
      </c>
      <c r="AO62" s="43"/>
      <c r="AP62" s="42">
        <f t="shared" si="24"/>
        <v>67397.400000000023</v>
      </c>
      <c r="AQ62" s="43">
        <v>6</v>
      </c>
      <c r="AR62" s="44">
        <f t="shared" si="25"/>
        <v>0.90476190476190477</v>
      </c>
      <c r="AS62" s="45">
        <f t="shared" si="26"/>
        <v>1797.2639999999999</v>
      </c>
      <c r="AU62" s="1">
        <v>606576.6</v>
      </c>
      <c r="AV62" s="50">
        <v>33698.699999999997</v>
      </c>
    </row>
    <row r="63" spans="1:48" s="1" customFormat="1" ht="37.200000000000003" thickTop="1" thickBot="1" x14ac:dyDescent="0.55000000000000004">
      <c r="A63" s="33">
        <v>56</v>
      </c>
      <c r="B63" s="34" t="s">
        <v>110</v>
      </c>
      <c r="C63" s="34" t="s">
        <v>965</v>
      </c>
      <c r="D63" s="35" t="s">
        <v>565</v>
      </c>
      <c r="E63" s="35" t="s">
        <v>966</v>
      </c>
      <c r="F63" s="36" t="s">
        <v>1022</v>
      </c>
      <c r="G63" s="36" t="s">
        <v>1420</v>
      </c>
      <c r="H63" s="36" t="s">
        <v>1421</v>
      </c>
      <c r="I63" s="36" t="s">
        <v>1421</v>
      </c>
      <c r="J63" s="36" t="s">
        <v>1421</v>
      </c>
      <c r="K63" s="36">
        <v>375</v>
      </c>
      <c r="L63" s="36" t="s">
        <v>1422</v>
      </c>
      <c r="M63" s="49">
        <v>4</v>
      </c>
      <c r="N63" s="37" t="s">
        <v>1478</v>
      </c>
      <c r="O63" s="37"/>
      <c r="P63" s="36">
        <v>1</v>
      </c>
      <c r="Q63" s="36" t="s">
        <v>1943</v>
      </c>
      <c r="R63" s="36" t="s">
        <v>1949</v>
      </c>
      <c r="S63" s="36" t="s">
        <v>1880</v>
      </c>
      <c r="T63" s="36" t="s">
        <v>1883</v>
      </c>
      <c r="U63" s="38">
        <v>45474</v>
      </c>
      <c r="V63" s="39">
        <v>716892</v>
      </c>
      <c r="W63" s="39" t="s">
        <v>2363</v>
      </c>
      <c r="X63" s="39" t="s">
        <v>2363</v>
      </c>
      <c r="Y63" s="40">
        <f t="shared" si="9"/>
        <v>35844.6</v>
      </c>
      <c r="Z63" s="40">
        <f t="shared" si="10"/>
        <v>752736.6</v>
      </c>
      <c r="AA63" s="41" t="str">
        <f t="shared" si="11"/>
        <v>0.0022</v>
      </c>
      <c r="AB63" s="41">
        <f t="shared" si="12"/>
        <v>0</v>
      </c>
      <c r="AC63" s="41">
        <f t="shared" si="13"/>
        <v>0</v>
      </c>
      <c r="AD63" s="41">
        <f t="shared" si="14"/>
        <v>0</v>
      </c>
      <c r="AE63" s="41">
        <f t="shared" si="15"/>
        <v>0</v>
      </c>
      <c r="AF63" s="41">
        <f t="shared" si="16"/>
        <v>0</v>
      </c>
      <c r="AG63" s="41">
        <f t="shared" si="17"/>
        <v>0</v>
      </c>
      <c r="AH63" s="41">
        <f t="shared" si="18"/>
        <v>0</v>
      </c>
      <c r="AI63" s="41">
        <f t="shared" si="19"/>
        <v>183</v>
      </c>
      <c r="AJ63" s="41">
        <f t="shared" si="20"/>
        <v>365</v>
      </c>
      <c r="AK63" s="41">
        <f t="shared" si="21"/>
        <v>181</v>
      </c>
      <c r="AL63" s="42">
        <f t="shared" si="22"/>
        <v>4.3209928767123289</v>
      </c>
      <c r="AM63" s="42">
        <f t="shared" si="23"/>
        <v>782.09971068493155</v>
      </c>
      <c r="AN63" s="43">
        <f t="shared" si="1"/>
        <v>681047.4</v>
      </c>
      <c r="AO63" s="43"/>
      <c r="AP63" s="42">
        <f t="shared" si="24"/>
        <v>71689.199999999953</v>
      </c>
      <c r="AQ63" s="43">
        <v>6</v>
      </c>
      <c r="AR63" s="44">
        <f t="shared" si="25"/>
        <v>0.90476190476190477</v>
      </c>
      <c r="AS63" s="45">
        <f t="shared" si="26"/>
        <v>1911.712</v>
      </c>
      <c r="AU63" s="1">
        <v>645202.80000000005</v>
      </c>
      <c r="AV63" s="50">
        <v>35844.6</v>
      </c>
    </row>
    <row r="64" spans="1:48" s="1" customFormat="1" ht="37.200000000000003" thickTop="1" thickBot="1" x14ac:dyDescent="0.55000000000000004">
      <c r="A64" s="33">
        <v>57</v>
      </c>
      <c r="B64" s="34" t="s">
        <v>111</v>
      </c>
      <c r="C64" s="34" t="s">
        <v>965</v>
      </c>
      <c r="D64" s="35" t="s">
        <v>566</v>
      </c>
      <c r="E64" s="35" t="s">
        <v>966</v>
      </c>
      <c r="F64" s="36" t="s">
        <v>1023</v>
      </c>
      <c r="G64" s="36" t="s">
        <v>1420</v>
      </c>
      <c r="H64" s="36" t="s">
        <v>1421</v>
      </c>
      <c r="I64" s="36" t="s">
        <v>1421</v>
      </c>
      <c r="J64" s="36" t="s">
        <v>1421</v>
      </c>
      <c r="K64" s="36">
        <v>375</v>
      </c>
      <c r="L64" s="36" t="s">
        <v>1422</v>
      </c>
      <c r="M64" s="49">
        <v>4</v>
      </c>
      <c r="N64" s="37" t="s">
        <v>1479</v>
      </c>
      <c r="O64" s="37"/>
      <c r="P64" s="36">
        <v>1</v>
      </c>
      <c r="Q64" s="36" t="s">
        <v>1943</v>
      </c>
      <c r="R64" s="36" t="s">
        <v>1950</v>
      </c>
      <c r="S64" s="36" t="s">
        <v>1880</v>
      </c>
      <c r="T64" s="36" t="s">
        <v>1883</v>
      </c>
      <c r="U64" s="38">
        <v>45474</v>
      </c>
      <c r="V64" s="39">
        <v>549999</v>
      </c>
      <c r="W64" s="39" t="s">
        <v>2363</v>
      </c>
      <c r="X64" s="39" t="s">
        <v>2363</v>
      </c>
      <c r="Y64" s="40">
        <f t="shared" si="9"/>
        <v>27499.95</v>
      </c>
      <c r="Z64" s="40">
        <f t="shared" si="10"/>
        <v>577498.94999999995</v>
      </c>
      <c r="AA64" s="41" t="str">
        <f t="shared" si="11"/>
        <v>0.0018</v>
      </c>
      <c r="AB64" s="41">
        <f t="shared" si="12"/>
        <v>0</v>
      </c>
      <c r="AC64" s="41">
        <f t="shared" si="13"/>
        <v>0</v>
      </c>
      <c r="AD64" s="41">
        <f t="shared" si="14"/>
        <v>0</v>
      </c>
      <c r="AE64" s="41">
        <f t="shared" si="15"/>
        <v>0</v>
      </c>
      <c r="AF64" s="41">
        <f t="shared" si="16"/>
        <v>0</v>
      </c>
      <c r="AG64" s="41">
        <f t="shared" si="17"/>
        <v>0</v>
      </c>
      <c r="AH64" s="41">
        <f t="shared" si="18"/>
        <v>0</v>
      </c>
      <c r="AI64" s="41">
        <f t="shared" si="19"/>
        <v>183</v>
      </c>
      <c r="AJ64" s="41">
        <f t="shared" si="20"/>
        <v>365</v>
      </c>
      <c r="AK64" s="41">
        <f t="shared" si="21"/>
        <v>181</v>
      </c>
      <c r="AL64" s="42">
        <f t="shared" si="22"/>
        <v>2.7123238356164383</v>
      </c>
      <c r="AM64" s="42">
        <f t="shared" si="23"/>
        <v>490.93061424657532</v>
      </c>
      <c r="AN64" s="43">
        <f t="shared" si="1"/>
        <v>522499.05</v>
      </c>
      <c r="AO64" s="43"/>
      <c r="AP64" s="42">
        <f t="shared" si="24"/>
        <v>54999.899999999965</v>
      </c>
      <c r="AQ64" s="43">
        <v>6</v>
      </c>
      <c r="AR64" s="44">
        <f t="shared" si="25"/>
        <v>0.90476190476190477</v>
      </c>
      <c r="AS64" s="45">
        <f t="shared" si="26"/>
        <v>1466.664</v>
      </c>
      <c r="AU64" s="1">
        <v>494999.1</v>
      </c>
      <c r="AV64" s="50">
        <v>27499.95</v>
      </c>
    </row>
    <row r="65" spans="1:48" s="1" customFormat="1" ht="37.200000000000003" thickTop="1" thickBot="1" x14ac:dyDescent="0.55000000000000004">
      <c r="A65" s="33">
        <v>58</v>
      </c>
      <c r="B65" s="34" t="s">
        <v>112</v>
      </c>
      <c r="C65" s="34" t="s">
        <v>965</v>
      </c>
      <c r="D65" s="35" t="s">
        <v>567</v>
      </c>
      <c r="E65" s="35" t="s">
        <v>966</v>
      </c>
      <c r="F65" s="36" t="s">
        <v>1024</v>
      </c>
      <c r="G65" s="36" t="s">
        <v>1420</v>
      </c>
      <c r="H65" s="36" t="s">
        <v>1421</v>
      </c>
      <c r="I65" s="36" t="s">
        <v>1421</v>
      </c>
      <c r="J65" s="36" t="s">
        <v>1421</v>
      </c>
      <c r="K65" s="36">
        <v>375</v>
      </c>
      <c r="L65" s="36" t="s">
        <v>1422</v>
      </c>
      <c r="M65" s="49">
        <v>4</v>
      </c>
      <c r="N65" s="37" t="s">
        <v>1480</v>
      </c>
      <c r="O65" s="37"/>
      <c r="P65" s="36">
        <v>1</v>
      </c>
      <c r="Q65" s="36" t="s">
        <v>1943</v>
      </c>
      <c r="R65" s="36" t="s">
        <v>1951</v>
      </c>
      <c r="S65" s="36" t="s">
        <v>1880</v>
      </c>
      <c r="T65" s="36" t="s">
        <v>1883</v>
      </c>
      <c r="U65" s="38">
        <v>45474</v>
      </c>
      <c r="V65" s="39">
        <v>652270</v>
      </c>
      <c r="W65" s="39" t="s">
        <v>2363</v>
      </c>
      <c r="X65" s="39" t="s">
        <v>2363</v>
      </c>
      <c r="Y65" s="40">
        <f t="shared" si="9"/>
        <v>32613.5</v>
      </c>
      <c r="Z65" s="40">
        <f t="shared" si="10"/>
        <v>684883.5</v>
      </c>
      <c r="AA65" s="41" t="str">
        <f t="shared" si="11"/>
        <v>0.0018</v>
      </c>
      <c r="AB65" s="41">
        <f t="shared" si="12"/>
        <v>0</v>
      </c>
      <c r="AC65" s="41">
        <f t="shared" si="13"/>
        <v>0</v>
      </c>
      <c r="AD65" s="41">
        <f t="shared" si="14"/>
        <v>0</v>
      </c>
      <c r="AE65" s="41">
        <f t="shared" si="15"/>
        <v>0</v>
      </c>
      <c r="AF65" s="41">
        <f t="shared" si="16"/>
        <v>0</v>
      </c>
      <c r="AG65" s="41">
        <f t="shared" si="17"/>
        <v>0</v>
      </c>
      <c r="AH65" s="41">
        <f t="shared" si="18"/>
        <v>0</v>
      </c>
      <c r="AI65" s="41">
        <f t="shared" si="19"/>
        <v>183</v>
      </c>
      <c r="AJ65" s="41">
        <f t="shared" si="20"/>
        <v>365</v>
      </c>
      <c r="AK65" s="41">
        <f t="shared" si="21"/>
        <v>181</v>
      </c>
      <c r="AL65" s="42">
        <f t="shared" si="22"/>
        <v>3.2166739726027398</v>
      </c>
      <c r="AM65" s="42">
        <f t="shared" si="23"/>
        <v>582.21798904109585</v>
      </c>
      <c r="AN65" s="43">
        <f t="shared" si="1"/>
        <v>619656.5</v>
      </c>
      <c r="AO65" s="43"/>
      <c r="AP65" s="42">
        <f t="shared" si="24"/>
        <v>65227</v>
      </c>
      <c r="AQ65" s="43">
        <v>6</v>
      </c>
      <c r="AR65" s="44">
        <f t="shared" si="25"/>
        <v>0.90476190476190477</v>
      </c>
      <c r="AS65" s="45">
        <f t="shared" si="26"/>
        <v>1739.3866666666668</v>
      </c>
      <c r="AU65" s="1">
        <v>587043</v>
      </c>
      <c r="AV65" s="50">
        <v>32613.5</v>
      </c>
    </row>
    <row r="66" spans="1:48" s="1" customFormat="1" ht="37.200000000000003" thickTop="1" thickBot="1" x14ac:dyDescent="0.55000000000000004">
      <c r="A66" s="33">
        <v>59</v>
      </c>
      <c r="B66" s="34" t="s">
        <v>113</v>
      </c>
      <c r="C66" s="34" t="s">
        <v>965</v>
      </c>
      <c r="D66" s="35" t="s">
        <v>568</v>
      </c>
      <c r="E66" s="35" t="s">
        <v>966</v>
      </c>
      <c r="F66" s="36" t="s">
        <v>1025</v>
      </c>
      <c r="G66" s="36" t="s">
        <v>1420</v>
      </c>
      <c r="H66" s="36" t="s">
        <v>1421</v>
      </c>
      <c r="I66" s="36" t="s">
        <v>1421</v>
      </c>
      <c r="J66" s="36" t="s">
        <v>1421</v>
      </c>
      <c r="K66" s="36">
        <v>375</v>
      </c>
      <c r="L66" s="36" t="s">
        <v>1422</v>
      </c>
      <c r="M66" s="49">
        <v>4</v>
      </c>
      <c r="N66" s="37" t="s">
        <v>1481</v>
      </c>
      <c r="O66" s="37"/>
      <c r="P66" s="36">
        <v>1</v>
      </c>
      <c r="Q66" s="36" t="s">
        <v>1943</v>
      </c>
      <c r="R66" s="36" t="s">
        <v>1952</v>
      </c>
      <c r="S66" s="36" t="s">
        <v>1880</v>
      </c>
      <c r="T66" s="36" t="s">
        <v>1881</v>
      </c>
      <c r="U66" s="38">
        <v>45474</v>
      </c>
      <c r="V66" s="39">
        <v>685974</v>
      </c>
      <c r="W66" s="39" t="s">
        <v>2363</v>
      </c>
      <c r="X66" s="39" t="s">
        <v>2363</v>
      </c>
      <c r="Y66" s="40">
        <f t="shared" si="9"/>
        <v>34298.699999999997</v>
      </c>
      <c r="Z66" s="40">
        <f t="shared" si="10"/>
        <v>720272.7</v>
      </c>
      <c r="AA66" s="41" t="str">
        <f t="shared" si="11"/>
        <v>0.0018</v>
      </c>
      <c r="AB66" s="41">
        <f t="shared" si="12"/>
        <v>0</v>
      </c>
      <c r="AC66" s="41">
        <f t="shared" si="13"/>
        <v>0</v>
      </c>
      <c r="AD66" s="41">
        <f t="shared" si="14"/>
        <v>0</v>
      </c>
      <c r="AE66" s="41">
        <f t="shared" si="15"/>
        <v>0</v>
      </c>
      <c r="AF66" s="41">
        <f t="shared" si="16"/>
        <v>0</v>
      </c>
      <c r="AG66" s="41">
        <f t="shared" si="17"/>
        <v>0</v>
      </c>
      <c r="AH66" s="41">
        <f t="shared" si="18"/>
        <v>0</v>
      </c>
      <c r="AI66" s="41">
        <f t="shared" si="19"/>
        <v>183</v>
      </c>
      <c r="AJ66" s="41">
        <f t="shared" si="20"/>
        <v>365</v>
      </c>
      <c r="AK66" s="41">
        <f t="shared" si="21"/>
        <v>181</v>
      </c>
      <c r="AL66" s="42">
        <f t="shared" si="22"/>
        <v>3.3828854794520544</v>
      </c>
      <c r="AM66" s="42">
        <f t="shared" si="23"/>
        <v>612.3022717808218</v>
      </c>
      <c r="AN66" s="43">
        <f t="shared" si="1"/>
        <v>617376.6</v>
      </c>
      <c r="AO66" s="43"/>
      <c r="AP66" s="42">
        <f t="shared" si="24"/>
        <v>102896.09999999998</v>
      </c>
      <c r="AQ66" s="43">
        <v>5</v>
      </c>
      <c r="AR66" s="44">
        <f t="shared" si="25"/>
        <v>0.85714285714285721</v>
      </c>
      <c r="AS66" s="45">
        <f t="shared" si="26"/>
        <v>1829.2639999999999</v>
      </c>
      <c r="AU66" s="1">
        <v>617376.6</v>
      </c>
      <c r="AV66" s="50">
        <v>0</v>
      </c>
    </row>
    <row r="67" spans="1:48" s="1" customFormat="1" ht="37.200000000000003" thickTop="1" thickBot="1" x14ac:dyDescent="0.55000000000000004">
      <c r="A67" s="33">
        <v>60</v>
      </c>
      <c r="B67" s="34" t="s">
        <v>114</v>
      </c>
      <c r="C67" s="34" t="s">
        <v>965</v>
      </c>
      <c r="D67" s="35" t="s">
        <v>569</v>
      </c>
      <c r="E67" s="35" t="s">
        <v>966</v>
      </c>
      <c r="F67" s="36" t="s">
        <v>1026</v>
      </c>
      <c r="G67" s="36" t="s">
        <v>1420</v>
      </c>
      <c r="H67" s="36" t="s">
        <v>1421</v>
      </c>
      <c r="I67" s="36" t="s">
        <v>1421</v>
      </c>
      <c r="J67" s="36" t="s">
        <v>1421</v>
      </c>
      <c r="K67" s="36">
        <v>375</v>
      </c>
      <c r="L67" s="36" t="s">
        <v>1422</v>
      </c>
      <c r="M67" s="49">
        <v>4</v>
      </c>
      <c r="N67" s="37" t="s">
        <v>1482</v>
      </c>
      <c r="O67" s="37"/>
      <c r="P67" s="36">
        <v>1</v>
      </c>
      <c r="Q67" s="36" t="s">
        <v>1943</v>
      </c>
      <c r="R67" s="36" t="s">
        <v>1953</v>
      </c>
      <c r="S67" s="36" t="s">
        <v>1880</v>
      </c>
      <c r="T67" s="36" t="s">
        <v>1881</v>
      </c>
      <c r="U67" s="38">
        <v>45474</v>
      </c>
      <c r="V67" s="39">
        <v>685974</v>
      </c>
      <c r="W67" s="39" t="s">
        <v>2363</v>
      </c>
      <c r="X67" s="39" t="s">
        <v>2363</v>
      </c>
      <c r="Y67" s="40">
        <f t="shared" si="9"/>
        <v>34298.699999999997</v>
      </c>
      <c r="Z67" s="40">
        <f t="shared" si="10"/>
        <v>720272.7</v>
      </c>
      <c r="AA67" s="41" t="str">
        <f t="shared" si="11"/>
        <v>0.0018</v>
      </c>
      <c r="AB67" s="41">
        <f t="shared" si="12"/>
        <v>0</v>
      </c>
      <c r="AC67" s="41">
        <f t="shared" si="13"/>
        <v>0</v>
      </c>
      <c r="AD67" s="41">
        <f t="shared" si="14"/>
        <v>0</v>
      </c>
      <c r="AE67" s="41">
        <f t="shared" si="15"/>
        <v>0</v>
      </c>
      <c r="AF67" s="41">
        <f t="shared" si="16"/>
        <v>0</v>
      </c>
      <c r="AG67" s="41">
        <f t="shared" si="17"/>
        <v>0</v>
      </c>
      <c r="AH67" s="41">
        <f t="shared" si="18"/>
        <v>0</v>
      </c>
      <c r="AI67" s="41">
        <f t="shared" si="19"/>
        <v>183</v>
      </c>
      <c r="AJ67" s="41">
        <f t="shared" si="20"/>
        <v>365</v>
      </c>
      <c r="AK67" s="41">
        <f t="shared" si="21"/>
        <v>181</v>
      </c>
      <c r="AL67" s="42">
        <f t="shared" si="22"/>
        <v>3.3828854794520544</v>
      </c>
      <c r="AM67" s="42">
        <f t="shared" si="23"/>
        <v>612.3022717808218</v>
      </c>
      <c r="AN67" s="43">
        <f t="shared" si="1"/>
        <v>617376.6</v>
      </c>
      <c r="AO67" s="43"/>
      <c r="AP67" s="42">
        <f t="shared" si="24"/>
        <v>102896.09999999998</v>
      </c>
      <c r="AQ67" s="43">
        <v>5</v>
      </c>
      <c r="AR67" s="44">
        <f t="shared" si="25"/>
        <v>0.85714285714285721</v>
      </c>
      <c r="AS67" s="45">
        <f t="shared" si="26"/>
        <v>1829.2639999999999</v>
      </c>
      <c r="AU67" s="1">
        <v>617376.6</v>
      </c>
      <c r="AV67" s="50">
        <v>0</v>
      </c>
    </row>
    <row r="68" spans="1:48" s="1" customFormat="1" ht="37.200000000000003" thickTop="1" thickBot="1" x14ac:dyDescent="0.55000000000000004">
      <c r="A68" s="33">
        <v>61</v>
      </c>
      <c r="B68" s="34" t="s">
        <v>115</v>
      </c>
      <c r="C68" s="34" t="s">
        <v>965</v>
      </c>
      <c r="D68" s="35" t="s">
        <v>570</v>
      </c>
      <c r="E68" s="35" t="s">
        <v>966</v>
      </c>
      <c r="F68" s="36" t="s">
        <v>1027</v>
      </c>
      <c r="G68" s="36" t="s">
        <v>1420</v>
      </c>
      <c r="H68" s="36" t="s">
        <v>1421</v>
      </c>
      <c r="I68" s="36" t="s">
        <v>1421</v>
      </c>
      <c r="J68" s="36" t="s">
        <v>1421</v>
      </c>
      <c r="K68" s="36">
        <v>476.97</v>
      </c>
      <c r="L68" s="36" t="s">
        <v>1422</v>
      </c>
      <c r="M68" s="49">
        <v>4</v>
      </c>
      <c r="N68" s="37" t="s">
        <v>1483</v>
      </c>
      <c r="O68" s="37"/>
      <c r="P68" s="36">
        <v>1</v>
      </c>
      <c r="Q68" s="36" t="s">
        <v>1954</v>
      </c>
      <c r="R68" s="36" t="s">
        <v>1955</v>
      </c>
      <c r="S68" s="36" t="s">
        <v>1880</v>
      </c>
      <c r="T68" s="36" t="s">
        <v>1881</v>
      </c>
      <c r="U68" s="38">
        <v>45474</v>
      </c>
      <c r="V68" s="39">
        <v>719192.33</v>
      </c>
      <c r="W68" s="39" t="s">
        <v>2363</v>
      </c>
      <c r="X68" s="39" t="s">
        <v>2363</v>
      </c>
      <c r="Y68" s="40">
        <f t="shared" si="9"/>
        <v>35959.616499999996</v>
      </c>
      <c r="Z68" s="40">
        <f t="shared" si="10"/>
        <v>755151.94649999996</v>
      </c>
      <c r="AA68" s="41" t="str">
        <f t="shared" si="11"/>
        <v>0.0022</v>
      </c>
      <c r="AB68" s="41">
        <f t="shared" si="12"/>
        <v>0</v>
      </c>
      <c r="AC68" s="41">
        <f t="shared" si="13"/>
        <v>0</v>
      </c>
      <c r="AD68" s="41">
        <f t="shared" si="14"/>
        <v>0</v>
      </c>
      <c r="AE68" s="41">
        <f t="shared" si="15"/>
        <v>0</v>
      </c>
      <c r="AF68" s="41">
        <f t="shared" si="16"/>
        <v>0</v>
      </c>
      <c r="AG68" s="41">
        <f t="shared" si="17"/>
        <v>0</v>
      </c>
      <c r="AH68" s="41">
        <f t="shared" si="18"/>
        <v>0</v>
      </c>
      <c r="AI68" s="41">
        <f t="shared" si="19"/>
        <v>183</v>
      </c>
      <c r="AJ68" s="41">
        <f t="shared" si="20"/>
        <v>365</v>
      </c>
      <c r="AK68" s="41">
        <f t="shared" si="21"/>
        <v>181</v>
      </c>
      <c r="AL68" s="42">
        <f t="shared" si="22"/>
        <v>4.3348578794520547</v>
      </c>
      <c r="AM68" s="42">
        <f t="shared" si="23"/>
        <v>784.60927618082189</v>
      </c>
      <c r="AN68" s="43">
        <f t="shared" si="1"/>
        <v>647273.11</v>
      </c>
      <c r="AO68" s="43"/>
      <c r="AP68" s="42">
        <f t="shared" si="24"/>
        <v>107878.83649999998</v>
      </c>
      <c r="AQ68" s="43">
        <v>5</v>
      </c>
      <c r="AR68" s="44">
        <f t="shared" si="25"/>
        <v>0.85714287435793557</v>
      </c>
      <c r="AS68" s="45">
        <f t="shared" si="26"/>
        <v>1507.8355661781661</v>
      </c>
      <c r="AU68" s="1">
        <v>539394.26</v>
      </c>
      <c r="AV68" s="50">
        <v>107878.85</v>
      </c>
    </row>
    <row r="69" spans="1:48" s="1" customFormat="1" ht="37.200000000000003" thickTop="1" thickBot="1" x14ac:dyDescent="0.55000000000000004">
      <c r="A69" s="33">
        <v>62</v>
      </c>
      <c r="B69" s="34" t="s">
        <v>116</v>
      </c>
      <c r="C69" s="34" t="s">
        <v>965</v>
      </c>
      <c r="D69" s="35" t="s">
        <v>571</v>
      </c>
      <c r="E69" s="35" t="s">
        <v>966</v>
      </c>
      <c r="F69" s="36" t="s">
        <v>1028</v>
      </c>
      <c r="G69" s="36" t="s">
        <v>1420</v>
      </c>
      <c r="H69" s="36" t="s">
        <v>1421</v>
      </c>
      <c r="I69" s="36" t="s">
        <v>1421</v>
      </c>
      <c r="J69" s="36" t="s">
        <v>1421</v>
      </c>
      <c r="K69" s="36">
        <v>356.25</v>
      </c>
      <c r="L69" s="36" t="s">
        <v>1422</v>
      </c>
      <c r="M69" s="49">
        <v>4</v>
      </c>
      <c r="N69" s="37" t="s">
        <v>1484</v>
      </c>
      <c r="O69" s="37"/>
      <c r="P69" s="36">
        <v>1</v>
      </c>
      <c r="Q69" s="36" t="s">
        <v>1956</v>
      </c>
      <c r="R69" s="36" t="s">
        <v>1957</v>
      </c>
      <c r="S69" s="36" t="s">
        <v>1880</v>
      </c>
      <c r="T69" s="36" t="s">
        <v>1881</v>
      </c>
      <c r="U69" s="38">
        <v>45474</v>
      </c>
      <c r="V69" s="39">
        <v>665315.31999999995</v>
      </c>
      <c r="W69" s="39" t="s">
        <v>2363</v>
      </c>
      <c r="X69" s="39" t="s">
        <v>2363</v>
      </c>
      <c r="Y69" s="40">
        <f t="shared" si="9"/>
        <v>33265.765999999996</v>
      </c>
      <c r="Z69" s="40">
        <f t="shared" si="10"/>
        <v>698581.08599999989</v>
      </c>
      <c r="AA69" s="41" t="str">
        <f t="shared" si="11"/>
        <v>0.0018</v>
      </c>
      <c r="AB69" s="41">
        <f t="shared" si="12"/>
        <v>0</v>
      </c>
      <c r="AC69" s="41">
        <f t="shared" si="13"/>
        <v>0</v>
      </c>
      <c r="AD69" s="41">
        <f t="shared" si="14"/>
        <v>0</v>
      </c>
      <c r="AE69" s="41">
        <f t="shared" si="15"/>
        <v>0</v>
      </c>
      <c r="AF69" s="41">
        <f t="shared" si="16"/>
        <v>0</v>
      </c>
      <c r="AG69" s="41">
        <f t="shared" si="17"/>
        <v>0</v>
      </c>
      <c r="AH69" s="41">
        <f t="shared" si="18"/>
        <v>0</v>
      </c>
      <c r="AI69" s="41">
        <f t="shared" si="19"/>
        <v>183</v>
      </c>
      <c r="AJ69" s="41">
        <f t="shared" si="20"/>
        <v>365</v>
      </c>
      <c r="AK69" s="41">
        <f t="shared" si="21"/>
        <v>181</v>
      </c>
      <c r="AL69" s="42">
        <f t="shared" si="22"/>
        <v>3.2810070575342465</v>
      </c>
      <c r="AM69" s="42">
        <f t="shared" si="23"/>
        <v>593.86227741369862</v>
      </c>
      <c r="AN69" s="43">
        <f t="shared" si="1"/>
        <v>632049.55000000005</v>
      </c>
      <c r="AO69" s="43"/>
      <c r="AP69" s="42">
        <f t="shared" si="24"/>
        <v>66531.535999999847</v>
      </c>
      <c r="AQ69" s="43">
        <v>6</v>
      </c>
      <c r="AR69" s="44">
        <f t="shared" si="25"/>
        <v>0.90476189903601278</v>
      </c>
      <c r="AS69" s="45">
        <f t="shared" si="26"/>
        <v>1867.5517754385965</v>
      </c>
      <c r="AU69" s="1">
        <v>498986.48</v>
      </c>
      <c r="AV69" s="50">
        <v>133063.07</v>
      </c>
    </row>
    <row r="70" spans="1:48" s="1" customFormat="1" ht="37.200000000000003" thickTop="1" thickBot="1" x14ac:dyDescent="0.55000000000000004">
      <c r="A70" s="33">
        <v>63</v>
      </c>
      <c r="B70" s="34" t="s">
        <v>117</v>
      </c>
      <c r="C70" s="34" t="s">
        <v>965</v>
      </c>
      <c r="D70" s="35" t="s">
        <v>572</v>
      </c>
      <c r="E70" s="35" t="s">
        <v>966</v>
      </c>
      <c r="F70" s="36" t="s">
        <v>1029</v>
      </c>
      <c r="G70" s="36" t="s">
        <v>1420</v>
      </c>
      <c r="H70" s="36" t="s">
        <v>1421</v>
      </c>
      <c r="I70" s="36" t="s">
        <v>1421</v>
      </c>
      <c r="J70" s="36" t="s">
        <v>1421</v>
      </c>
      <c r="K70" s="36">
        <v>356.25</v>
      </c>
      <c r="L70" s="36" t="s">
        <v>1422</v>
      </c>
      <c r="M70" s="49">
        <v>4</v>
      </c>
      <c r="N70" s="37" t="s">
        <v>1485</v>
      </c>
      <c r="O70" s="37"/>
      <c r="P70" s="36">
        <v>1</v>
      </c>
      <c r="Q70" s="36" t="s">
        <v>1956</v>
      </c>
      <c r="R70" s="36" t="s">
        <v>1958</v>
      </c>
      <c r="S70" s="36" t="s">
        <v>1880</v>
      </c>
      <c r="T70" s="36" t="s">
        <v>1881</v>
      </c>
      <c r="U70" s="38">
        <v>45474</v>
      </c>
      <c r="V70" s="39">
        <v>665315.31999999995</v>
      </c>
      <c r="W70" s="39" t="s">
        <v>2363</v>
      </c>
      <c r="X70" s="39" t="s">
        <v>2363</v>
      </c>
      <c r="Y70" s="40">
        <f t="shared" si="9"/>
        <v>33265.765999999996</v>
      </c>
      <c r="Z70" s="40">
        <f t="shared" si="10"/>
        <v>698581.08599999989</v>
      </c>
      <c r="AA70" s="41" t="str">
        <f t="shared" si="11"/>
        <v>0.0018</v>
      </c>
      <c r="AB70" s="41">
        <f t="shared" si="12"/>
        <v>0</v>
      </c>
      <c r="AC70" s="41">
        <f t="shared" si="13"/>
        <v>0</v>
      </c>
      <c r="AD70" s="41">
        <f t="shared" si="14"/>
        <v>0</v>
      </c>
      <c r="AE70" s="41">
        <f t="shared" si="15"/>
        <v>0</v>
      </c>
      <c r="AF70" s="41">
        <f t="shared" si="16"/>
        <v>0</v>
      </c>
      <c r="AG70" s="41">
        <f t="shared" si="17"/>
        <v>0</v>
      </c>
      <c r="AH70" s="41">
        <f t="shared" si="18"/>
        <v>0</v>
      </c>
      <c r="AI70" s="41">
        <f t="shared" si="19"/>
        <v>183</v>
      </c>
      <c r="AJ70" s="41">
        <f t="shared" si="20"/>
        <v>365</v>
      </c>
      <c r="AK70" s="41">
        <f t="shared" si="21"/>
        <v>181</v>
      </c>
      <c r="AL70" s="42">
        <f t="shared" si="22"/>
        <v>3.2810070575342465</v>
      </c>
      <c r="AM70" s="42">
        <f t="shared" si="23"/>
        <v>593.86227741369862</v>
      </c>
      <c r="AN70" s="43">
        <f t="shared" si="1"/>
        <v>598783.78</v>
      </c>
      <c r="AO70" s="43"/>
      <c r="AP70" s="42">
        <f t="shared" si="24"/>
        <v>99797.305999999866</v>
      </c>
      <c r="AQ70" s="43">
        <v>5</v>
      </c>
      <c r="AR70" s="44">
        <f t="shared" si="25"/>
        <v>0.85714284569107291</v>
      </c>
      <c r="AS70" s="45">
        <f t="shared" si="26"/>
        <v>1867.5517754385965</v>
      </c>
      <c r="AU70" s="1">
        <v>498986.48</v>
      </c>
      <c r="AV70" s="50">
        <v>99797.3</v>
      </c>
    </row>
    <row r="71" spans="1:48" s="1" customFormat="1" ht="37.200000000000003" thickTop="1" thickBot="1" x14ac:dyDescent="0.55000000000000004">
      <c r="A71" s="33">
        <v>64</v>
      </c>
      <c r="B71" s="34" t="s">
        <v>118</v>
      </c>
      <c r="C71" s="34" t="s">
        <v>965</v>
      </c>
      <c r="D71" s="35" t="s">
        <v>573</v>
      </c>
      <c r="E71" s="35" t="s">
        <v>966</v>
      </c>
      <c r="F71" s="36" t="s">
        <v>1030</v>
      </c>
      <c r="G71" s="36" t="s">
        <v>1420</v>
      </c>
      <c r="H71" s="36" t="s">
        <v>1421</v>
      </c>
      <c r="I71" s="36" t="s">
        <v>1421</v>
      </c>
      <c r="J71" s="36" t="s">
        <v>1421</v>
      </c>
      <c r="K71" s="36">
        <v>356.25</v>
      </c>
      <c r="L71" s="36" t="s">
        <v>1422</v>
      </c>
      <c r="M71" s="49">
        <v>4</v>
      </c>
      <c r="N71" s="37" t="s">
        <v>1486</v>
      </c>
      <c r="O71" s="37"/>
      <c r="P71" s="36">
        <v>1</v>
      </c>
      <c r="Q71" s="36" t="s">
        <v>1956</v>
      </c>
      <c r="R71" s="36" t="s">
        <v>1959</v>
      </c>
      <c r="S71" s="36" t="s">
        <v>1880</v>
      </c>
      <c r="T71" s="36" t="s">
        <v>1901</v>
      </c>
      <c r="U71" s="38">
        <v>45474</v>
      </c>
      <c r="V71" s="39">
        <v>665315.31999999995</v>
      </c>
      <c r="W71" s="39" t="s">
        <v>2363</v>
      </c>
      <c r="X71" s="39" t="s">
        <v>2363</v>
      </c>
      <c r="Y71" s="40">
        <f t="shared" si="9"/>
        <v>33265.765999999996</v>
      </c>
      <c r="Z71" s="40">
        <f t="shared" si="10"/>
        <v>698581.08599999989</v>
      </c>
      <c r="AA71" s="41" t="str">
        <f t="shared" si="11"/>
        <v>0.0018</v>
      </c>
      <c r="AB71" s="41">
        <f t="shared" si="12"/>
        <v>0</v>
      </c>
      <c r="AC71" s="41">
        <f t="shared" si="13"/>
        <v>0</v>
      </c>
      <c r="AD71" s="41">
        <f t="shared" si="14"/>
        <v>0</v>
      </c>
      <c r="AE71" s="41">
        <f t="shared" si="15"/>
        <v>0</v>
      </c>
      <c r="AF71" s="41">
        <f t="shared" si="16"/>
        <v>0</v>
      </c>
      <c r="AG71" s="41">
        <f t="shared" si="17"/>
        <v>0</v>
      </c>
      <c r="AH71" s="41">
        <f t="shared" si="18"/>
        <v>0</v>
      </c>
      <c r="AI71" s="41">
        <f t="shared" si="19"/>
        <v>183</v>
      </c>
      <c r="AJ71" s="41">
        <f t="shared" si="20"/>
        <v>365</v>
      </c>
      <c r="AK71" s="41">
        <f t="shared" si="21"/>
        <v>181</v>
      </c>
      <c r="AL71" s="42">
        <f t="shared" si="22"/>
        <v>3.2810070575342465</v>
      </c>
      <c r="AM71" s="42">
        <f t="shared" si="23"/>
        <v>593.86227741369862</v>
      </c>
      <c r="AN71" s="43">
        <f t="shared" si="1"/>
        <v>632049.42999999993</v>
      </c>
      <c r="AO71" s="43"/>
      <c r="AP71" s="42">
        <f t="shared" si="24"/>
        <v>66531.655999999959</v>
      </c>
      <c r="AQ71" s="43">
        <v>6</v>
      </c>
      <c r="AR71" s="44">
        <f t="shared" si="25"/>
        <v>0.9047617272592462</v>
      </c>
      <c r="AS71" s="45">
        <f t="shared" si="26"/>
        <v>1867.5517754385965</v>
      </c>
      <c r="AU71" s="1">
        <v>598783.67999999993</v>
      </c>
      <c r="AV71" s="50">
        <v>33265.75</v>
      </c>
    </row>
    <row r="72" spans="1:48" s="1" customFormat="1" ht="37.200000000000003" thickTop="1" thickBot="1" x14ac:dyDescent="0.55000000000000004">
      <c r="A72" s="33">
        <v>65</v>
      </c>
      <c r="B72" s="34" t="s">
        <v>119</v>
      </c>
      <c r="C72" s="34" t="s">
        <v>965</v>
      </c>
      <c r="D72" s="35" t="s">
        <v>574</v>
      </c>
      <c r="E72" s="35" t="s">
        <v>966</v>
      </c>
      <c r="F72" s="36" t="s">
        <v>1031</v>
      </c>
      <c r="G72" s="36" t="s">
        <v>1420</v>
      </c>
      <c r="H72" s="36" t="s">
        <v>1421</v>
      </c>
      <c r="I72" s="36" t="s">
        <v>1421</v>
      </c>
      <c r="J72" s="36" t="s">
        <v>1421</v>
      </c>
      <c r="K72" s="36">
        <v>356.25</v>
      </c>
      <c r="L72" s="36" t="s">
        <v>1422</v>
      </c>
      <c r="M72" s="49">
        <v>4</v>
      </c>
      <c r="N72" s="37" t="s">
        <v>1487</v>
      </c>
      <c r="O72" s="37"/>
      <c r="P72" s="36">
        <v>1</v>
      </c>
      <c r="Q72" s="36" t="s">
        <v>1956</v>
      </c>
      <c r="R72" s="36" t="s">
        <v>1960</v>
      </c>
      <c r="S72" s="36" t="s">
        <v>1880</v>
      </c>
      <c r="T72" s="36" t="s">
        <v>1901</v>
      </c>
      <c r="U72" s="38">
        <v>45474</v>
      </c>
      <c r="V72" s="39">
        <v>658314.05000000005</v>
      </c>
      <c r="W72" s="39" t="s">
        <v>2363</v>
      </c>
      <c r="X72" s="39" t="s">
        <v>2363</v>
      </c>
      <c r="Y72" s="40">
        <f t="shared" si="9"/>
        <v>32915.702499999999</v>
      </c>
      <c r="Z72" s="40">
        <f t="shared" si="10"/>
        <v>691229.75250000006</v>
      </c>
      <c r="AA72" s="41" t="str">
        <f t="shared" si="11"/>
        <v>0.0018</v>
      </c>
      <c r="AB72" s="41">
        <f t="shared" si="12"/>
        <v>0</v>
      </c>
      <c r="AC72" s="41">
        <f t="shared" si="13"/>
        <v>0</v>
      </c>
      <c r="AD72" s="41">
        <f t="shared" si="14"/>
        <v>0</v>
      </c>
      <c r="AE72" s="41">
        <f t="shared" si="15"/>
        <v>0</v>
      </c>
      <c r="AF72" s="41">
        <f t="shared" si="16"/>
        <v>0</v>
      </c>
      <c r="AG72" s="41">
        <f t="shared" si="17"/>
        <v>0</v>
      </c>
      <c r="AH72" s="41">
        <f t="shared" si="18"/>
        <v>0</v>
      </c>
      <c r="AI72" s="41">
        <f t="shared" si="19"/>
        <v>183</v>
      </c>
      <c r="AJ72" s="41">
        <f t="shared" si="20"/>
        <v>365</v>
      </c>
      <c r="AK72" s="41">
        <f t="shared" si="21"/>
        <v>181</v>
      </c>
      <c r="AL72" s="42">
        <f t="shared" si="22"/>
        <v>3.2464802465753428</v>
      </c>
      <c r="AM72" s="42">
        <f t="shared" si="23"/>
        <v>587.61292463013706</v>
      </c>
      <c r="AN72" s="43">
        <f t="shared" ref="AN72:AN135" si="27">AV72+AU72</f>
        <v>625398.32999999996</v>
      </c>
      <c r="AO72" s="43"/>
      <c r="AP72" s="42">
        <f t="shared" si="24"/>
        <v>65831.422500000102</v>
      </c>
      <c r="AQ72" s="43">
        <v>6</v>
      </c>
      <c r="AR72" s="44">
        <f t="shared" si="25"/>
        <v>0.90476187944470732</v>
      </c>
      <c r="AS72" s="45">
        <f t="shared" si="26"/>
        <v>1847.8990877192984</v>
      </c>
      <c r="AU72" s="1">
        <v>592482.63</v>
      </c>
      <c r="AV72" s="50">
        <v>32915.699999999997</v>
      </c>
    </row>
    <row r="73" spans="1:48" s="1" customFormat="1" ht="37.200000000000003" thickTop="1" thickBot="1" x14ac:dyDescent="0.55000000000000004">
      <c r="A73" s="33">
        <v>66</v>
      </c>
      <c r="B73" s="34" t="s">
        <v>120</v>
      </c>
      <c r="C73" s="34" t="s">
        <v>965</v>
      </c>
      <c r="D73" s="35" t="s">
        <v>575</v>
      </c>
      <c r="E73" s="35" t="s">
        <v>966</v>
      </c>
      <c r="F73" s="36" t="s">
        <v>1032</v>
      </c>
      <c r="G73" s="36" t="s">
        <v>1420</v>
      </c>
      <c r="H73" s="36" t="s">
        <v>1421</v>
      </c>
      <c r="I73" s="36" t="s">
        <v>1421</v>
      </c>
      <c r="J73" s="36" t="s">
        <v>1421</v>
      </c>
      <c r="K73" s="36">
        <v>357.56</v>
      </c>
      <c r="L73" s="36" t="s">
        <v>1422</v>
      </c>
      <c r="M73" s="49">
        <v>4</v>
      </c>
      <c r="N73" s="37" t="s">
        <v>1488</v>
      </c>
      <c r="O73" s="37"/>
      <c r="P73" s="36">
        <v>1</v>
      </c>
      <c r="Q73" s="36" t="s">
        <v>1956</v>
      </c>
      <c r="R73" s="36" t="s">
        <v>1961</v>
      </c>
      <c r="S73" s="36" t="s">
        <v>1880</v>
      </c>
      <c r="T73" s="36" t="s">
        <v>1881</v>
      </c>
      <c r="U73" s="38">
        <v>45474</v>
      </c>
      <c r="V73" s="39">
        <v>658968</v>
      </c>
      <c r="W73" s="39" t="s">
        <v>2363</v>
      </c>
      <c r="X73" s="39" t="s">
        <v>2363</v>
      </c>
      <c r="Y73" s="40">
        <f t="shared" si="9"/>
        <v>32948.400000000001</v>
      </c>
      <c r="Z73" s="40">
        <f t="shared" si="10"/>
        <v>691916.4</v>
      </c>
      <c r="AA73" s="41" t="str">
        <f t="shared" si="11"/>
        <v>0.0018</v>
      </c>
      <c r="AB73" s="41">
        <f t="shared" si="12"/>
        <v>0</v>
      </c>
      <c r="AC73" s="41">
        <f t="shared" si="13"/>
        <v>0</v>
      </c>
      <c r="AD73" s="41">
        <f t="shared" si="14"/>
        <v>0</v>
      </c>
      <c r="AE73" s="41">
        <f t="shared" si="15"/>
        <v>0</v>
      </c>
      <c r="AF73" s="41">
        <f t="shared" si="16"/>
        <v>0</v>
      </c>
      <c r="AG73" s="41">
        <f t="shared" si="17"/>
        <v>0</v>
      </c>
      <c r="AH73" s="41">
        <f t="shared" si="18"/>
        <v>0</v>
      </c>
      <c r="AI73" s="41">
        <f t="shared" si="19"/>
        <v>183</v>
      </c>
      <c r="AJ73" s="41">
        <f t="shared" si="20"/>
        <v>365</v>
      </c>
      <c r="AK73" s="41">
        <f t="shared" si="21"/>
        <v>181</v>
      </c>
      <c r="AL73" s="42">
        <f t="shared" si="22"/>
        <v>3.2497052054794517</v>
      </c>
      <c r="AM73" s="42">
        <f t="shared" si="23"/>
        <v>588.19664219178071</v>
      </c>
      <c r="AN73" s="43">
        <f t="shared" si="27"/>
        <v>626019.6</v>
      </c>
      <c r="AO73" s="43"/>
      <c r="AP73" s="42">
        <f t="shared" si="24"/>
        <v>65896.800000000047</v>
      </c>
      <c r="AQ73" s="43">
        <v>6</v>
      </c>
      <c r="AR73" s="44">
        <f t="shared" si="25"/>
        <v>0.90476190476190466</v>
      </c>
      <c r="AS73" s="45">
        <f t="shared" si="26"/>
        <v>1842.9578252600961</v>
      </c>
      <c r="AU73" s="1">
        <v>593071.19999999995</v>
      </c>
      <c r="AV73" s="50">
        <v>32948.400000000001</v>
      </c>
    </row>
    <row r="74" spans="1:48" s="1" customFormat="1" ht="37.200000000000003" thickTop="1" thickBot="1" x14ac:dyDescent="0.55000000000000004">
      <c r="A74" s="33">
        <v>67</v>
      </c>
      <c r="B74" s="34" t="s">
        <v>121</v>
      </c>
      <c r="C74" s="34" t="s">
        <v>965</v>
      </c>
      <c r="D74" s="35" t="s">
        <v>576</v>
      </c>
      <c r="E74" s="35" t="s">
        <v>966</v>
      </c>
      <c r="F74" s="36" t="s">
        <v>1033</v>
      </c>
      <c r="G74" s="36" t="s">
        <v>1420</v>
      </c>
      <c r="H74" s="36" t="s">
        <v>1421</v>
      </c>
      <c r="I74" s="36" t="s">
        <v>1421</v>
      </c>
      <c r="J74" s="36" t="s">
        <v>1421</v>
      </c>
      <c r="K74" s="36">
        <v>400.81</v>
      </c>
      <c r="L74" s="36" t="s">
        <v>1422</v>
      </c>
      <c r="M74" s="49">
        <v>4</v>
      </c>
      <c r="N74" s="37" t="s">
        <v>1489</v>
      </c>
      <c r="O74" s="37"/>
      <c r="P74" s="36">
        <v>1</v>
      </c>
      <c r="Q74" s="36" t="s">
        <v>1962</v>
      </c>
      <c r="R74" s="36" t="s">
        <v>1963</v>
      </c>
      <c r="S74" s="36" t="s">
        <v>1880</v>
      </c>
      <c r="T74" s="36" t="s">
        <v>1901</v>
      </c>
      <c r="U74" s="38">
        <v>45474</v>
      </c>
      <c r="V74" s="39">
        <v>793821</v>
      </c>
      <c r="W74" s="39" t="s">
        <v>2363</v>
      </c>
      <c r="X74" s="39" t="s">
        <v>2363</v>
      </c>
      <c r="Y74" s="40">
        <f t="shared" si="9"/>
        <v>39691.050000000003</v>
      </c>
      <c r="Z74" s="40">
        <f t="shared" si="10"/>
        <v>833512.05</v>
      </c>
      <c r="AA74" s="41" t="str">
        <f t="shared" si="11"/>
        <v>0.0022</v>
      </c>
      <c r="AB74" s="41">
        <f t="shared" si="12"/>
        <v>0</v>
      </c>
      <c r="AC74" s="41">
        <f t="shared" si="13"/>
        <v>0</v>
      </c>
      <c r="AD74" s="41">
        <f t="shared" si="14"/>
        <v>0</v>
      </c>
      <c r="AE74" s="41">
        <f t="shared" si="15"/>
        <v>0</v>
      </c>
      <c r="AF74" s="41">
        <f t="shared" si="16"/>
        <v>0</v>
      </c>
      <c r="AG74" s="41">
        <f t="shared" si="17"/>
        <v>0</v>
      </c>
      <c r="AH74" s="41">
        <f t="shared" si="18"/>
        <v>0</v>
      </c>
      <c r="AI74" s="41">
        <f t="shared" si="19"/>
        <v>183</v>
      </c>
      <c r="AJ74" s="41">
        <f t="shared" si="20"/>
        <v>365</v>
      </c>
      <c r="AK74" s="41">
        <f t="shared" si="21"/>
        <v>181</v>
      </c>
      <c r="AL74" s="42">
        <f t="shared" si="22"/>
        <v>4.784674520547946</v>
      </c>
      <c r="AM74" s="42">
        <f t="shared" si="23"/>
        <v>866.02608821917818</v>
      </c>
      <c r="AN74" s="43">
        <f t="shared" si="27"/>
        <v>754129.95</v>
      </c>
      <c r="AO74" s="43"/>
      <c r="AP74" s="42">
        <f t="shared" si="24"/>
        <v>79382.100000000093</v>
      </c>
      <c r="AQ74" s="43">
        <v>6</v>
      </c>
      <c r="AR74" s="44">
        <f t="shared" si="25"/>
        <v>0.90476190476190466</v>
      </c>
      <c r="AS74" s="45">
        <f t="shared" si="26"/>
        <v>1980.5419026471395</v>
      </c>
      <c r="AU74" s="1">
        <v>714438.89999999991</v>
      </c>
      <c r="AV74" s="50">
        <v>39691.050000000003</v>
      </c>
    </row>
    <row r="75" spans="1:48" s="1" customFormat="1" ht="37.200000000000003" thickTop="1" thickBot="1" x14ac:dyDescent="0.55000000000000004">
      <c r="A75" s="33">
        <v>68</v>
      </c>
      <c r="B75" s="34" t="s">
        <v>122</v>
      </c>
      <c r="C75" s="34" t="s">
        <v>965</v>
      </c>
      <c r="D75" s="35" t="s">
        <v>577</v>
      </c>
      <c r="E75" s="35" t="s">
        <v>966</v>
      </c>
      <c r="F75" s="36" t="s">
        <v>1034</v>
      </c>
      <c r="G75" s="36" t="s">
        <v>1420</v>
      </c>
      <c r="H75" s="36" t="s">
        <v>1421</v>
      </c>
      <c r="I75" s="36" t="s">
        <v>1421</v>
      </c>
      <c r="J75" s="36" t="s">
        <v>1421</v>
      </c>
      <c r="K75" s="36">
        <v>362.5</v>
      </c>
      <c r="L75" s="36" t="s">
        <v>1422</v>
      </c>
      <c r="M75" s="49">
        <v>4</v>
      </c>
      <c r="N75" s="37" t="s">
        <v>1490</v>
      </c>
      <c r="O75" s="37"/>
      <c r="P75" s="36">
        <v>1</v>
      </c>
      <c r="Q75" s="36" t="s">
        <v>1964</v>
      </c>
      <c r="R75" s="36" t="s">
        <v>1965</v>
      </c>
      <c r="S75" s="36" t="s">
        <v>1880</v>
      </c>
      <c r="T75" s="36" t="s">
        <v>1881</v>
      </c>
      <c r="U75" s="38">
        <v>45474</v>
      </c>
      <c r="V75" s="39">
        <v>545000</v>
      </c>
      <c r="W75" s="39" t="s">
        <v>2363</v>
      </c>
      <c r="X75" s="39" t="s">
        <v>2363</v>
      </c>
      <c r="Y75" s="40">
        <f t="shared" si="9"/>
        <v>27250</v>
      </c>
      <c r="Z75" s="40">
        <f t="shared" si="10"/>
        <v>572250</v>
      </c>
      <c r="AA75" s="41" t="str">
        <f t="shared" si="11"/>
        <v>0.0018</v>
      </c>
      <c r="AB75" s="41">
        <f t="shared" si="12"/>
        <v>0</v>
      </c>
      <c r="AC75" s="41">
        <f t="shared" si="13"/>
        <v>0</v>
      </c>
      <c r="AD75" s="41">
        <f t="shared" si="14"/>
        <v>0</v>
      </c>
      <c r="AE75" s="41">
        <f t="shared" si="15"/>
        <v>0</v>
      </c>
      <c r="AF75" s="41">
        <f t="shared" si="16"/>
        <v>0</v>
      </c>
      <c r="AG75" s="41">
        <f t="shared" si="17"/>
        <v>0</v>
      </c>
      <c r="AH75" s="41">
        <f t="shared" si="18"/>
        <v>0</v>
      </c>
      <c r="AI75" s="41">
        <f t="shared" si="19"/>
        <v>183</v>
      </c>
      <c r="AJ75" s="41">
        <f t="shared" si="20"/>
        <v>365</v>
      </c>
      <c r="AK75" s="41">
        <f t="shared" si="21"/>
        <v>181</v>
      </c>
      <c r="AL75" s="42">
        <f t="shared" si="22"/>
        <v>2.6876712328767125</v>
      </c>
      <c r="AM75" s="42">
        <f t="shared" si="23"/>
        <v>486.46849315068494</v>
      </c>
      <c r="AN75" s="43">
        <f t="shared" si="27"/>
        <v>517750</v>
      </c>
      <c r="AO75" s="43"/>
      <c r="AP75" s="42">
        <f t="shared" si="24"/>
        <v>54500</v>
      </c>
      <c r="AQ75" s="43">
        <v>6</v>
      </c>
      <c r="AR75" s="44">
        <f t="shared" si="25"/>
        <v>0.90476190476190477</v>
      </c>
      <c r="AS75" s="45">
        <f t="shared" si="26"/>
        <v>1503.4482758620691</v>
      </c>
      <c r="AU75" s="1">
        <v>490500</v>
      </c>
      <c r="AV75" s="50">
        <v>27250</v>
      </c>
    </row>
    <row r="76" spans="1:48" s="1" customFormat="1" ht="37.200000000000003" thickTop="1" thickBot="1" x14ac:dyDescent="0.55000000000000004">
      <c r="A76" s="33">
        <v>69</v>
      </c>
      <c r="B76" s="34" t="s">
        <v>123</v>
      </c>
      <c r="C76" s="34" t="s">
        <v>965</v>
      </c>
      <c r="D76" s="35" t="s">
        <v>578</v>
      </c>
      <c r="E76" s="35" t="s">
        <v>966</v>
      </c>
      <c r="F76" s="36" t="s">
        <v>1035</v>
      </c>
      <c r="G76" s="36" t="s">
        <v>1420</v>
      </c>
      <c r="H76" s="36" t="s">
        <v>1421</v>
      </c>
      <c r="I76" s="36" t="s">
        <v>1421</v>
      </c>
      <c r="J76" s="36" t="s">
        <v>1421</v>
      </c>
      <c r="K76" s="36">
        <v>362.5</v>
      </c>
      <c r="L76" s="36" t="s">
        <v>1422</v>
      </c>
      <c r="M76" s="49">
        <v>4</v>
      </c>
      <c r="N76" s="37" t="s">
        <v>1491</v>
      </c>
      <c r="O76" s="37"/>
      <c r="P76" s="36">
        <v>1</v>
      </c>
      <c r="Q76" s="36" t="s">
        <v>1964</v>
      </c>
      <c r="R76" s="36" t="s">
        <v>1966</v>
      </c>
      <c r="S76" s="36" t="s">
        <v>1880</v>
      </c>
      <c r="T76" s="36" t="s">
        <v>1881</v>
      </c>
      <c r="U76" s="38">
        <v>45474</v>
      </c>
      <c r="V76" s="39">
        <v>545000</v>
      </c>
      <c r="W76" s="39" t="s">
        <v>2363</v>
      </c>
      <c r="X76" s="39" t="s">
        <v>2363</v>
      </c>
      <c r="Y76" s="40">
        <f t="shared" si="9"/>
        <v>27250</v>
      </c>
      <c r="Z76" s="40">
        <f t="shared" si="10"/>
        <v>572250</v>
      </c>
      <c r="AA76" s="41" t="str">
        <f t="shared" si="11"/>
        <v>0.0018</v>
      </c>
      <c r="AB76" s="41">
        <f t="shared" si="12"/>
        <v>0</v>
      </c>
      <c r="AC76" s="41">
        <f t="shared" si="13"/>
        <v>0</v>
      </c>
      <c r="AD76" s="41">
        <f t="shared" si="14"/>
        <v>0</v>
      </c>
      <c r="AE76" s="41">
        <f t="shared" si="15"/>
        <v>0</v>
      </c>
      <c r="AF76" s="41">
        <f t="shared" si="16"/>
        <v>0</v>
      </c>
      <c r="AG76" s="41">
        <f t="shared" si="17"/>
        <v>0</v>
      </c>
      <c r="AH76" s="41">
        <f t="shared" si="18"/>
        <v>0</v>
      </c>
      <c r="AI76" s="41">
        <f t="shared" si="19"/>
        <v>183</v>
      </c>
      <c r="AJ76" s="41">
        <f t="shared" si="20"/>
        <v>365</v>
      </c>
      <c r="AK76" s="41">
        <f t="shared" si="21"/>
        <v>181</v>
      </c>
      <c r="AL76" s="42">
        <f t="shared" si="22"/>
        <v>2.6876712328767125</v>
      </c>
      <c r="AM76" s="42">
        <f t="shared" si="23"/>
        <v>486.46849315068494</v>
      </c>
      <c r="AN76" s="43">
        <f t="shared" si="27"/>
        <v>517750</v>
      </c>
      <c r="AO76" s="43"/>
      <c r="AP76" s="42">
        <f t="shared" si="24"/>
        <v>54500</v>
      </c>
      <c r="AQ76" s="43">
        <v>6</v>
      </c>
      <c r="AR76" s="44">
        <f t="shared" si="25"/>
        <v>0.90476190476190477</v>
      </c>
      <c r="AS76" s="45">
        <f t="shared" si="26"/>
        <v>1503.4482758620691</v>
      </c>
      <c r="AU76" s="1">
        <v>490500</v>
      </c>
      <c r="AV76" s="50">
        <v>27250</v>
      </c>
    </row>
    <row r="77" spans="1:48" s="1" customFormat="1" ht="37.200000000000003" thickTop="1" thickBot="1" x14ac:dyDescent="0.55000000000000004">
      <c r="A77" s="33">
        <v>70</v>
      </c>
      <c r="B77" s="34" t="s">
        <v>124</v>
      </c>
      <c r="C77" s="34" t="s">
        <v>965</v>
      </c>
      <c r="D77" s="35" t="s">
        <v>579</v>
      </c>
      <c r="E77" s="35" t="s">
        <v>966</v>
      </c>
      <c r="F77" s="36" t="s">
        <v>1036</v>
      </c>
      <c r="G77" s="36" t="s">
        <v>1420</v>
      </c>
      <c r="H77" s="36" t="s">
        <v>1421</v>
      </c>
      <c r="I77" s="36" t="s">
        <v>1421</v>
      </c>
      <c r="J77" s="36" t="s">
        <v>1421</v>
      </c>
      <c r="K77" s="36">
        <v>362.5</v>
      </c>
      <c r="L77" s="36" t="s">
        <v>1422</v>
      </c>
      <c r="M77" s="49">
        <v>4</v>
      </c>
      <c r="N77" s="37" t="s">
        <v>1492</v>
      </c>
      <c r="O77" s="37"/>
      <c r="P77" s="36">
        <v>1</v>
      </c>
      <c r="Q77" s="36" t="s">
        <v>1964</v>
      </c>
      <c r="R77" s="36" t="s">
        <v>1967</v>
      </c>
      <c r="S77" s="36" t="s">
        <v>1880</v>
      </c>
      <c r="T77" s="36" t="s">
        <v>1881</v>
      </c>
      <c r="U77" s="38">
        <v>45474</v>
      </c>
      <c r="V77" s="39">
        <v>545000</v>
      </c>
      <c r="W77" s="39" t="s">
        <v>2363</v>
      </c>
      <c r="X77" s="39" t="s">
        <v>2363</v>
      </c>
      <c r="Y77" s="40">
        <f t="shared" ref="Y77:Y140" si="28">V77*5/100</f>
        <v>27250</v>
      </c>
      <c r="Z77" s="40">
        <f t="shared" ref="Z77:Z140" si="29">V77+Y77</f>
        <v>572250</v>
      </c>
      <c r="AA77" s="41" t="str">
        <f t="shared" ref="AA77:AA140" si="30">IF(V77&lt;=500000,"0.0012",IF(AND(V77&gt;500000,V77&lt;=699999),"0.0018",IF(AND(V77&gt;=700000,V77&lt;=999999),"0.0022",IF(AND(V77&gt;=1000000,V77&lt;1500000),"0.0026","0.003"))))</f>
        <v>0.0018</v>
      </c>
      <c r="AB77" s="41">
        <f t="shared" ref="AB77:AB140" si="31">+IF($AB$7&gt;U77,$AB$7-U77,0)</f>
        <v>0</v>
      </c>
      <c r="AC77" s="41">
        <f t="shared" ref="AC77:AC140" si="32">+IF($AC$7&gt;U77,$AC$7-U77-AB77,0)</f>
        <v>0</v>
      </c>
      <c r="AD77" s="41">
        <f t="shared" ref="AD77:AD140" si="33">+IF($AD$7&gt;U77,$AD$7-U77-AB77-AC77,0)</f>
        <v>0</v>
      </c>
      <c r="AE77" s="41">
        <f t="shared" ref="AE77:AE140" si="34">+IF($AE$7&gt;U77,$AE$7-U77-AB77-AD77-AC77,0)</f>
        <v>0</v>
      </c>
      <c r="AF77" s="41">
        <f t="shared" ref="AF77:AF140" si="35">+IF($AF$7&gt;U77,$AF$7-U77-AB77-AC77-AD77-AE77,0)</f>
        <v>0</v>
      </c>
      <c r="AG77" s="41">
        <f t="shared" ref="AG77:AG140" si="36">+IF($AG$7&gt;U77,$AG$7-U77-AB77-AC77-AD77-AE77-AF77,0)</f>
        <v>0</v>
      </c>
      <c r="AH77" s="41">
        <f t="shared" ref="AH77:AH140" si="37">+IF($AH$7&gt;U77,$AH$7-U77-AB77-AC77-AD77-AE77-AF77-AG77,0)</f>
        <v>0</v>
      </c>
      <c r="AI77" s="41">
        <f t="shared" ref="AI77:AI140" si="38">+IF($AI$7&gt;U77,$AI$7-U77-AB77-AC77-AD77-AE77-AF77-AG77-AH77,0)</f>
        <v>183</v>
      </c>
      <c r="AJ77" s="41">
        <f t="shared" ref="AJ77:AJ140" si="39">+IF($AJ$7&gt;U77,$AJ$7-U77-AB77-AC77-AD77-AE77-AF77-AG77-AH77-AI77,0)</f>
        <v>365</v>
      </c>
      <c r="AK77" s="41">
        <f t="shared" ref="AK77:AK140" si="40">+IF($AK$7&gt;U77,$AK$7-U77-AB77-AC77-AD77-AE77-AF77-AG77-AH77-AI77-AJ77,0)</f>
        <v>181</v>
      </c>
      <c r="AL77" s="42">
        <f t="shared" ref="AL77:AL140" si="41">IF(AK77&gt;0,+V77*AA77/365,0)</f>
        <v>2.6876712328767125</v>
      </c>
      <c r="AM77" s="42">
        <f t="shared" ref="AM77:AM140" si="42">+AL77*AK77</f>
        <v>486.46849315068494</v>
      </c>
      <c r="AN77" s="43">
        <f t="shared" si="27"/>
        <v>517750</v>
      </c>
      <c r="AO77" s="43"/>
      <c r="AP77" s="42">
        <f t="shared" ref="AP77:AP140" si="43">Z77-AN77</f>
        <v>54500</v>
      </c>
      <c r="AQ77" s="43">
        <v>6</v>
      </c>
      <c r="AR77" s="44">
        <f t="shared" ref="AR77:AR140" si="44">AN77/Z77</f>
        <v>0.90476190476190477</v>
      </c>
      <c r="AS77" s="45">
        <f t="shared" ref="AS77:AS140" si="45">V77/K77</f>
        <v>1503.4482758620691</v>
      </c>
      <c r="AU77" s="1">
        <v>490500</v>
      </c>
      <c r="AV77" s="50">
        <v>27250</v>
      </c>
    </row>
    <row r="78" spans="1:48" s="1" customFormat="1" ht="37.200000000000003" thickTop="1" thickBot="1" x14ac:dyDescent="0.55000000000000004">
      <c r="A78" s="33">
        <v>71</v>
      </c>
      <c r="B78" s="34" t="s">
        <v>125</v>
      </c>
      <c r="C78" s="34" t="s">
        <v>965</v>
      </c>
      <c r="D78" s="35" t="s">
        <v>580</v>
      </c>
      <c r="E78" s="35" t="s">
        <v>966</v>
      </c>
      <c r="F78" s="36" t="s">
        <v>1037</v>
      </c>
      <c r="G78" s="36" t="s">
        <v>1420</v>
      </c>
      <c r="H78" s="36" t="s">
        <v>1421</v>
      </c>
      <c r="I78" s="36" t="s">
        <v>1421</v>
      </c>
      <c r="J78" s="36" t="s">
        <v>1421</v>
      </c>
      <c r="K78" s="36">
        <v>362.5</v>
      </c>
      <c r="L78" s="36" t="s">
        <v>1422</v>
      </c>
      <c r="M78" s="49">
        <v>4</v>
      </c>
      <c r="N78" s="37" t="s">
        <v>1493</v>
      </c>
      <c r="O78" s="37"/>
      <c r="P78" s="36">
        <v>1</v>
      </c>
      <c r="Q78" s="36" t="s">
        <v>1964</v>
      </c>
      <c r="R78" s="36" t="s">
        <v>1968</v>
      </c>
      <c r="S78" s="36" t="s">
        <v>1880</v>
      </c>
      <c r="T78" s="36" t="s">
        <v>1881</v>
      </c>
      <c r="U78" s="38">
        <v>45474</v>
      </c>
      <c r="V78" s="39">
        <v>545000</v>
      </c>
      <c r="W78" s="39" t="s">
        <v>2363</v>
      </c>
      <c r="X78" s="39" t="s">
        <v>2363</v>
      </c>
      <c r="Y78" s="40">
        <f t="shared" si="28"/>
        <v>27250</v>
      </c>
      <c r="Z78" s="40">
        <f t="shared" si="29"/>
        <v>572250</v>
      </c>
      <c r="AA78" s="41" t="str">
        <f t="shared" si="30"/>
        <v>0.0018</v>
      </c>
      <c r="AB78" s="41">
        <f t="shared" si="31"/>
        <v>0</v>
      </c>
      <c r="AC78" s="41">
        <f t="shared" si="32"/>
        <v>0</v>
      </c>
      <c r="AD78" s="41">
        <f t="shared" si="33"/>
        <v>0</v>
      </c>
      <c r="AE78" s="41">
        <f t="shared" si="34"/>
        <v>0</v>
      </c>
      <c r="AF78" s="41">
        <f t="shared" si="35"/>
        <v>0</v>
      </c>
      <c r="AG78" s="41">
        <f t="shared" si="36"/>
        <v>0</v>
      </c>
      <c r="AH78" s="41">
        <f t="shared" si="37"/>
        <v>0</v>
      </c>
      <c r="AI78" s="41">
        <f t="shared" si="38"/>
        <v>183</v>
      </c>
      <c r="AJ78" s="41">
        <f t="shared" si="39"/>
        <v>365</v>
      </c>
      <c r="AK78" s="41">
        <f t="shared" si="40"/>
        <v>181</v>
      </c>
      <c r="AL78" s="42">
        <f t="shared" si="41"/>
        <v>2.6876712328767125</v>
      </c>
      <c r="AM78" s="42">
        <f t="shared" si="42"/>
        <v>486.46849315068494</v>
      </c>
      <c r="AN78" s="43">
        <f t="shared" si="27"/>
        <v>517750</v>
      </c>
      <c r="AO78" s="43"/>
      <c r="AP78" s="42">
        <f t="shared" si="43"/>
        <v>54500</v>
      </c>
      <c r="AQ78" s="43">
        <v>6</v>
      </c>
      <c r="AR78" s="44">
        <f t="shared" si="44"/>
        <v>0.90476190476190477</v>
      </c>
      <c r="AS78" s="45">
        <f t="shared" si="45"/>
        <v>1503.4482758620691</v>
      </c>
      <c r="AU78" s="1">
        <v>490500</v>
      </c>
      <c r="AV78" s="50">
        <v>27250</v>
      </c>
    </row>
    <row r="79" spans="1:48" s="1" customFormat="1" ht="37.200000000000003" thickTop="1" thickBot="1" x14ac:dyDescent="0.55000000000000004">
      <c r="A79" s="33">
        <v>72</v>
      </c>
      <c r="B79" s="34" t="s">
        <v>126</v>
      </c>
      <c r="C79" s="34" t="s">
        <v>965</v>
      </c>
      <c r="D79" s="35" t="s">
        <v>581</v>
      </c>
      <c r="E79" s="35" t="s">
        <v>966</v>
      </c>
      <c r="F79" s="36" t="s">
        <v>1038</v>
      </c>
      <c r="G79" s="36" t="s">
        <v>1420</v>
      </c>
      <c r="H79" s="36" t="s">
        <v>1421</v>
      </c>
      <c r="I79" s="36" t="s">
        <v>1421</v>
      </c>
      <c r="J79" s="36" t="s">
        <v>1421</v>
      </c>
      <c r="K79" s="36">
        <v>356.25</v>
      </c>
      <c r="L79" s="36" t="s">
        <v>1422</v>
      </c>
      <c r="M79" s="49">
        <v>4</v>
      </c>
      <c r="N79" s="37" t="s">
        <v>1494</v>
      </c>
      <c r="O79" s="37"/>
      <c r="P79" s="36">
        <v>1</v>
      </c>
      <c r="Q79" s="36" t="s">
        <v>1964</v>
      </c>
      <c r="R79" s="36" t="s">
        <v>1969</v>
      </c>
      <c r="S79" s="36" t="s">
        <v>1880</v>
      </c>
      <c r="T79" s="36" t="s">
        <v>1881</v>
      </c>
      <c r="U79" s="38">
        <v>45474</v>
      </c>
      <c r="V79" s="39">
        <v>545000.44999999995</v>
      </c>
      <c r="W79" s="39" t="s">
        <v>2363</v>
      </c>
      <c r="X79" s="39" t="s">
        <v>2363</v>
      </c>
      <c r="Y79" s="40">
        <f t="shared" si="28"/>
        <v>27250.022499999999</v>
      </c>
      <c r="Z79" s="40">
        <f t="shared" si="29"/>
        <v>572250.47249999992</v>
      </c>
      <c r="AA79" s="41" t="str">
        <f t="shared" si="30"/>
        <v>0.0018</v>
      </c>
      <c r="AB79" s="41">
        <f t="shared" si="31"/>
        <v>0</v>
      </c>
      <c r="AC79" s="41">
        <f t="shared" si="32"/>
        <v>0</v>
      </c>
      <c r="AD79" s="41">
        <f t="shared" si="33"/>
        <v>0</v>
      </c>
      <c r="AE79" s="41">
        <f t="shared" si="34"/>
        <v>0</v>
      </c>
      <c r="AF79" s="41">
        <f t="shared" si="35"/>
        <v>0</v>
      </c>
      <c r="AG79" s="41">
        <f t="shared" si="36"/>
        <v>0</v>
      </c>
      <c r="AH79" s="41">
        <f t="shared" si="37"/>
        <v>0</v>
      </c>
      <c r="AI79" s="41">
        <f t="shared" si="38"/>
        <v>183</v>
      </c>
      <c r="AJ79" s="41">
        <f t="shared" si="39"/>
        <v>365</v>
      </c>
      <c r="AK79" s="41">
        <f t="shared" si="40"/>
        <v>181</v>
      </c>
      <c r="AL79" s="42">
        <f t="shared" si="41"/>
        <v>2.6876734520547942</v>
      </c>
      <c r="AM79" s="42">
        <f t="shared" si="42"/>
        <v>486.46889482191779</v>
      </c>
      <c r="AN79" s="43">
        <f t="shared" si="27"/>
        <v>517750.42999999993</v>
      </c>
      <c r="AO79" s="43"/>
      <c r="AP79" s="42">
        <f t="shared" si="43"/>
        <v>54500.042499999981</v>
      </c>
      <c r="AQ79" s="43">
        <v>6</v>
      </c>
      <c r="AR79" s="44">
        <f t="shared" si="44"/>
        <v>0.90476190913062116</v>
      </c>
      <c r="AS79" s="45">
        <f t="shared" si="45"/>
        <v>1529.8258245614034</v>
      </c>
      <c r="AU79" s="1">
        <v>490500.40999999992</v>
      </c>
      <c r="AV79" s="50">
        <v>27250.02</v>
      </c>
    </row>
    <row r="80" spans="1:48" s="1" customFormat="1" ht="37.200000000000003" thickTop="1" thickBot="1" x14ac:dyDescent="0.55000000000000004">
      <c r="A80" s="33">
        <v>73</v>
      </c>
      <c r="B80" s="34" t="s">
        <v>127</v>
      </c>
      <c r="C80" s="34" t="s">
        <v>965</v>
      </c>
      <c r="D80" s="35" t="s">
        <v>582</v>
      </c>
      <c r="E80" s="35" t="s">
        <v>966</v>
      </c>
      <c r="F80" s="36" t="s">
        <v>1039</v>
      </c>
      <c r="G80" s="36" t="s">
        <v>1420</v>
      </c>
      <c r="H80" s="36" t="s">
        <v>1421</v>
      </c>
      <c r="I80" s="36" t="s">
        <v>1421</v>
      </c>
      <c r="J80" s="36" t="s">
        <v>1421</v>
      </c>
      <c r="K80" s="36">
        <v>356.25</v>
      </c>
      <c r="L80" s="36" t="s">
        <v>1422</v>
      </c>
      <c r="M80" s="49">
        <v>4</v>
      </c>
      <c r="N80" s="37" t="s">
        <v>1495</v>
      </c>
      <c r="O80" s="37"/>
      <c r="P80" s="36">
        <v>1</v>
      </c>
      <c r="Q80" s="36" t="s">
        <v>1964</v>
      </c>
      <c r="R80" s="36" t="s">
        <v>1970</v>
      </c>
      <c r="S80" s="36" t="s">
        <v>1880</v>
      </c>
      <c r="T80" s="36" t="s">
        <v>1881</v>
      </c>
      <c r="U80" s="38">
        <v>45474</v>
      </c>
      <c r="V80" s="39">
        <v>660318.64</v>
      </c>
      <c r="W80" s="39" t="s">
        <v>2363</v>
      </c>
      <c r="X80" s="39" t="s">
        <v>2363</v>
      </c>
      <c r="Y80" s="40">
        <f t="shared" si="28"/>
        <v>33015.932000000001</v>
      </c>
      <c r="Z80" s="40">
        <f t="shared" si="29"/>
        <v>693334.57200000004</v>
      </c>
      <c r="AA80" s="41" t="str">
        <f t="shared" si="30"/>
        <v>0.0018</v>
      </c>
      <c r="AB80" s="41">
        <f t="shared" si="31"/>
        <v>0</v>
      </c>
      <c r="AC80" s="41">
        <f t="shared" si="32"/>
        <v>0</v>
      </c>
      <c r="AD80" s="41">
        <f t="shared" si="33"/>
        <v>0</v>
      </c>
      <c r="AE80" s="41">
        <f t="shared" si="34"/>
        <v>0</v>
      </c>
      <c r="AF80" s="41">
        <f t="shared" si="35"/>
        <v>0</v>
      </c>
      <c r="AG80" s="41">
        <f t="shared" si="36"/>
        <v>0</v>
      </c>
      <c r="AH80" s="41">
        <f t="shared" si="37"/>
        <v>0</v>
      </c>
      <c r="AI80" s="41">
        <f t="shared" si="38"/>
        <v>183</v>
      </c>
      <c r="AJ80" s="41">
        <f t="shared" si="39"/>
        <v>365</v>
      </c>
      <c r="AK80" s="41">
        <f t="shared" si="40"/>
        <v>181</v>
      </c>
      <c r="AL80" s="42">
        <f t="shared" si="41"/>
        <v>3.2563658958904109</v>
      </c>
      <c r="AM80" s="42">
        <f t="shared" si="42"/>
        <v>589.40222715616437</v>
      </c>
      <c r="AN80" s="43">
        <f t="shared" si="27"/>
        <v>627302.72000000009</v>
      </c>
      <c r="AO80" s="43"/>
      <c r="AP80" s="42">
        <f t="shared" si="43"/>
        <v>66031.851999999955</v>
      </c>
      <c r="AQ80" s="43">
        <v>6</v>
      </c>
      <c r="AR80" s="44">
        <f t="shared" si="44"/>
        <v>0.90476192206956618</v>
      </c>
      <c r="AS80" s="45">
        <f t="shared" si="45"/>
        <v>1853.5260070175439</v>
      </c>
      <c r="AU80" s="1">
        <v>594286.79</v>
      </c>
      <c r="AV80" s="50">
        <v>33015.93</v>
      </c>
    </row>
    <row r="81" spans="1:48" s="1" customFormat="1" ht="37.200000000000003" thickTop="1" thickBot="1" x14ac:dyDescent="0.55000000000000004">
      <c r="A81" s="33">
        <v>74</v>
      </c>
      <c r="B81" s="34" t="s">
        <v>128</v>
      </c>
      <c r="C81" s="34" t="s">
        <v>965</v>
      </c>
      <c r="D81" s="35" t="s">
        <v>583</v>
      </c>
      <c r="E81" s="35" t="s">
        <v>966</v>
      </c>
      <c r="F81" s="36" t="s">
        <v>1040</v>
      </c>
      <c r="G81" s="36" t="s">
        <v>1420</v>
      </c>
      <c r="H81" s="36" t="s">
        <v>1421</v>
      </c>
      <c r="I81" s="36" t="s">
        <v>1421</v>
      </c>
      <c r="J81" s="36" t="s">
        <v>1421</v>
      </c>
      <c r="K81" s="36">
        <v>377.97</v>
      </c>
      <c r="L81" s="36" t="s">
        <v>1422</v>
      </c>
      <c r="M81" s="49">
        <v>4</v>
      </c>
      <c r="N81" s="37" t="s">
        <v>1496</v>
      </c>
      <c r="O81" s="37"/>
      <c r="P81" s="36">
        <v>1</v>
      </c>
      <c r="Q81" s="36" t="s">
        <v>1964</v>
      </c>
      <c r="R81" s="36" t="s">
        <v>1971</v>
      </c>
      <c r="S81" s="36" t="s">
        <v>1880</v>
      </c>
      <c r="T81" s="36" t="s">
        <v>1883</v>
      </c>
      <c r="U81" s="38">
        <v>45474</v>
      </c>
      <c r="V81" s="39">
        <v>780403</v>
      </c>
      <c r="W81" s="39" t="s">
        <v>2363</v>
      </c>
      <c r="X81" s="39" t="s">
        <v>2363</v>
      </c>
      <c r="Y81" s="40">
        <f t="shared" si="28"/>
        <v>39020.15</v>
      </c>
      <c r="Z81" s="40">
        <f t="shared" si="29"/>
        <v>819423.15</v>
      </c>
      <c r="AA81" s="41" t="str">
        <f t="shared" si="30"/>
        <v>0.0022</v>
      </c>
      <c r="AB81" s="41">
        <f t="shared" si="31"/>
        <v>0</v>
      </c>
      <c r="AC81" s="41">
        <f t="shared" si="32"/>
        <v>0</v>
      </c>
      <c r="AD81" s="41">
        <f t="shared" si="33"/>
        <v>0</v>
      </c>
      <c r="AE81" s="41">
        <f t="shared" si="34"/>
        <v>0</v>
      </c>
      <c r="AF81" s="41">
        <f t="shared" si="35"/>
        <v>0</v>
      </c>
      <c r="AG81" s="41">
        <f t="shared" si="36"/>
        <v>0</v>
      </c>
      <c r="AH81" s="41">
        <f t="shared" si="37"/>
        <v>0</v>
      </c>
      <c r="AI81" s="41">
        <f t="shared" si="38"/>
        <v>183</v>
      </c>
      <c r="AJ81" s="41">
        <f t="shared" si="39"/>
        <v>365</v>
      </c>
      <c r="AK81" s="41">
        <f t="shared" si="40"/>
        <v>181</v>
      </c>
      <c r="AL81" s="42">
        <f t="shared" si="41"/>
        <v>4.7037989041095889</v>
      </c>
      <c r="AM81" s="42">
        <f t="shared" si="42"/>
        <v>851.38760164383564</v>
      </c>
      <c r="AN81" s="43">
        <f t="shared" si="27"/>
        <v>741382.85</v>
      </c>
      <c r="AO81" s="43"/>
      <c r="AP81" s="42">
        <f t="shared" si="43"/>
        <v>78040.300000000047</v>
      </c>
      <c r="AQ81" s="43">
        <v>6</v>
      </c>
      <c r="AR81" s="44">
        <f t="shared" si="44"/>
        <v>0.90476190476190466</v>
      </c>
      <c r="AS81" s="45">
        <f t="shared" si="45"/>
        <v>2064.7220678889857</v>
      </c>
      <c r="AU81" s="1">
        <v>702362.7</v>
      </c>
      <c r="AV81" s="50">
        <v>39020.15</v>
      </c>
    </row>
    <row r="82" spans="1:48" s="1" customFormat="1" ht="37.200000000000003" thickTop="1" thickBot="1" x14ac:dyDescent="0.55000000000000004">
      <c r="A82" s="33">
        <v>75</v>
      </c>
      <c r="B82" s="34" t="s">
        <v>129</v>
      </c>
      <c r="C82" s="34" t="s">
        <v>965</v>
      </c>
      <c r="D82" s="35" t="s">
        <v>584</v>
      </c>
      <c r="E82" s="35" t="s">
        <v>966</v>
      </c>
      <c r="F82" s="36" t="s">
        <v>1041</v>
      </c>
      <c r="G82" s="36" t="s">
        <v>1420</v>
      </c>
      <c r="H82" s="36" t="s">
        <v>1421</v>
      </c>
      <c r="I82" s="36" t="s">
        <v>1421</v>
      </c>
      <c r="J82" s="36" t="s">
        <v>1421</v>
      </c>
      <c r="K82" s="36">
        <v>350.04</v>
      </c>
      <c r="L82" s="36" t="s">
        <v>1422</v>
      </c>
      <c r="M82" s="49">
        <v>4</v>
      </c>
      <c r="N82" s="37" t="s">
        <v>1497</v>
      </c>
      <c r="O82" s="37"/>
      <c r="P82" s="36">
        <v>1</v>
      </c>
      <c r="Q82" s="36" t="s">
        <v>1972</v>
      </c>
      <c r="R82" s="36" t="s">
        <v>1973</v>
      </c>
      <c r="S82" s="36" t="s">
        <v>1880</v>
      </c>
      <c r="T82" s="36" t="s">
        <v>1881</v>
      </c>
      <c r="U82" s="38">
        <v>45474</v>
      </c>
      <c r="V82" s="39">
        <v>710287.45</v>
      </c>
      <c r="W82" s="39" t="s">
        <v>2363</v>
      </c>
      <c r="X82" s="39" t="s">
        <v>2363</v>
      </c>
      <c r="Y82" s="40">
        <f t="shared" si="28"/>
        <v>35514.372499999998</v>
      </c>
      <c r="Z82" s="40">
        <f t="shared" si="29"/>
        <v>745801.82250000001</v>
      </c>
      <c r="AA82" s="41" t="str">
        <f t="shared" si="30"/>
        <v>0.0022</v>
      </c>
      <c r="AB82" s="41">
        <f t="shared" si="31"/>
        <v>0</v>
      </c>
      <c r="AC82" s="41">
        <f t="shared" si="32"/>
        <v>0</v>
      </c>
      <c r="AD82" s="41">
        <f t="shared" si="33"/>
        <v>0</v>
      </c>
      <c r="AE82" s="41">
        <f t="shared" si="34"/>
        <v>0</v>
      </c>
      <c r="AF82" s="41">
        <f t="shared" si="35"/>
        <v>0</v>
      </c>
      <c r="AG82" s="41">
        <f t="shared" si="36"/>
        <v>0</v>
      </c>
      <c r="AH82" s="41">
        <f t="shared" si="37"/>
        <v>0</v>
      </c>
      <c r="AI82" s="41">
        <f t="shared" si="38"/>
        <v>183</v>
      </c>
      <c r="AJ82" s="41">
        <f t="shared" si="39"/>
        <v>365</v>
      </c>
      <c r="AK82" s="41">
        <f t="shared" si="40"/>
        <v>181</v>
      </c>
      <c r="AL82" s="42">
        <f t="shared" si="41"/>
        <v>4.2811846301369867</v>
      </c>
      <c r="AM82" s="42">
        <f t="shared" si="42"/>
        <v>774.89441805479464</v>
      </c>
      <c r="AN82" s="43">
        <f t="shared" si="27"/>
        <v>639258.71</v>
      </c>
      <c r="AO82" s="43"/>
      <c r="AP82" s="42">
        <f t="shared" si="43"/>
        <v>106543.11250000005</v>
      </c>
      <c r="AQ82" s="43">
        <v>5</v>
      </c>
      <c r="AR82" s="44">
        <f t="shared" si="44"/>
        <v>0.85714286384705096</v>
      </c>
      <c r="AS82" s="45">
        <f t="shared" si="45"/>
        <v>2029.1608101931206</v>
      </c>
      <c r="AU82" s="1">
        <v>639258.71</v>
      </c>
      <c r="AV82" s="50">
        <v>0</v>
      </c>
    </row>
    <row r="83" spans="1:48" s="1" customFormat="1" ht="37.200000000000003" thickTop="1" thickBot="1" x14ac:dyDescent="0.55000000000000004">
      <c r="A83" s="33">
        <v>76</v>
      </c>
      <c r="B83" s="34" t="s">
        <v>130</v>
      </c>
      <c r="C83" s="34" t="s">
        <v>965</v>
      </c>
      <c r="D83" s="35" t="s">
        <v>585</v>
      </c>
      <c r="E83" s="35" t="s">
        <v>966</v>
      </c>
      <c r="F83" s="36" t="s">
        <v>1042</v>
      </c>
      <c r="G83" s="36" t="s">
        <v>1420</v>
      </c>
      <c r="H83" s="36" t="s">
        <v>1421</v>
      </c>
      <c r="I83" s="36" t="s">
        <v>1421</v>
      </c>
      <c r="J83" s="36" t="s">
        <v>1421</v>
      </c>
      <c r="K83" s="36">
        <v>349.96</v>
      </c>
      <c r="L83" s="36" t="s">
        <v>1422</v>
      </c>
      <c r="M83" s="49">
        <v>4</v>
      </c>
      <c r="N83" s="37" t="s">
        <v>1498</v>
      </c>
      <c r="O83" s="37"/>
      <c r="P83" s="36">
        <v>1</v>
      </c>
      <c r="Q83" s="36" t="s">
        <v>1972</v>
      </c>
      <c r="R83" s="36" t="s">
        <v>1974</v>
      </c>
      <c r="S83" s="36" t="s">
        <v>1880</v>
      </c>
      <c r="T83" s="36" t="s">
        <v>1881</v>
      </c>
      <c r="U83" s="38">
        <v>45474</v>
      </c>
      <c r="V83" s="39">
        <v>716252.15</v>
      </c>
      <c r="W83" s="39" t="s">
        <v>2363</v>
      </c>
      <c r="X83" s="39" t="s">
        <v>2363</v>
      </c>
      <c r="Y83" s="40">
        <f t="shared" si="28"/>
        <v>35812.607499999998</v>
      </c>
      <c r="Z83" s="40">
        <f t="shared" si="29"/>
        <v>752064.75750000007</v>
      </c>
      <c r="AA83" s="41" t="str">
        <f t="shared" si="30"/>
        <v>0.0022</v>
      </c>
      <c r="AB83" s="41">
        <f t="shared" si="31"/>
        <v>0</v>
      </c>
      <c r="AC83" s="41">
        <f t="shared" si="32"/>
        <v>0</v>
      </c>
      <c r="AD83" s="41">
        <f t="shared" si="33"/>
        <v>0</v>
      </c>
      <c r="AE83" s="41">
        <f t="shared" si="34"/>
        <v>0</v>
      </c>
      <c r="AF83" s="41">
        <f t="shared" si="35"/>
        <v>0</v>
      </c>
      <c r="AG83" s="41">
        <f t="shared" si="36"/>
        <v>0</v>
      </c>
      <c r="AH83" s="41">
        <f t="shared" si="37"/>
        <v>0</v>
      </c>
      <c r="AI83" s="41">
        <f t="shared" si="38"/>
        <v>183</v>
      </c>
      <c r="AJ83" s="41">
        <f t="shared" si="39"/>
        <v>365</v>
      </c>
      <c r="AK83" s="41">
        <f t="shared" si="40"/>
        <v>181</v>
      </c>
      <c r="AL83" s="42">
        <f t="shared" si="41"/>
        <v>4.3171362465753429</v>
      </c>
      <c r="AM83" s="42">
        <f t="shared" si="42"/>
        <v>781.40166063013703</v>
      </c>
      <c r="AN83" s="43">
        <f t="shared" si="27"/>
        <v>680439.54</v>
      </c>
      <c r="AO83" s="43"/>
      <c r="AP83" s="42">
        <f t="shared" si="43"/>
        <v>71625.217500000028</v>
      </c>
      <c r="AQ83" s="43">
        <v>6</v>
      </c>
      <c r="AR83" s="44">
        <f t="shared" si="44"/>
        <v>0.90476190143772295</v>
      </c>
      <c r="AS83" s="45">
        <f t="shared" si="45"/>
        <v>2046.6686192707739</v>
      </c>
      <c r="AU83" s="1">
        <v>537189.11</v>
      </c>
      <c r="AV83" s="50">
        <v>143250.43</v>
      </c>
    </row>
    <row r="84" spans="1:48" s="1" customFormat="1" ht="37.200000000000003" thickTop="1" thickBot="1" x14ac:dyDescent="0.55000000000000004">
      <c r="A84" s="33">
        <v>77</v>
      </c>
      <c r="B84" s="34" t="s">
        <v>131</v>
      </c>
      <c r="C84" s="34" t="s">
        <v>965</v>
      </c>
      <c r="D84" s="35" t="s">
        <v>586</v>
      </c>
      <c r="E84" s="35" t="s">
        <v>966</v>
      </c>
      <c r="F84" s="36" t="s">
        <v>1043</v>
      </c>
      <c r="G84" s="36" t="s">
        <v>1420</v>
      </c>
      <c r="H84" s="36" t="s">
        <v>1421</v>
      </c>
      <c r="I84" s="36" t="s">
        <v>1421</v>
      </c>
      <c r="J84" s="36" t="s">
        <v>1421</v>
      </c>
      <c r="K84" s="36">
        <v>350.04</v>
      </c>
      <c r="L84" s="36" t="s">
        <v>1422</v>
      </c>
      <c r="M84" s="49">
        <v>4</v>
      </c>
      <c r="N84" s="37" t="s">
        <v>1499</v>
      </c>
      <c r="O84" s="37"/>
      <c r="P84" s="36">
        <v>1</v>
      </c>
      <c r="Q84" s="36" t="s">
        <v>1972</v>
      </c>
      <c r="R84" s="36" t="s">
        <v>1975</v>
      </c>
      <c r="S84" s="36" t="s">
        <v>1880</v>
      </c>
      <c r="T84" s="36" t="s">
        <v>1883</v>
      </c>
      <c r="U84" s="38">
        <v>45474</v>
      </c>
      <c r="V84" s="39">
        <v>710287.45</v>
      </c>
      <c r="W84" s="39" t="s">
        <v>2363</v>
      </c>
      <c r="X84" s="39" t="s">
        <v>2363</v>
      </c>
      <c r="Y84" s="40">
        <f t="shared" si="28"/>
        <v>35514.372499999998</v>
      </c>
      <c r="Z84" s="40">
        <f t="shared" si="29"/>
        <v>745801.82250000001</v>
      </c>
      <c r="AA84" s="41" t="str">
        <f t="shared" si="30"/>
        <v>0.0022</v>
      </c>
      <c r="AB84" s="41">
        <f t="shared" si="31"/>
        <v>0</v>
      </c>
      <c r="AC84" s="41">
        <f t="shared" si="32"/>
        <v>0</v>
      </c>
      <c r="AD84" s="41">
        <f t="shared" si="33"/>
        <v>0</v>
      </c>
      <c r="AE84" s="41">
        <f t="shared" si="34"/>
        <v>0</v>
      </c>
      <c r="AF84" s="41">
        <f t="shared" si="35"/>
        <v>0</v>
      </c>
      <c r="AG84" s="41">
        <f t="shared" si="36"/>
        <v>0</v>
      </c>
      <c r="AH84" s="41">
        <f t="shared" si="37"/>
        <v>0</v>
      </c>
      <c r="AI84" s="41">
        <f t="shared" si="38"/>
        <v>183</v>
      </c>
      <c r="AJ84" s="41">
        <f t="shared" si="39"/>
        <v>365</v>
      </c>
      <c r="AK84" s="41">
        <f t="shared" si="40"/>
        <v>181</v>
      </c>
      <c r="AL84" s="42">
        <f t="shared" si="41"/>
        <v>4.2811846301369867</v>
      </c>
      <c r="AM84" s="42">
        <f t="shared" si="42"/>
        <v>774.89441805479464</v>
      </c>
      <c r="AN84" s="43">
        <f t="shared" si="27"/>
        <v>674772.91999999993</v>
      </c>
      <c r="AO84" s="43"/>
      <c r="AP84" s="42">
        <f t="shared" si="43"/>
        <v>71028.902500000084</v>
      </c>
      <c r="AQ84" s="43">
        <v>6</v>
      </c>
      <c r="AR84" s="44">
        <f t="shared" si="44"/>
        <v>0.90476169357979808</v>
      </c>
      <c r="AS84" s="45">
        <f t="shared" si="45"/>
        <v>2029.1608101931206</v>
      </c>
      <c r="AU84" s="1">
        <v>639258.56999999995</v>
      </c>
      <c r="AV84" s="50">
        <v>35514.35</v>
      </c>
    </row>
    <row r="85" spans="1:48" s="1" customFormat="1" ht="37.200000000000003" thickTop="1" thickBot="1" x14ac:dyDescent="0.55000000000000004">
      <c r="A85" s="33">
        <v>78</v>
      </c>
      <c r="B85" s="34" t="s">
        <v>132</v>
      </c>
      <c r="C85" s="34" t="s">
        <v>965</v>
      </c>
      <c r="D85" s="35" t="s">
        <v>587</v>
      </c>
      <c r="E85" s="35" t="s">
        <v>966</v>
      </c>
      <c r="F85" s="36" t="s">
        <v>1044</v>
      </c>
      <c r="G85" s="36" t="s">
        <v>1420</v>
      </c>
      <c r="H85" s="36" t="s">
        <v>1421</v>
      </c>
      <c r="I85" s="36" t="s">
        <v>1421</v>
      </c>
      <c r="J85" s="36" t="s">
        <v>1421</v>
      </c>
      <c r="K85" s="36">
        <v>349.96</v>
      </c>
      <c r="L85" s="36" t="s">
        <v>1422</v>
      </c>
      <c r="M85" s="49">
        <v>4</v>
      </c>
      <c r="N85" s="37" t="s">
        <v>1500</v>
      </c>
      <c r="O85" s="37"/>
      <c r="P85" s="36">
        <v>1</v>
      </c>
      <c r="Q85" s="36" t="s">
        <v>1972</v>
      </c>
      <c r="R85" s="36" t="s">
        <v>1976</v>
      </c>
      <c r="S85" s="36" t="s">
        <v>1880</v>
      </c>
      <c r="T85" s="36" t="s">
        <v>1901</v>
      </c>
      <c r="U85" s="38">
        <v>45474</v>
      </c>
      <c r="V85" s="39">
        <v>544982.35</v>
      </c>
      <c r="W85" s="39" t="s">
        <v>2363</v>
      </c>
      <c r="X85" s="39" t="s">
        <v>2363</v>
      </c>
      <c r="Y85" s="40">
        <f t="shared" si="28"/>
        <v>27249.1175</v>
      </c>
      <c r="Z85" s="40">
        <f t="shared" si="29"/>
        <v>572231.46750000003</v>
      </c>
      <c r="AA85" s="41" t="str">
        <f t="shared" si="30"/>
        <v>0.0018</v>
      </c>
      <c r="AB85" s="41">
        <f t="shared" si="31"/>
        <v>0</v>
      </c>
      <c r="AC85" s="41">
        <f t="shared" si="32"/>
        <v>0</v>
      </c>
      <c r="AD85" s="41">
        <f t="shared" si="33"/>
        <v>0</v>
      </c>
      <c r="AE85" s="41">
        <f t="shared" si="34"/>
        <v>0</v>
      </c>
      <c r="AF85" s="41">
        <f t="shared" si="35"/>
        <v>0</v>
      </c>
      <c r="AG85" s="41">
        <f t="shared" si="36"/>
        <v>0</v>
      </c>
      <c r="AH85" s="41">
        <f t="shared" si="37"/>
        <v>0</v>
      </c>
      <c r="AI85" s="41">
        <f t="shared" si="38"/>
        <v>183</v>
      </c>
      <c r="AJ85" s="41">
        <f t="shared" si="39"/>
        <v>365</v>
      </c>
      <c r="AK85" s="41">
        <f t="shared" si="40"/>
        <v>181</v>
      </c>
      <c r="AL85" s="42">
        <f t="shared" si="41"/>
        <v>2.6875841917808216</v>
      </c>
      <c r="AM85" s="42">
        <f t="shared" si="42"/>
        <v>486.45273871232871</v>
      </c>
      <c r="AN85" s="43">
        <f t="shared" si="27"/>
        <v>517733.11</v>
      </c>
      <c r="AO85" s="43"/>
      <c r="AP85" s="42">
        <f t="shared" si="43"/>
        <v>54498.357500000042</v>
      </c>
      <c r="AQ85" s="43">
        <v>6</v>
      </c>
      <c r="AR85" s="44">
        <f t="shared" si="44"/>
        <v>0.90476169068769352</v>
      </c>
      <c r="AS85" s="45">
        <f t="shared" si="45"/>
        <v>1557.2704023316951</v>
      </c>
      <c r="AU85" s="1">
        <v>490484.01</v>
      </c>
      <c r="AV85" s="50">
        <v>27249.1</v>
      </c>
    </row>
    <row r="86" spans="1:48" s="1" customFormat="1" ht="37.200000000000003" thickTop="1" thickBot="1" x14ac:dyDescent="0.55000000000000004">
      <c r="A86" s="33">
        <v>79</v>
      </c>
      <c r="B86" s="34" t="s">
        <v>133</v>
      </c>
      <c r="C86" s="34" t="s">
        <v>965</v>
      </c>
      <c r="D86" s="35" t="s">
        <v>588</v>
      </c>
      <c r="E86" s="35" t="s">
        <v>966</v>
      </c>
      <c r="F86" s="36" t="s">
        <v>1045</v>
      </c>
      <c r="G86" s="36" t="s">
        <v>1420</v>
      </c>
      <c r="H86" s="36" t="s">
        <v>1421</v>
      </c>
      <c r="I86" s="36" t="s">
        <v>1421</v>
      </c>
      <c r="J86" s="36" t="s">
        <v>1421</v>
      </c>
      <c r="K86" s="36">
        <v>350.04</v>
      </c>
      <c r="L86" s="36" t="s">
        <v>1422</v>
      </c>
      <c r="M86" s="49">
        <v>4</v>
      </c>
      <c r="N86" s="37" t="s">
        <v>1501</v>
      </c>
      <c r="O86" s="37"/>
      <c r="P86" s="36">
        <v>1</v>
      </c>
      <c r="Q86" s="36" t="s">
        <v>1972</v>
      </c>
      <c r="R86" s="36" t="s">
        <v>1977</v>
      </c>
      <c r="S86" s="36" t="s">
        <v>1880</v>
      </c>
      <c r="T86" s="36" t="s">
        <v>1901</v>
      </c>
      <c r="U86" s="38">
        <v>45474</v>
      </c>
      <c r="V86" s="39">
        <v>710287.45</v>
      </c>
      <c r="W86" s="39" t="s">
        <v>2363</v>
      </c>
      <c r="X86" s="39" t="s">
        <v>2363</v>
      </c>
      <c r="Y86" s="40">
        <f t="shared" si="28"/>
        <v>35514.372499999998</v>
      </c>
      <c r="Z86" s="40">
        <f t="shared" si="29"/>
        <v>745801.82250000001</v>
      </c>
      <c r="AA86" s="41" t="str">
        <f t="shared" si="30"/>
        <v>0.0022</v>
      </c>
      <c r="AB86" s="41">
        <f t="shared" si="31"/>
        <v>0</v>
      </c>
      <c r="AC86" s="41">
        <f t="shared" si="32"/>
        <v>0</v>
      </c>
      <c r="AD86" s="41">
        <f t="shared" si="33"/>
        <v>0</v>
      </c>
      <c r="AE86" s="41">
        <f t="shared" si="34"/>
        <v>0</v>
      </c>
      <c r="AF86" s="41">
        <f t="shared" si="35"/>
        <v>0</v>
      </c>
      <c r="AG86" s="41">
        <f t="shared" si="36"/>
        <v>0</v>
      </c>
      <c r="AH86" s="41">
        <f t="shared" si="37"/>
        <v>0</v>
      </c>
      <c r="AI86" s="41">
        <f t="shared" si="38"/>
        <v>183</v>
      </c>
      <c r="AJ86" s="41">
        <f t="shared" si="39"/>
        <v>365</v>
      </c>
      <c r="AK86" s="41">
        <f t="shared" si="40"/>
        <v>181</v>
      </c>
      <c r="AL86" s="42">
        <f t="shared" si="41"/>
        <v>4.2811846301369867</v>
      </c>
      <c r="AM86" s="42">
        <f t="shared" si="42"/>
        <v>774.89441805479464</v>
      </c>
      <c r="AN86" s="43">
        <f t="shared" si="27"/>
        <v>674772.91999999993</v>
      </c>
      <c r="AO86" s="43"/>
      <c r="AP86" s="42">
        <f t="shared" si="43"/>
        <v>71028.902500000084</v>
      </c>
      <c r="AQ86" s="43">
        <v>6</v>
      </c>
      <c r="AR86" s="44">
        <f t="shared" si="44"/>
        <v>0.90476169357979808</v>
      </c>
      <c r="AS86" s="45">
        <f t="shared" si="45"/>
        <v>2029.1608101931206</v>
      </c>
      <c r="AU86" s="1">
        <v>639258.56999999995</v>
      </c>
      <c r="AV86" s="50">
        <v>35514.35</v>
      </c>
    </row>
    <row r="87" spans="1:48" s="1" customFormat="1" ht="37.200000000000003" thickTop="1" thickBot="1" x14ac:dyDescent="0.55000000000000004">
      <c r="A87" s="33">
        <v>80</v>
      </c>
      <c r="B87" s="34" t="s">
        <v>134</v>
      </c>
      <c r="C87" s="34" t="s">
        <v>965</v>
      </c>
      <c r="D87" s="35" t="s">
        <v>589</v>
      </c>
      <c r="E87" s="35" t="s">
        <v>966</v>
      </c>
      <c r="F87" s="36" t="s">
        <v>1046</v>
      </c>
      <c r="G87" s="36" t="s">
        <v>1420</v>
      </c>
      <c r="H87" s="36" t="s">
        <v>1421</v>
      </c>
      <c r="I87" s="36" t="s">
        <v>1421</v>
      </c>
      <c r="J87" s="36" t="s">
        <v>1421</v>
      </c>
      <c r="K87" s="36">
        <v>349.96</v>
      </c>
      <c r="L87" s="36" t="s">
        <v>1422</v>
      </c>
      <c r="M87" s="49">
        <v>4</v>
      </c>
      <c r="N87" s="37" t="s">
        <v>1502</v>
      </c>
      <c r="O87" s="37"/>
      <c r="P87" s="36">
        <v>1</v>
      </c>
      <c r="Q87" s="36" t="s">
        <v>1972</v>
      </c>
      <c r="R87" s="36" t="s">
        <v>1978</v>
      </c>
      <c r="S87" s="36" t="s">
        <v>1880</v>
      </c>
      <c r="T87" s="36" t="s">
        <v>1881</v>
      </c>
      <c r="U87" s="38">
        <v>45474</v>
      </c>
      <c r="V87" s="39">
        <v>544982.35</v>
      </c>
      <c r="W87" s="39" t="s">
        <v>2363</v>
      </c>
      <c r="X87" s="39" t="s">
        <v>2363</v>
      </c>
      <c r="Y87" s="40">
        <f t="shared" si="28"/>
        <v>27249.1175</v>
      </c>
      <c r="Z87" s="40">
        <f t="shared" si="29"/>
        <v>572231.46750000003</v>
      </c>
      <c r="AA87" s="41" t="str">
        <f t="shared" si="30"/>
        <v>0.0018</v>
      </c>
      <c r="AB87" s="41">
        <f t="shared" si="31"/>
        <v>0</v>
      </c>
      <c r="AC87" s="41">
        <f t="shared" si="32"/>
        <v>0</v>
      </c>
      <c r="AD87" s="41">
        <f t="shared" si="33"/>
        <v>0</v>
      </c>
      <c r="AE87" s="41">
        <f t="shared" si="34"/>
        <v>0</v>
      </c>
      <c r="AF87" s="41">
        <f t="shared" si="35"/>
        <v>0</v>
      </c>
      <c r="AG87" s="41">
        <f t="shared" si="36"/>
        <v>0</v>
      </c>
      <c r="AH87" s="41">
        <f t="shared" si="37"/>
        <v>0</v>
      </c>
      <c r="AI87" s="41">
        <f t="shared" si="38"/>
        <v>183</v>
      </c>
      <c r="AJ87" s="41">
        <f t="shared" si="39"/>
        <v>365</v>
      </c>
      <c r="AK87" s="41">
        <f t="shared" si="40"/>
        <v>181</v>
      </c>
      <c r="AL87" s="42">
        <f t="shared" si="41"/>
        <v>2.6875841917808216</v>
      </c>
      <c r="AM87" s="42">
        <f t="shared" si="42"/>
        <v>486.45273871232871</v>
      </c>
      <c r="AN87" s="43">
        <f t="shared" si="27"/>
        <v>490484.11</v>
      </c>
      <c r="AO87" s="43"/>
      <c r="AP87" s="42">
        <f t="shared" si="43"/>
        <v>81747.357500000042</v>
      </c>
      <c r="AQ87" s="43">
        <v>5</v>
      </c>
      <c r="AR87" s="44">
        <f t="shared" si="44"/>
        <v>0.85714284840513422</v>
      </c>
      <c r="AS87" s="45">
        <f t="shared" si="45"/>
        <v>1557.2704023316951</v>
      </c>
      <c r="AU87" s="1">
        <v>408736.76</v>
      </c>
      <c r="AV87" s="50">
        <v>81747.350000000006</v>
      </c>
    </row>
    <row r="88" spans="1:48" s="1" customFormat="1" ht="37.200000000000003" thickTop="1" thickBot="1" x14ac:dyDescent="0.55000000000000004">
      <c r="A88" s="33">
        <v>81</v>
      </c>
      <c r="B88" s="34" t="s">
        <v>135</v>
      </c>
      <c r="C88" s="34" t="s">
        <v>965</v>
      </c>
      <c r="D88" s="35" t="s">
        <v>590</v>
      </c>
      <c r="E88" s="35" t="s">
        <v>966</v>
      </c>
      <c r="F88" s="36" t="s">
        <v>1047</v>
      </c>
      <c r="G88" s="36" t="s">
        <v>1420</v>
      </c>
      <c r="H88" s="36" t="s">
        <v>1421</v>
      </c>
      <c r="I88" s="36" t="s">
        <v>1421</v>
      </c>
      <c r="J88" s="36" t="s">
        <v>1421</v>
      </c>
      <c r="K88" s="36">
        <v>363.87</v>
      </c>
      <c r="L88" s="36" t="s">
        <v>1422</v>
      </c>
      <c r="M88" s="49">
        <v>4</v>
      </c>
      <c r="N88" s="37" t="s">
        <v>1503</v>
      </c>
      <c r="O88" s="37"/>
      <c r="P88" s="36">
        <v>1</v>
      </c>
      <c r="Q88" s="36" t="s">
        <v>1972</v>
      </c>
      <c r="R88" s="36" t="s">
        <v>1979</v>
      </c>
      <c r="S88" s="36" t="s">
        <v>1880</v>
      </c>
      <c r="T88" s="36" t="s">
        <v>1881</v>
      </c>
      <c r="U88" s="38">
        <v>45474</v>
      </c>
      <c r="V88" s="39">
        <v>723203.25</v>
      </c>
      <c r="W88" s="39" t="s">
        <v>2363</v>
      </c>
      <c r="X88" s="39" t="s">
        <v>2363</v>
      </c>
      <c r="Y88" s="40">
        <f t="shared" si="28"/>
        <v>36160.162499999999</v>
      </c>
      <c r="Z88" s="40">
        <f t="shared" si="29"/>
        <v>759363.41249999998</v>
      </c>
      <c r="AA88" s="41" t="str">
        <f t="shared" si="30"/>
        <v>0.0022</v>
      </c>
      <c r="AB88" s="41">
        <f t="shared" si="31"/>
        <v>0</v>
      </c>
      <c r="AC88" s="41">
        <f t="shared" si="32"/>
        <v>0</v>
      </c>
      <c r="AD88" s="41">
        <f t="shared" si="33"/>
        <v>0</v>
      </c>
      <c r="AE88" s="41">
        <f t="shared" si="34"/>
        <v>0</v>
      </c>
      <c r="AF88" s="41">
        <f t="shared" si="35"/>
        <v>0</v>
      </c>
      <c r="AG88" s="41">
        <f t="shared" si="36"/>
        <v>0</v>
      </c>
      <c r="AH88" s="41">
        <f t="shared" si="37"/>
        <v>0</v>
      </c>
      <c r="AI88" s="41">
        <f t="shared" si="38"/>
        <v>183</v>
      </c>
      <c r="AJ88" s="41">
        <f t="shared" si="39"/>
        <v>365</v>
      </c>
      <c r="AK88" s="41">
        <f t="shared" si="40"/>
        <v>181</v>
      </c>
      <c r="AL88" s="42">
        <f t="shared" si="41"/>
        <v>4.3590332876712328</v>
      </c>
      <c r="AM88" s="42">
        <f t="shared" si="42"/>
        <v>788.98502506849309</v>
      </c>
      <c r="AN88" s="43">
        <f t="shared" si="27"/>
        <v>650882.93000000005</v>
      </c>
      <c r="AO88" s="43"/>
      <c r="AP88" s="42">
        <f t="shared" si="43"/>
        <v>108480.48249999993</v>
      </c>
      <c r="AQ88" s="43">
        <v>5</v>
      </c>
      <c r="AR88" s="44">
        <f t="shared" si="44"/>
        <v>0.85714286372731985</v>
      </c>
      <c r="AS88" s="45">
        <f t="shared" si="45"/>
        <v>1987.5319482232665</v>
      </c>
      <c r="AU88" s="1">
        <v>542402.44000000006</v>
      </c>
      <c r="AV88" s="50">
        <v>108480.49</v>
      </c>
    </row>
    <row r="89" spans="1:48" s="1" customFormat="1" ht="37.200000000000003" thickTop="1" thickBot="1" x14ac:dyDescent="0.55000000000000004">
      <c r="A89" s="33">
        <v>82</v>
      </c>
      <c r="B89" s="34" t="s">
        <v>136</v>
      </c>
      <c r="C89" s="34" t="s">
        <v>965</v>
      </c>
      <c r="D89" s="35" t="s">
        <v>591</v>
      </c>
      <c r="E89" s="35" t="s">
        <v>966</v>
      </c>
      <c r="F89" s="36" t="s">
        <v>1048</v>
      </c>
      <c r="G89" s="36" t="s">
        <v>1420</v>
      </c>
      <c r="H89" s="36" t="s">
        <v>1421</v>
      </c>
      <c r="I89" s="36" t="s">
        <v>1421</v>
      </c>
      <c r="J89" s="36" t="s">
        <v>1421</v>
      </c>
      <c r="K89" s="36">
        <v>375.18</v>
      </c>
      <c r="L89" s="36" t="s">
        <v>1422</v>
      </c>
      <c r="M89" s="49">
        <v>4</v>
      </c>
      <c r="N89" s="37" t="s">
        <v>1504</v>
      </c>
      <c r="O89" s="37"/>
      <c r="P89" s="36">
        <v>1</v>
      </c>
      <c r="Q89" s="36" t="s">
        <v>1972</v>
      </c>
      <c r="R89" s="36" t="s">
        <v>1980</v>
      </c>
      <c r="S89" s="36" t="s">
        <v>1880</v>
      </c>
      <c r="T89" s="36" t="s">
        <v>1881</v>
      </c>
      <c r="U89" s="38">
        <v>45474</v>
      </c>
      <c r="V89" s="39">
        <v>722862.05</v>
      </c>
      <c r="W89" s="39" t="s">
        <v>2363</v>
      </c>
      <c r="X89" s="39" t="s">
        <v>2363</v>
      </c>
      <c r="Y89" s="40">
        <f t="shared" si="28"/>
        <v>36143.102500000001</v>
      </c>
      <c r="Z89" s="40">
        <f t="shared" si="29"/>
        <v>759005.15250000008</v>
      </c>
      <c r="AA89" s="41" t="str">
        <f t="shared" si="30"/>
        <v>0.0022</v>
      </c>
      <c r="AB89" s="41">
        <f t="shared" si="31"/>
        <v>0</v>
      </c>
      <c r="AC89" s="41">
        <f t="shared" si="32"/>
        <v>0</v>
      </c>
      <c r="AD89" s="41">
        <f t="shared" si="33"/>
        <v>0</v>
      </c>
      <c r="AE89" s="41">
        <f t="shared" si="34"/>
        <v>0</v>
      </c>
      <c r="AF89" s="41">
        <f t="shared" si="35"/>
        <v>0</v>
      </c>
      <c r="AG89" s="41">
        <f t="shared" si="36"/>
        <v>0</v>
      </c>
      <c r="AH89" s="41">
        <f t="shared" si="37"/>
        <v>0</v>
      </c>
      <c r="AI89" s="41">
        <f t="shared" si="38"/>
        <v>183</v>
      </c>
      <c r="AJ89" s="41">
        <f t="shared" si="39"/>
        <v>365</v>
      </c>
      <c r="AK89" s="41">
        <f t="shared" si="40"/>
        <v>181</v>
      </c>
      <c r="AL89" s="42">
        <f t="shared" si="41"/>
        <v>4.3569767397260275</v>
      </c>
      <c r="AM89" s="42">
        <f t="shared" si="42"/>
        <v>788.61278989041102</v>
      </c>
      <c r="AN89" s="43">
        <f t="shared" si="27"/>
        <v>686718.95000000007</v>
      </c>
      <c r="AO89" s="43"/>
      <c r="AP89" s="42">
        <f t="shared" si="43"/>
        <v>72286.202500000014</v>
      </c>
      <c r="AQ89" s="43">
        <v>6</v>
      </c>
      <c r="AR89" s="44">
        <f t="shared" si="44"/>
        <v>0.90476190805569001</v>
      </c>
      <c r="AS89" s="45">
        <f t="shared" si="45"/>
        <v>1926.7073138226986</v>
      </c>
      <c r="AU89" s="1">
        <v>542146.54</v>
      </c>
      <c r="AV89" s="50">
        <v>144572.41</v>
      </c>
    </row>
    <row r="90" spans="1:48" s="1" customFormat="1" ht="37.200000000000003" thickTop="1" thickBot="1" x14ac:dyDescent="0.55000000000000004">
      <c r="A90" s="33">
        <v>83</v>
      </c>
      <c r="B90" s="34" t="s">
        <v>137</v>
      </c>
      <c r="C90" s="34" t="s">
        <v>965</v>
      </c>
      <c r="D90" s="35" t="s">
        <v>592</v>
      </c>
      <c r="E90" s="35" t="s">
        <v>966</v>
      </c>
      <c r="F90" s="36" t="s">
        <v>1049</v>
      </c>
      <c r="G90" s="36" t="s">
        <v>1420</v>
      </c>
      <c r="H90" s="36" t="s">
        <v>1421</v>
      </c>
      <c r="I90" s="36" t="s">
        <v>1421</v>
      </c>
      <c r="J90" s="36" t="s">
        <v>1421</v>
      </c>
      <c r="K90" s="36">
        <v>375.23</v>
      </c>
      <c r="L90" s="36" t="s">
        <v>1422</v>
      </c>
      <c r="M90" s="49">
        <v>4</v>
      </c>
      <c r="N90" s="37" t="s">
        <v>1505</v>
      </c>
      <c r="O90" s="37"/>
      <c r="P90" s="36">
        <v>1</v>
      </c>
      <c r="Q90" s="36" t="s">
        <v>1972</v>
      </c>
      <c r="R90" s="36" t="s">
        <v>1981</v>
      </c>
      <c r="S90" s="36" t="s">
        <v>1880</v>
      </c>
      <c r="T90" s="36" t="s">
        <v>1883</v>
      </c>
      <c r="U90" s="38">
        <v>45474</v>
      </c>
      <c r="V90" s="39">
        <v>722882.8</v>
      </c>
      <c r="W90" s="39" t="s">
        <v>2363</v>
      </c>
      <c r="X90" s="39" t="s">
        <v>2363</v>
      </c>
      <c r="Y90" s="40">
        <f t="shared" si="28"/>
        <v>36144.14</v>
      </c>
      <c r="Z90" s="40">
        <f t="shared" si="29"/>
        <v>759026.94000000006</v>
      </c>
      <c r="AA90" s="41" t="str">
        <f t="shared" si="30"/>
        <v>0.0022</v>
      </c>
      <c r="AB90" s="41">
        <f t="shared" si="31"/>
        <v>0</v>
      </c>
      <c r="AC90" s="41">
        <f t="shared" si="32"/>
        <v>0</v>
      </c>
      <c r="AD90" s="41">
        <f t="shared" si="33"/>
        <v>0</v>
      </c>
      <c r="AE90" s="41">
        <f t="shared" si="34"/>
        <v>0</v>
      </c>
      <c r="AF90" s="41">
        <f t="shared" si="35"/>
        <v>0</v>
      </c>
      <c r="AG90" s="41">
        <f t="shared" si="36"/>
        <v>0</v>
      </c>
      <c r="AH90" s="41">
        <f t="shared" si="37"/>
        <v>0</v>
      </c>
      <c r="AI90" s="41">
        <f t="shared" si="38"/>
        <v>183</v>
      </c>
      <c r="AJ90" s="41">
        <f t="shared" si="39"/>
        <v>365</v>
      </c>
      <c r="AK90" s="41">
        <f t="shared" si="40"/>
        <v>181</v>
      </c>
      <c r="AL90" s="42">
        <f t="shared" si="41"/>
        <v>4.3571018082191788</v>
      </c>
      <c r="AM90" s="42">
        <f t="shared" si="42"/>
        <v>788.6354272876714</v>
      </c>
      <c r="AN90" s="43">
        <f t="shared" si="27"/>
        <v>650594.57999999996</v>
      </c>
      <c r="AO90" s="43"/>
      <c r="AP90" s="42">
        <f t="shared" si="43"/>
        <v>108432.3600000001</v>
      </c>
      <c r="AQ90" s="43">
        <v>5</v>
      </c>
      <c r="AR90" s="44">
        <f t="shared" si="44"/>
        <v>0.85714293619143467</v>
      </c>
      <c r="AS90" s="45">
        <f t="shared" si="45"/>
        <v>1926.5058763958107</v>
      </c>
      <c r="AU90" s="1">
        <v>650594.57999999996</v>
      </c>
      <c r="AV90" s="50">
        <v>0</v>
      </c>
    </row>
    <row r="91" spans="1:48" s="1" customFormat="1" ht="37.200000000000003" thickTop="1" thickBot="1" x14ac:dyDescent="0.55000000000000004">
      <c r="A91" s="33">
        <v>84</v>
      </c>
      <c r="B91" s="34" t="s">
        <v>138</v>
      </c>
      <c r="C91" s="34" t="s">
        <v>965</v>
      </c>
      <c r="D91" s="35" t="s">
        <v>593</v>
      </c>
      <c r="E91" s="35" t="s">
        <v>966</v>
      </c>
      <c r="F91" s="36" t="s">
        <v>1050</v>
      </c>
      <c r="G91" s="36" t="s">
        <v>1420</v>
      </c>
      <c r="H91" s="36" t="s">
        <v>1421</v>
      </c>
      <c r="I91" s="36" t="s">
        <v>1421</v>
      </c>
      <c r="J91" s="36" t="s">
        <v>1421</v>
      </c>
      <c r="K91" s="36">
        <v>349.8</v>
      </c>
      <c r="L91" s="36" t="s">
        <v>1422</v>
      </c>
      <c r="M91" s="49">
        <v>4</v>
      </c>
      <c r="N91" s="37" t="s">
        <v>1506</v>
      </c>
      <c r="O91" s="37"/>
      <c r="P91" s="36">
        <v>1</v>
      </c>
      <c r="Q91" s="36" t="s">
        <v>1972</v>
      </c>
      <c r="R91" s="36" t="s">
        <v>1982</v>
      </c>
      <c r="S91" s="36" t="s">
        <v>1880</v>
      </c>
      <c r="T91" s="36" t="s">
        <v>1883</v>
      </c>
      <c r="U91" s="38">
        <v>45474</v>
      </c>
      <c r="V91" s="39">
        <v>711667.35</v>
      </c>
      <c r="W91" s="39" t="s">
        <v>2363</v>
      </c>
      <c r="X91" s="39" t="s">
        <v>2363</v>
      </c>
      <c r="Y91" s="40">
        <f t="shared" si="28"/>
        <v>35583.3675</v>
      </c>
      <c r="Z91" s="40">
        <f t="shared" si="29"/>
        <v>747250.71750000003</v>
      </c>
      <c r="AA91" s="41" t="str">
        <f t="shared" si="30"/>
        <v>0.0022</v>
      </c>
      <c r="AB91" s="41">
        <f t="shared" si="31"/>
        <v>0</v>
      </c>
      <c r="AC91" s="41">
        <f t="shared" si="32"/>
        <v>0</v>
      </c>
      <c r="AD91" s="41">
        <f t="shared" si="33"/>
        <v>0</v>
      </c>
      <c r="AE91" s="41">
        <f t="shared" si="34"/>
        <v>0</v>
      </c>
      <c r="AF91" s="41">
        <f t="shared" si="35"/>
        <v>0</v>
      </c>
      <c r="AG91" s="41">
        <f t="shared" si="36"/>
        <v>0</v>
      </c>
      <c r="AH91" s="41">
        <f t="shared" si="37"/>
        <v>0</v>
      </c>
      <c r="AI91" s="41">
        <f t="shared" si="38"/>
        <v>183</v>
      </c>
      <c r="AJ91" s="41">
        <f t="shared" si="39"/>
        <v>365</v>
      </c>
      <c r="AK91" s="41">
        <f t="shared" si="40"/>
        <v>181</v>
      </c>
      <c r="AL91" s="42">
        <f t="shared" si="41"/>
        <v>4.2895018356164387</v>
      </c>
      <c r="AM91" s="42">
        <f t="shared" si="42"/>
        <v>776.39983224657544</v>
      </c>
      <c r="AN91" s="43">
        <f t="shared" si="27"/>
        <v>640500.51</v>
      </c>
      <c r="AO91" s="43"/>
      <c r="AP91" s="42">
        <f t="shared" si="43"/>
        <v>106750.20750000002</v>
      </c>
      <c r="AQ91" s="43">
        <v>5</v>
      </c>
      <c r="AR91" s="44">
        <f t="shared" si="44"/>
        <v>0.85714271662776953</v>
      </c>
      <c r="AS91" s="45">
        <f t="shared" si="45"/>
        <v>2034.497855917667</v>
      </c>
      <c r="AU91" s="1">
        <v>640500.51</v>
      </c>
      <c r="AV91" s="50">
        <v>0</v>
      </c>
    </row>
    <row r="92" spans="1:48" s="1" customFormat="1" ht="37.200000000000003" thickTop="1" thickBot="1" x14ac:dyDescent="0.55000000000000004">
      <c r="A92" s="33">
        <v>85</v>
      </c>
      <c r="B92" s="34" t="s">
        <v>139</v>
      </c>
      <c r="C92" s="34" t="s">
        <v>965</v>
      </c>
      <c r="D92" s="35" t="s">
        <v>594</v>
      </c>
      <c r="E92" s="35" t="s">
        <v>966</v>
      </c>
      <c r="F92" s="36" t="s">
        <v>1051</v>
      </c>
      <c r="G92" s="36" t="s">
        <v>1420</v>
      </c>
      <c r="H92" s="36" t="s">
        <v>1421</v>
      </c>
      <c r="I92" s="36" t="s">
        <v>1421</v>
      </c>
      <c r="J92" s="36" t="s">
        <v>1421</v>
      </c>
      <c r="K92" s="36">
        <v>375.29</v>
      </c>
      <c r="L92" s="36" t="s">
        <v>1422</v>
      </c>
      <c r="M92" s="49">
        <v>4</v>
      </c>
      <c r="N92" s="37" t="s">
        <v>1507</v>
      </c>
      <c r="O92" s="37"/>
      <c r="P92" s="36">
        <v>1</v>
      </c>
      <c r="Q92" s="36" t="s">
        <v>1972</v>
      </c>
      <c r="R92" s="36" t="s">
        <v>1983</v>
      </c>
      <c r="S92" s="36" t="s">
        <v>1880</v>
      </c>
      <c r="T92" s="36" t="s">
        <v>1881</v>
      </c>
      <c r="U92" s="38">
        <v>45474</v>
      </c>
      <c r="V92" s="39">
        <v>727415.7</v>
      </c>
      <c r="W92" s="39" t="s">
        <v>2363</v>
      </c>
      <c r="X92" s="39" t="s">
        <v>2363</v>
      </c>
      <c r="Y92" s="40">
        <f t="shared" si="28"/>
        <v>36370.785000000003</v>
      </c>
      <c r="Z92" s="40">
        <f t="shared" si="29"/>
        <v>763786.48499999999</v>
      </c>
      <c r="AA92" s="41" t="str">
        <f t="shared" si="30"/>
        <v>0.0022</v>
      </c>
      <c r="AB92" s="41">
        <f t="shared" si="31"/>
        <v>0</v>
      </c>
      <c r="AC92" s="41">
        <f t="shared" si="32"/>
        <v>0</v>
      </c>
      <c r="AD92" s="41">
        <f t="shared" si="33"/>
        <v>0</v>
      </c>
      <c r="AE92" s="41">
        <f t="shared" si="34"/>
        <v>0</v>
      </c>
      <c r="AF92" s="41">
        <f t="shared" si="35"/>
        <v>0</v>
      </c>
      <c r="AG92" s="41">
        <f t="shared" si="36"/>
        <v>0</v>
      </c>
      <c r="AH92" s="41">
        <f t="shared" si="37"/>
        <v>0</v>
      </c>
      <c r="AI92" s="41">
        <f t="shared" si="38"/>
        <v>183</v>
      </c>
      <c r="AJ92" s="41">
        <f t="shared" si="39"/>
        <v>365</v>
      </c>
      <c r="AK92" s="41">
        <f t="shared" si="40"/>
        <v>181</v>
      </c>
      <c r="AL92" s="42">
        <f t="shared" si="41"/>
        <v>4.3844233972602744</v>
      </c>
      <c r="AM92" s="42">
        <f t="shared" si="42"/>
        <v>793.58063490410962</v>
      </c>
      <c r="AN92" s="43">
        <f t="shared" si="27"/>
        <v>654674.14</v>
      </c>
      <c r="AO92" s="43"/>
      <c r="AP92" s="42">
        <f t="shared" si="43"/>
        <v>109112.34499999997</v>
      </c>
      <c r="AQ92" s="43">
        <v>5</v>
      </c>
      <c r="AR92" s="44">
        <f t="shared" si="44"/>
        <v>0.85714287023552138</v>
      </c>
      <c r="AS92" s="45">
        <f t="shared" si="45"/>
        <v>1938.2762663540193</v>
      </c>
      <c r="AU92" s="1">
        <v>654674.14</v>
      </c>
      <c r="AV92" s="50">
        <v>0</v>
      </c>
    </row>
    <row r="93" spans="1:48" s="1" customFormat="1" ht="37.200000000000003" thickTop="1" thickBot="1" x14ac:dyDescent="0.55000000000000004">
      <c r="A93" s="33">
        <v>86</v>
      </c>
      <c r="B93" s="34" t="s">
        <v>140</v>
      </c>
      <c r="C93" s="34" t="s">
        <v>965</v>
      </c>
      <c r="D93" s="35" t="s">
        <v>595</v>
      </c>
      <c r="E93" s="35" t="s">
        <v>966</v>
      </c>
      <c r="F93" s="36" t="s">
        <v>1052</v>
      </c>
      <c r="G93" s="36" t="s">
        <v>1420</v>
      </c>
      <c r="H93" s="36" t="s">
        <v>1421</v>
      </c>
      <c r="I93" s="36" t="s">
        <v>1421</v>
      </c>
      <c r="J93" s="36" t="s">
        <v>1421</v>
      </c>
      <c r="K93" s="36">
        <v>349.78</v>
      </c>
      <c r="L93" s="36" t="s">
        <v>1422</v>
      </c>
      <c r="M93" s="49">
        <v>4</v>
      </c>
      <c r="N93" s="37" t="s">
        <v>1508</v>
      </c>
      <c r="O93" s="37"/>
      <c r="P93" s="36">
        <v>1</v>
      </c>
      <c r="Q93" s="36" t="s">
        <v>1972</v>
      </c>
      <c r="R93" s="36" t="s">
        <v>1984</v>
      </c>
      <c r="S93" s="36" t="s">
        <v>1880</v>
      </c>
      <c r="T93" s="36" t="s">
        <v>1881</v>
      </c>
      <c r="U93" s="38">
        <v>45474</v>
      </c>
      <c r="V93" s="39">
        <v>711659.15</v>
      </c>
      <c r="W93" s="39" t="s">
        <v>2363</v>
      </c>
      <c r="X93" s="39" t="s">
        <v>2363</v>
      </c>
      <c r="Y93" s="40">
        <f t="shared" si="28"/>
        <v>35582.957499999997</v>
      </c>
      <c r="Z93" s="40">
        <f t="shared" si="29"/>
        <v>747242.10750000004</v>
      </c>
      <c r="AA93" s="41" t="str">
        <f t="shared" si="30"/>
        <v>0.0022</v>
      </c>
      <c r="AB93" s="41">
        <f t="shared" si="31"/>
        <v>0</v>
      </c>
      <c r="AC93" s="41">
        <f t="shared" si="32"/>
        <v>0</v>
      </c>
      <c r="AD93" s="41">
        <f t="shared" si="33"/>
        <v>0</v>
      </c>
      <c r="AE93" s="41">
        <f t="shared" si="34"/>
        <v>0</v>
      </c>
      <c r="AF93" s="41">
        <f t="shared" si="35"/>
        <v>0</v>
      </c>
      <c r="AG93" s="41">
        <f t="shared" si="36"/>
        <v>0</v>
      </c>
      <c r="AH93" s="41">
        <f t="shared" si="37"/>
        <v>0</v>
      </c>
      <c r="AI93" s="41">
        <f t="shared" si="38"/>
        <v>183</v>
      </c>
      <c r="AJ93" s="41">
        <f t="shared" si="39"/>
        <v>365</v>
      </c>
      <c r="AK93" s="41">
        <f t="shared" si="40"/>
        <v>181</v>
      </c>
      <c r="AL93" s="42">
        <f t="shared" si="41"/>
        <v>4.2894524109589049</v>
      </c>
      <c r="AM93" s="42">
        <f t="shared" si="42"/>
        <v>776.39088638356179</v>
      </c>
      <c r="AN93" s="43">
        <f t="shared" si="27"/>
        <v>782825.05999999982</v>
      </c>
      <c r="AO93" s="43"/>
      <c r="AP93" s="42">
        <f t="shared" si="43"/>
        <v>-35582.952499999781</v>
      </c>
      <c r="AQ93" s="43">
        <v>6</v>
      </c>
      <c r="AR93" s="44">
        <f t="shared" si="44"/>
        <v>1.0476190409277755</v>
      </c>
      <c r="AS93" s="45">
        <f t="shared" si="45"/>
        <v>2034.5907427525876</v>
      </c>
      <c r="AU93" s="1">
        <v>782825.05999999982</v>
      </c>
      <c r="AV93" s="50">
        <v>0</v>
      </c>
    </row>
    <row r="94" spans="1:48" s="1" customFormat="1" ht="37.200000000000003" thickTop="1" thickBot="1" x14ac:dyDescent="0.55000000000000004">
      <c r="A94" s="33">
        <v>87</v>
      </c>
      <c r="B94" s="34" t="s">
        <v>141</v>
      </c>
      <c r="C94" s="34" t="s">
        <v>965</v>
      </c>
      <c r="D94" s="35" t="s">
        <v>596</v>
      </c>
      <c r="E94" s="35" t="s">
        <v>966</v>
      </c>
      <c r="F94" s="36" t="s">
        <v>1053</v>
      </c>
      <c r="G94" s="36" t="s">
        <v>1420</v>
      </c>
      <c r="H94" s="36" t="s">
        <v>1421</v>
      </c>
      <c r="I94" s="36" t="s">
        <v>1421</v>
      </c>
      <c r="J94" s="36" t="s">
        <v>1421</v>
      </c>
      <c r="K94" s="36">
        <v>375.31</v>
      </c>
      <c r="L94" s="36" t="s">
        <v>1422</v>
      </c>
      <c r="M94" s="49">
        <v>4</v>
      </c>
      <c r="N94" s="37" t="s">
        <v>1509</v>
      </c>
      <c r="O94" s="37"/>
      <c r="P94" s="36">
        <v>1</v>
      </c>
      <c r="Q94" s="36" t="s">
        <v>1972</v>
      </c>
      <c r="R94" s="36" t="s">
        <v>1985</v>
      </c>
      <c r="S94" s="36" t="s">
        <v>1880</v>
      </c>
      <c r="T94" s="36" t="s">
        <v>1883</v>
      </c>
      <c r="U94" s="38">
        <v>45474</v>
      </c>
      <c r="V94" s="39">
        <v>727427.05</v>
      </c>
      <c r="W94" s="39" t="s">
        <v>2363</v>
      </c>
      <c r="X94" s="39" t="s">
        <v>2363</v>
      </c>
      <c r="Y94" s="40">
        <f t="shared" si="28"/>
        <v>36371.352500000001</v>
      </c>
      <c r="Z94" s="40">
        <f t="shared" si="29"/>
        <v>763798.40250000008</v>
      </c>
      <c r="AA94" s="41" t="str">
        <f t="shared" si="30"/>
        <v>0.0022</v>
      </c>
      <c r="AB94" s="41">
        <f t="shared" si="31"/>
        <v>0</v>
      </c>
      <c r="AC94" s="41">
        <f t="shared" si="32"/>
        <v>0</v>
      </c>
      <c r="AD94" s="41">
        <f t="shared" si="33"/>
        <v>0</v>
      </c>
      <c r="AE94" s="41">
        <f t="shared" si="34"/>
        <v>0</v>
      </c>
      <c r="AF94" s="41">
        <f t="shared" si="35"/>
        <v>0</v>
      </c>
      <c r="AG94" s="41">
        <f t="shared" si="36"/>
        <v>0</v>
      </c>
      <c r="AH94" s="41">
        <f t="shared" si="37"/>
        <v>0</v>
      </c>
      <c r="AI94" s="41">
        <f t="shared" si="38"/>
        <v>183</v>
      </c>
      <c r="AJ94" s="41">
        <f t="shared" si="39"/>
        <v>365</v>
      </c>
      <c r="AK94" s="41">
        <f t="shared" si="40"/>
        <v>181</v>
      </c>
      <c r="AL94" s="42">
        <f t="shared" si="41"/>
        <v>4.3844918082191784</v>
      </c>
      <c r="AM94" s="42">
        <f t="shared" si="42"/>
        <v>793.59301728767127</v>
      </c>
      <c r="AN94" s="43">
        <f t="shared" si="27"/>
        <v>691055.68</v>
      </c>
      <c r="AO94" s="43"/>
      <c r="AP94" s="42">
        <f t="shared" si="43"/>
        <v>72742.722500000033</v>
      </c>
      <c r="AQ94" s="43">
        <v>6</v>
      </c>
      <c r="AR94" s="44">
        <f t="shared" si="44"/>
        <v>0.90476188185009976</v>
      </c>
      <c r="AS94" s="45">
        <f t="shared" si="45"/>
        <v>1938.2032186725642</v>
      </c>
      <c r="AU94" s="1">
        <v>654684.33000000007</v>
      </c>
      <c r="AV94" s="50">
        <v>36371.35</v>
      </c>
    </row>
    <row r="95" spans="1:48" s="1" customFormat="1" ht="37.200000000000003" thickTop="1" thickBot="1" x14ac:dyDescent="0.55000000000000004">
      <c r="A95" s="33">
        <v>88</v>
      </c>
      <c r="B95" s="34" t="s">
        <v>142</v>
      </c>
      <c r="C95" s="34" t="s">
        <v>965</v>
      </c>
      <c r="D95" s="35" t="s">
        <v>597</v>
      </c>
      <c r="E95" s="35" t="s">
        <v>966</v>
      </c>
      <c r="F95" s="36" t="s">
        <v>1054</v>
      </c>
      <c r="G95" s="36" t="s">
        <v>1420</v>
      </c>
      <c r="H95" s="36" t="s">
        <v>1421</v>
      </c>
      <c r="I95" s="36" t="s">
        <v>1421</v>
      </c>
      <c r="J95" s="36" t="s">
        <v>1421</v>
      </c>
      <c r="K95" s="36">
        <v>375.33</v>
      </c>
      <c r="L95" s="36" t="s">
        <v>1422</v>
      </c>
      <c r="M95" s="49">
        <v>4</v>
      </c>
      <c r="N95" s="37" t="s">
        <v>1510</v>
      </c>
      <c r="O95" s="37"/>
      <c r="P95" s="36">
        <v>1</v>
      </c>
      <c r="Q95" s="36" t="s">
        <v>1972</v>
      </c>
      <c r="R95" s="36" t="s">
        <v>1986</v>
      </c>
      <c r="S95" s="36" t="s">
        <v>1880</v>
      </c>
      <c r="T95" s="36" t="s">
        <v>1883</v>
      </c>
      <c r="U95" s="38">
        <v>45474</v>
      </c>
      <c r="V95" s="39">
        <v>727434.6</v>
      </c>
      <c r="W95" s="39" t="s">
        <v>2363</v>
      </c>
      <c r="X95" s="39" t="s">
        <v>2363</v>
      </c>
      <c r="Y95" s="40">
        <f t="shared" si="28"/>
        <v>36371.730000000003</v>
      </c>
      <c r="Z95" s="40">
        <f t="shared" si="29"/>
        <v>763806.33</v>
      </c>
      <c r="AA95" s="41" t="str">
        <f t="shared" si="30"/>
        <v>0.0022</v>
      </c>
      <c r="AB95" s="41">
        <f t="shared" si="31"/>
        <v>0</v>
      </c>
      <c r="AC95" s="41">
        <f t="shared" si="32"/>
        <v>0</v>
      </c>
      <c r="AD95" s="41">
        <f t="shared" si="33"/>
        <v>0</v>
      </c>
      <c r="AE95" s="41">
        <f t="shared" si="34"/>
        <v>0</v>
      </c>
      <c r="AF95" s="41">
        <f t="shared" si="35"/>
        <v>0</v>
      </c>
      <c r="AG95" s="41">
        <f t="shared" si="36"/>
        <v>0</v>
      </c>
      <c r="AH95" s="41">
        <f t="shared" si="37"/>
        <v>0</v>
      </c>
      <c r="AI95" s="41">
        <f t="shared" si="38"/>
        <v>183</v>
      </c>
      <c r="AJ95" s="41">
        <f t="shared" si="39"/>
        <v>365</v>
      </c>
      <c r="AK95" s="41">
        <f t="shared" si="40"/>
        <v>181</v>
      </c>
      <c r="AL95" s="42">
        <f t="shared" si="41"/>
        <v>4.3845373150684939</v>
      </c>
      <c r="AM95" s="42">
        <f t="shared" si="42"/>
        <v>793.60125402739743</v>
      </c>
      <c r="AN95" s="43">
        <f t="shared" si="27"/>
        <v>654691.20000000007</v>
      </c>
      <c r="AO95" s="43"/>
      <c r="AP95" s="42">
        <f t="shared" si="43"/>
        <v>109115.12999999989</v>
      </c>
      <c r="AQ95" s="43">
        <v>5</v>
      </c>
      <c r="AR95" s="44">
        <f t="shared" si="44"/>
        <v>0.85714293569680167</v>
      </c>
      <c r="AS95" s="45">
        <f t="shared" si="45"/>
        <v>1938.1200543521702</v>
      </c>
      <c r="AU95" s="1">
        <v>654691.20000000007</v>
      </c>
      <c r="AV95" s="50">
        <v>0</v>
      </c>
    </row>
    <row r="96" spans="1:48" s="1" customFormat="1" ht="37.200000000000003" thickTop="1" thickBot="1" x14ac:dyDescent="0.55000000000000004">
      <c r="A96" s="33">
        <v>89</v>
      </c>
      <c r="B96" s="34" t="s">
        <v>143</v>
      </c>
      <c r="C96" s="34" t="s">
        <v>965</v>
      </c>
      <c r="D96" s="35" t="s">
        <v>598</v>
      </c>
      <c r="E96" s="35" t="s">
        <v>966</v>
      </c>
      <c r="F96" s="36" t="s">
        <v>1055</v>
      </c>
      <c r="G96" s="36" t="s">
        <v>1420</v>
      </c>
      <c r="H96" s="36" t="s">
        <v>1421</v>
      </c>
      <c r="I96" s="36" t="s">
        <v>1421</v>
      </c>
      <c r="J96" s="36" t="s">
        <v>1421</v>
      </c>
      <c r="K96" s="36">
        <v>350</v>
      </c>
      <c r="L96" s="36" t="s">
        <v>1422</v>
      </c>
      <c r="M96" s="49">
        <v>4</v>
      </c>
      <c r="N96" s="37" t="s">
        <v>1511</v>
      </c>
      <c r="O96" s="37"/>
      <c r="P96" s="36">
        <v>1</v>
      </c>
      <c r="Q96" s="36" t="s">
        <v>1933</v>
      </c>
      <c r="R96" s="36" t="s">
        <v>1987</v>
      </c>
      <c r="S96" s="36" t="s">
        <v>1880</v>
      </c>
      <c r="T96" s="36" t="s">
        <v>1883</v>
      </c>
      <c r="U96" s="38">
        <v>45509</v>
      </c>
      <c r="V96" s="39">
        <v>664474</v>
      </c>
      <c r="W96" s="39" t="s">
        <v>2363</v>
      </c>
      <c r="X96" s="39" t="s">
        <v>2363</v>
      </c>
      <c r="Y96" s="40">
        <f t="shared" si="28"/>
        <v>33223.699999999997</v>
      </c>
      <c r="Z96" s="40">
        <f t="shared" si="29"/>
        <v>697697.7</v>
      </c>
      <c r="AA96" s="41" t="str">
        <f t="shared" si="30"/>
        <v>0.0018</v>
      </c>
      <c r="AB96" s="41">
        <f t="shared" si="31"/>
        <v>0</v>
      </c>
      <c r="AC96" s="41">
        <f t="shared" si="32"/>
        <v>0</v>
      </c>
      <c r="AD96" s="41">
        <f t="shared" si="33"/>
        <v>0</v>
      </c>
      <c r="AE96" s="41">
        <f t="shared" si="34"/>
        <v>0</v>
      </c>
      <c r="AF96" s="41">
        <f t="shared" si="35"/>
        <v>0</v>
      </c>
      <c r="AG96" s="41">
        <f t="shared" si="36"/>
        <v>0</v>
      </c>
      <c r="AH96" s="41">
        <f t="shared" si="37"/>
        <v>0</v>
      </c>
      <c r="AI96" s="41">
        <f t="shared" si="38"/>
        <v>148</v>
      </c>
      <c r="AJ96" s="41">
        <f t="shared" si="39"/>
        <v>365</v>
      </c>
      <c r="AK96" s="41">
        <f t="shared" si="40"/>
        <v>181</v>
      </c>
      <c r="AL96" s="42">
        <f t="shared" si="41"/>
        <v>3.2768580821917812</v>
      </c>
      <c r="AM96" s="42">
        <f t="shared" si="42"/>
        <v>593.11131287671242</v>
      </c>
      <c r="AN96" s="43">
        <f t="shared" si="27"/>
        <v>598026.6</v>
      </c>
      <c r="AO96" s="43"/>
      <c r="AP96" s="42">
        <f t="shared" si="43"/>
        <v>99671.099999999977</v>
      </c>
      <c r="AQ96" s="43">
        <v>5</v>
      </c>
      <c r="AR96" s="44">
        <f t="shared" si="44"/>
        <v>0.85714285714285721</v>
      </c>
      <c r="AS96" s="45">
        <f t="shared" si="45"/>
        <v>1898.4971428571428</v>
      </c>
      <c r="AU96" s="1">
        <v>498355.49999999994</v>
      </c>
      <c r="AV96" s="50">
        <v>99671.1</v>
      </c>
    </row>
    <row r="97" spans="1:48" s="1" customFormat="1" ht="37.200000000000003" thickTop="1" thickBot="1" x14ac:dyDescent="0.55000000000000004">
      <c r="A97" s="33">
        <v>90</v>
      </c>
      <c r="B97" s="34" t="s">
        <v>144</v>
      </c>
      <c r="C97" s="34" t="s">
        <v>965</v>
      </c>
      <c r="D97" s="35" t="s">
        <v>599</v>
      </c>
      <c r="E97" s="35" t="s">
        <v>966</v>
      </c>
      <c r="F97" s="36" t="s">
        <v>1056</v>
      </c>
      <c r="G97" s="36" t="s">
        <v>1420</v>
      </c>
      <c r="H97" s="36" t="s">
        <v>1421</v>
      </c>
      <c r="I97" s="36" t="s">
        <v>1421</v>
      </c>
      <c r="J97" s="36" t="s">
        <v>1421</v>
      </c>
      <c r="K97" s="36">
        <v>375</v>
      </c>
      <c r="L97" s="36" t="s">
        <v>1422</v>
      </c>
      <c r="M97" s="49">
        <v>4</v>
      </c>
      <c r="N97" s="37" t="s">
        <v>1512</v>
      </c>
      <c r="O97" s="37"/>
      <c r="P97" s="36">
        <v>1</v>
      </c>
      <c r="Q97" s="36" t="s">
        <v>1935</v>
      </c>
      <c r="R97" s="36" t="s">
        <v>1988</v>
      </c>
      <c r="S97" s="36" t="s">
        <v>1880</v>
      </c>
      <c r="T97" s="36" t="s">
        <v>1883</v>
      </c>
      <c r="U97" s="38">
        <v>45517</v>
      </c>
      <c r="V97" s="39">
        <v>661270</v>
      </c>
      <c r="W97" s="39" t="s">
        <v>2363</v>
      </c>
      <c r="X97" s="39" t="s">
        <v>2363</v>
      </c>
      <c r="Y97" s="40">
        <f t="shared" si="28"/>
        <v>33063.5</v>
      </c>
      <c r="Z97" s="40">
        <f t="shared" si="29"/>
        <v>694333.5</v>
      </c>
      <c r="AA97" s="41" t="str">
        <f t="shared" si="30"/>
        <v>0.0018</v>
      </c>
      <c r="AB97" s="41">
        <f t="shared" si="31"/>
        <v>0</v>
      </c>
      <c r="AC97" s="41">
        <f t="shared" si="32"/>
        <v>0</v>
      </c>
      <c r="AD97" s="41">
        <f t="shared" si="33"/>
        <v>0</v>
      </c>
      <c r="AE97" s="41">
        <f t="shared" si="34"/>
        <v>0</v>
      </c>
      <c r="AF97" s="41">
        <f t="shared" si="35"/>
        <v>0</v>
      </c>
      <c r="AG97" s="41">
        <f t="shared" si="36"/>
        <v>0</v>
      </c>
      <c r="AH97" s="41">
        <f t="shared" si="37"/>
        <v>0</v>
      </c>
      <c r="AI97" s="41">
        <f t="shared" si="38"/>
        <v>140</v>
      </c>
      <c r="AJ97" s="41">
        <f t="shared" si="39"/>
        <v>365</v>
      </c>
      <c r="AK97" s="41">
        <f t="shared" si="40"/>
        <v>181</v>
      </c>
      <c r="AL97" s="42">
        <f t="shared" si="41"/>
        <v>3.2610575342465755</v>
      </c>
      <c r="AM97" s="42">
        <f t="shared" si="42"/>
        <v>590.25141369863013</v>
      </c>
      <c r="AN97" s="43">
        <f t="shared" si="27"/>
        <v>595143</v>
      </c>
      <c r="AO97" s="43"/>
      <c r="AP97" s="42">
        <f t="shared" si="43"/>
        <v>99190.5</v>
      </c>
      <c r="AQ97" s="43">
        <v>5</v>
      </c>
      <c r="AR97" s="44">
        <f t="shared" si="44"/>
        <v>0.8571428571428571</v>
      </c>
      <c r="AS97" s="45">
        <f t="shared" si="45"/>
        <v>1763.3866666666668</v>
      </c>
      <c r="AU97" s="1">
        <v>495952.5</v>
      </c>
      <c r="AV97" s="50">
        <v>99190.5</v>
      </c>
    </row>
    <row r="98" spans="1:48" s="1" customFormat="1" ht="37.200000000000003" thickTop="1" thickBot="1" x14ac:dyDescent="0.55000000000000004">
      <c r="A98" s="33">
        <v>91</v>
      </c>
      <c r="B98" s="34" t="s">
        <v>145</v>
      </c>
      <c r="C98" s="34" t="s">
        <v>965</v>
      </c>
      <c r="D98" s="35" t="s">
        <v>600</v>
      </c>
      <c r="E98" s="35" t="s">
        <v>966</v>
      </c>
      <c r="F98" s="36" t="s">
        <v>1057</v>
      </c>
      <c r="G98" s="36" t="s">
        <v>1420</v>
      </c>
      <c r="H98" s="36" t="s">
        <v>1421</v>
      </c>
      <c r="I98" s="36" t="s">
        <v>1421</v>
      </c>
      <c r="J98" s="36" t="s">
        <v>1421</v>
      </c>
      <c r="K98" s="36">
        <v>375</v>
      </c>
      <c r="L98" s="36" t="s">
        <v>1422</v>
      </c>
      <c r="M98" s="49">
        <v>4</v>
      </c>
      <c r="N98" s="37" t="s">
        <v>1513</v>
      </c>
      <c r="O98" s="37"/>
      <c r="P98" s="36">
        <v>1</v>
      </c>
      <c r="Q98" s="36" t="s">
        <v>1933</v>
      </c>
      <c r="R98" s="36" t="s">
        <v>1989</v>
      </c>
      <c r="S98" s="36" t="s">
        <v>1880</v>
      </c>
      <c r="T98" s="36" t="s">
        <v>1881</v>
      </c>
      <c r="U98" s="38">
        <v>45517</v>
      </c>
      <c r="V98" s="39">
        <v>664270</v>
      </c>
      <c r="W98" s="39" t="s">
        <v>2363</v>
      </c>
      <c r="X98" s="39" t="s">
        <v>2363</v>
      </c>
      <c r="Y98" s="40">
        <f t="shared" si="28"/>
        <v>33213.5</v>
      </c>
      <c r="Z98" s="40">
        <f t="shared" si="29"/>
        <v>697483.5</v>
      </c>
      <c r="AA98" s="41" t="str">
        <f t="shared" si="30"/>
        <v>0.0018</v>
      </c>
      <c r="AB98" s="41">
        <f t="shared" si="31"/>
        <v>0</v>
      </c>
      <c r="AC98" s="41">
        <f t="shared" si="32"/>
        <v>0</v>
      </c>
      <c r="AD98" s="41">
        <f t="shared" si="33"/>
        <v>0</v>
      </c>
      <c r="AE98" s="41">
        <f t="shared" si="34"/>
        <v>0</v>
      </c>
      <c r="AF98" s="41">
        <f t="shared" si="35"/>
        <v>0</v>
      </c>
      <c r="AG98" s="41">
        <f t="shared" si="36"/>
        <v>0</v>
      </c>
      <c r="AH98" s="41">
        <f t="shared" si="37"/>
        <v>0</v>
      </c>
      <c r="AI98" s="41">
        <f t="shared" si="38"/>
        <v>140</v>
      </c>
      <c r="AJ98" s="41">
        <f t="shared" si="39"/>
        <v>365</v>
      </c>
      <c r="AK98" s="41">
        <f t="shared" si="40"/>
        <v>181</v>
      </c>
      <c r="AL98" s="42">
        <f t="shared" si="41"/>
        <v>3.2758520547945205</v>
      </c>
      <c r="AM98" s="42">
        <f t="shared" si="42"/>
        <v>592.92922191780815</v>
      </c>
      <c r="AN98" s="43">
        <f t="shared" si="27"/>
        <v>597843</v>
      </c>
      <c r="AO98" s="43"/>
      <c r="AP98" s="42">
        <f t="shared" si="43"/>
        <v>99640.5</v>
      </c>
      <c r="AQ98" s="43">
        <v>5</v>
      </c>
      <c r="AR98" s="44">
        <f t="shared" si="44"/>
        <v>0.8571428571428571</v>
      </c>
      <c r="AS98" s="45">
        <f t="shared" si="45"/>
        <v>1771.3866666666668</v>
      </c>
      <c r="AU98" s="1">
        <v>398562</v>
      </c>
      <c r="AV98" s="50">
        <v>199281</v>
      </c>
    </row>
    <row r="99" spans="1:48" s="1" customFormat="1" ht="37.200000000000003" thickTop="1" thickBot="1" x14ac:dyDescent="0.55000000000000004">
      <c r="A99" s="33">
        <v>92</v>
      </c>
      <c r="B99" s="34" t="s">
        <v>146</v>
      </c>
      <c r="C99" s="34" t="s">
        <v>965</v>
      </c>
      <c r="D99" s="35" t="s">
        <v>601</v>
      </c>
      <c r="E99" s="35" t="s">
        <v>966</v>
      </c>
      <c r="F99" s="36" t="s">
        <v>1058</v>
      </c>
      <c r="G99" s="36" t="s">
        <v>1420</v>
      </c>
      <c r="H99" s="36" t="s">
        <v>1421</v>
      </c>
      <c r="I99" s="36" t="s">
        <v>1421</v>
      </c>
      <c r="J99" s="36" t="s">
        <v>1421</v>
      </c>
      <c r="K99" s="36">
        <v>350.04</v>
      </c>
      <c r="L99" s="36" t="s">
        <v>1422</v>
      </c>
      <c r="M99" s="49">
        <v>4</v>
      </c>
      <c r="N99" s="37" t="s">
        <v>1514</v>
      </c>
      <c r="O99" s="37"/>
      <c r="P99" s="36">
        <v>1</v>
      </c>
      <c r="Q99" s="36" t="s">
        <v>1972</v>
      </c>
      <c r="R99" s="36" t="s">
        <v>1990</v>
      </c>
      <c r="S99" s="36" t="s">
        <v>1880</v>
      </c>
      <c r="T99" s="36" t="s">
        <v>1991</v>
      </c>
      <c r="U99" s="38">
        <v>45517</v>
      </c>
      <c r="V99" s="39">
        <v>642787</v>
      </c>
      <c r="W99" s="39" t="s">
        <v>2363</v>
      </c>
      <c r="X99" s="39" t="s">
        <v>2363</v>
      </c>
      <c r="Y99" s="40">
        <f t="shared" si="28"/>
        <v>32139.35</v>
      </c>
      <c r="Z99" s="40">
        <f t="shared" si="29"/>
        <v>674926.35</v>
      </c>
      <c r="AA99" s="41" t="str">
        <f t="shared" si="30"/>
        <v>0.0018</v>
      </c>
      <c r="AB99" s="41">
        <f t="shared" si="31"/>
        <v>0</v>
      </c>
      <c r="AC99" s="41">
        <f t="shared" si="32"/>
        <v>0</v>
      </c>
      <c r="AD99" s="41">
        <f t="shared" si="33"/>
        <v>0</v>
      </c>
      <c r="AE99" s="41">
        <f t="shared" si="34"/>
        <v>0</v>
      </c>
      <c r="AF99" s="41">
        <f t="shared" si="35"/>
        <v>0</v>
      </c>
      <c r="AG99" s="41">
        <f t="shared" si="36"/>
        <v>0</v>
      </c>
      <c r="AH99" s="41">
        <f t="shared" si="37"/>
        <v>0</v>
      </c>
      <c r="AI99" s="41">
        <f t="shared" si="38"/>
        <v>140</v>
      </c>
      <c r="AJ99" s="41">
        <f t="shared" si="39"/>
        <v>365</v>
      </c>
      <c r="AK99" s="41">
        <f t="shared" si="40"/>
        <v>181</v>
      </c>
      <c r="AL99" s="42">
        <f t="shared" si="41"/>
        <v>3.1699084931506847</v>
      </c>
      <c r="AM99" s="42">
        <f t="shared" si="42"/>
        <v>573.75343726027393</v>
      </c>
      <c r="AN99" s="43">
        <f t="shared" si="27"/>
        <v>610647.65</v>
      </c>
      <c r="AO99" s="43"/>
      <c r="AP99" s="42">
        <f t="shared" si="43"/>
        <v>64278.699999999953</v>
      </c>
      <c r="AQ99" s="43">
        <v>6</v>
      </c>
      <c r="AR99" s="44">
        <f t="shared" si="44"/>
        <v>0.90476190476190488</v>
      </c>
      <c r="AS99" s="45">
        <f t="shared" si="45"/>
        <v>1836.324420066278</v>
      </c>
      <c r="AU99" s="1">
        <v>578508.30000000005</v>
      </c>
      <c r="AV99" s="50">
        <v>32139.35</v>
      </c>
    </row>
    <row r="100" spans="1:48" s="1" customFormat="1" ht="37.200000000000003" thickTop="1" thickBot="1" x14ac:dyDescent="0.55000000000000004">
      <c r="A100" s="33">
        <v>93</v>
      </c>
      <c r="B100" s="34" t="s">
        <v>147</v>
      </c>
      <c r="C100" s="34" t="s">
        <v>965</v>
      </c>
      <c r="D100" s="35" t="s">
        <v>602</v>
      </c>
      <c r="E100" s="35" t="s">
        <v>966</v>
      </c>
      <c r="F100" s="36" t="s">
        <v>1059</v>
      </c>
      <c r="G100" s="36" t="s">
        <v>1420</v>
      </c>
      <c r="H100" s="36" t="s">
        <v>1421</v>
      </c>
      <c r="I100" s="36" t="s">
        <v>1421</v>
      </c>
      <c r="J100" s="36" t="s">
        <v>1421</v>
      </c>
      <c r="K100" s="36">
        <v>352.44</v>
      </c>
      <c r="L100" s="36" t="s">
        <v>1422</v>
      </c>
      <c r="M100" s="49">
        <v>4</v>
      </c>
      <c r="N100" s="37" t="s">
        <v>1515</v>
      </c>
      <c r="O100" s="37"/>
      <c r="P100" s="36">
        <v>1</v>
      </c>
      <c r="Q100" s="36" t="s">
        <v>1943</v>
      </c>
      <c r="R100" s="36" t="s">
        <v>1992</v>
      </c>
      <c r="S100" s="36" t="s">
        <v>1880</v>
      </c>
      <c r="T100" s="36" t="s">
        <v>1991</v>
      </c>
      <c r="U100" s="38">
        <v>45517</v>
      </c>
      <c r="V100" s="39">
        <v>658490</v>
      </c>
      <c r="W100" s="39" t="s">
        <v>2363</v>
      </c>
      <c r="X100" s="39" t="s">
        <v>2363</v>
      </c>
      <c r="Y100" s="40">
        <f t="shared" si="28"/>
        <v>32924.5</v>
      </c>
      <c r="Z100" s="40">
        <f t="shared" si="29"/>
        <v>691414.5</v>
      </c>
      <c r="AA100" s="41" t="str">
        <f t="shared" si="30"/>
        <v>0.0018</v>
      </c>
      <c r="AB100" s="41">
        <f t="shared" si="31"/>
        <v>0</v>
      </c>
      <c r="AC100" s="41">
        <f t="shared" si="32"/>
        <v>0</v>
      </c>
      <c r="AD100" s="41">
        <f t="shared" si="33"/>
        <v>0</v>
      </c>
      <c r="AE100" s="41">
        <f t="shared" si="34"/>
        <v>0</v>
      </c>
      <c r="AF100" s="41">
        <f t="shared" si="35"/>
        <v>0</v>
      </c>
      <c r="AG100" s="41">
        <f t="shared" si="36"/>
        <v>0</v>
      </c>
      <c r="AH100" s="41">
        <f t="shared" si="37"/>
        <v>0</v>
      </c>
      <c r="AI100" s="41">
        <f t="shared" si="38"/>
        <v>140</v>
      </c>
      <c r="AJ100" s="41">
        <f t="shared" si="39"/>
        <v>365</v>
      </c>
      <c r="AK100" s="41">
        <f t="shared" si="40"/>
        <v>181</v>
      </c>
      <c r="AL100" s="42">
        <f t="shared" si="41"/>
        <v>3.2473479452054792</v>
      </c>
      <c r="AM100" s="42">
        <f t="shared" si="42"/>
        <v>587.76997808219176</v>
      </c>
      <c r="AN100" s="43">
        <f t="shared" si="27"/>
        <v>625565.5</v>
      </c>
      <c r="AO100" s="43"/>
      <c r="AP100" s="42">
        <f t="shared" si="43"/>
        <v>65849</v>
      </c>
      <c r="AQ100" s="43">
        <v>6</v>
      </c>
      <c r="AR100" s="44">
        <f t="shared" si="44"/>
        <v>0.90476190476190477</v>
      </c>
      <c r="AS100" s="45">
        <f t="shared" si="45"/>
        <v>1868.374758824197</v>
      </c>
      <c r="AU100" s="1">
        <v>592641</v>
      </c>
      <c r="AV100" s="50">
        <v>32924.5</v>
      </c>
    </row>
    <row r="101" spans="1:48" s="1" customFormat="1" ht="37.200000000000003" thickTop="1" thickBot="1" x14ac:dyDescent="0.55000000000000004">
      <c r="A101" s="33">
        <v>94</v>
      </c>
      <c r="B101" s="34" t="s">
        <v>148</v>
      </c>
      <c r="C101" s="34" t="s">
        <v>965</v>
      </c>
      <c r="D101" s="35" t="s">
        <v>603</v>
      </c>
      <c r="E101" s="35" t="s">
        <v>966</v>
      </c>
      <c r="F101" s="36">
        <v>966555667186</v>
      </c>
      <c r="G101" s="36" t="s">
        <v>1420</v>
      </c>
      <c r="H101" s="36" t="s">
        <v>1421</v>
      </c>
      <c r="I101" s="36" t="s">
        <v>1421</v>
      </c>
      <c r="J101" s="36" t="s">
        <v>1421</v>
      </c>
      <c r="K101" s="36">
        <v>350</v>
      </c>
      <c r="L101" s="36" t="s">
        <v>1422</v>
      </c>
      <c r="M101" s="49">
        <v>4</v>
      </c>
      <c r="N101" s="37" t="s">
        <v>1516</v>
      </c>
      <c r="O101" s="37"/>
      <c r="P101" s="36">
        <v>1</v>
      </c>
      <c r="Q101" s="36" t="s">
        <v>1931</v>
      </c>
      <c r="R101" s="36" t="s">
        <v>1993</v>
      </c>
      <c r="S101" s="36" t="s">
        <v>1880</v>
      </c>
      <c r="T101" s="36" t="s">
        <v>1901</v>
      </c>
      <c r="U101" s="38">
        <v>45517</v>
      </c>
      <c r="V101" s="39">
        <v>704392</v>
      </c>
      <c r="W101" s="39" t="s">
        <v>2363</v>
      </c>
      <c r="X101" s="39" t="s">
        <v>2363</v>
      </c>
      <c r="Y101" s="40">
        <f t="shared" si="28"/>
        <v>35219.599999999999</v>
      </c>
      <c r="Z101" s="40">
        <f t="shared" si="29"/>
        <v>739611.6</v>
      </c>
      <c r="AA101" s="41" t="str">
        <f t="shared" si="30"/>
        <v>0.0022</v>
      </c>
      <c r="AB101" s="41">
        <f t="shared" si="31"/>
        <v>0</v>
      </c>
      <c r="AC101" s="41">
        <f t="shared" si="32"/>
        <v>0</v>
      </c>
      <c r="AD101" s="41">
        <f t="shared" si="33"/>
        <v>0</v>
      </c>
      <c r="AE101" s="41">
        <f t="shared" si="34"/>
        <v>0</v>
      </c>
      <c r="AF101" s="41">
        <f t="shared" si="35"/>
        <v>0</v>
      </c>
      <c r="AG101" s="41">
        <f t="shared" si="36"/>
        <v>0</v>
      </c>
      <c r="AH101" s="41">
        <f t="shared" si="37"/>
        <v>0</v>
      </c>
      <c r="AI101" s="41">
        <f t="shared" si="38"/>
        <v>140</v>
      </c>
      <c r="AJ101" s="41">
        <f t="shared" si="39"/>
        <v>365</v>
      </c>
      <c r="AK101" s="41">
        <f t="shared" si="40"/>
        <v>181</v>
      </c>
      <c r="AL101" s="42">
        <f t="shared" si="41"/>
        <v>4.2456504109589046</v>
      </c>
      <c r="AM101" s="42">
        <f t="shared" si="42"/>
        <v>768.46272438356175</v>
      </c>
      <c r="AN101" s="43">
        <f t="shared" si="27"/>
        <v>633952.80000000005</v>
      </c>
      <c r="AO101" s="43"/>
      <c r="AP101" s="42">
        <f t="shared" si="43"/>
        <v>105658.79999999993</v>
      </c>
      <c r="AQ101" s="43">
        <v>5</v>
      </c>
      <c r="AR101" s="44">
        <f t="shared" si="44"/>
        <v>0.85714285714285721</v>
      </c>
      <c r="AS101" s="45">
        <f t="shared" si="45"/>
        <v>2012.5485714285714</v>
      </c>
      <c r="AU101" s="1">
        <v>528294</v>
      </c>
      <c r="AV101" s="50">
        <v>105658.8</v>
      </c>
    </row>
    <row r="102" spans="1:48" s="1" customFormat="1" ht="37.200000000000003" thickTop="1" thickBot="1" x14ac:dyDescent="0.55000000000000004">
      <c r="A102" s="33">
        <v>95</v>
      </c>
      <c r="B102" s="34" t="s">
        <v>149</v>
      </c>
      <c r="C102" s="34" t="s">
        <v>965</v>
      </c>
      <c r="D102" s="35" t="s">
        <v>604</v>
      </c>
      <c r="E102" s="35" t="s">
        <v>966</v>
      </c>
      <c r="F102" s="36">
        <v>966542245200</v>
      </c>
      <c r="G102" s="36" t="s">
        <v>1420</v>
      </c>
      <c r="H102" s="36" t="s">
        <v>1421</v>
      </c>
      <c r="I102" s="36" t="s">
        <v>1421</v>
      </c>
      <c r="J102" s="36" t="s">
        <v>1421</v>
      </c>
      <c r="K102" s="36">
        <v>400</v>
      </c>
      <c r="L102" s="36" t="s">
        <v>1422</v>
      </c>
      <c r="M102" s="49">
        <v>4</v>
      </c>
      <c r="N102" s="37" t="s">
        <v>1517</v>
      </c>
      <c r="O102" s="37"/>
      <c r="P102" s="36">
        <v>1</v>
      </c>
      <c r="Q102" s="36" t="s">
        <v>1954</v>
      </c>
      <c r="R102" s="36" t="s">
        <v>1994</v>
      </c>
      <c r="S102" s="36" t="s">
        <v>1880</v>
      </c>
      <c r="T102" s="36" t="s">
        <v>1881</v>
      </c>
      <c r="U102" s="38">
        <v>45517</v>
      </c>
      <c r="V102" s="39">
        <v>826286</v>
      </c>
      <c r="W102" s="39" t="s">
        <v>2363</v>
      </c>
      <c r="X102" s="39" t="s">
        <v>2363</v>
      </c>
      <c r="Y102" s="40">
        <f t="shared" si="28"/>
        <v>41314.300000000003</v>
      </c>
      <c r="Z102" s="40">
        <f t="shared" si="29"/>
        <v>867600.3</v>
      </c>
      <c r="AA102" s="41" t="str">
        <f t="shared" si="30"/>
        <v>0.0022</v>
      </c>
      <c r="AB102" s="41">
        <f t="shared" si="31"/>
        <v>0</v>
      </c>
      <c r="AC102" s="41">
        <f t="shared" si="32"/>
        <v>0</v>
      </c>
      <c r="AD102" s="41">
        <f t="shared" si="33"/>
        <v>0</v>
      </c>
      <c r="AE102" s="41">
        <f t="shared" si="34"/>
        <v>0</v>
      </c>
      <c r="AF102" s="41">
        <f t="shared" si="35"/>
        <v>0</v>
      </c>
      <c r="AG102" s="41">
        <f t="shared" si="36"/>
        <v>0</v>
      </c>
      <c r="AH102" s="41">
        <f t="shared" si="37"/>
        <v>0</v>
      </c>
      <c r="AI102" s="41">
        <f t="shared" si="38"/>
        <v>140</v>
      </c>
      <c r="AJ102" s="41">
        <f t="shared" si="39"/>
        <v>365</v>
      </c>
      <c r="AK102" s="41">
        <f t="shared" si="40"/>
        <v>181</v>
      </c>
      <c r="AL102" s="42">
        <f t="shared" si="41"/>
        <v>4.9803539726027397</v>
      </c>
      <c r="AM102" s="42">
        <f t="shared" si="42"/>
        <v>901.44406904109587</v>
      </c>
      <c r="AN102" s="43">
        <f t="shared" si="27"/>
        <v>743657.4</v>
      </c>
      <c r="AO102" s="43"/>
      <c r="AP102" s="42">
        <f t="shared" si="43"/>
        <v>123942.90000000002</v>
      </c>
      <c r="AQ102" s="43">
        <v>5</v>
      </c>
      <c r="AR102" s="44">
        <f t="shared" si="44"/>
        <v>0.8571428571428571</v>
      </c>
      <c r="AS102" s="45">
        <f t="shared" si="45"/>
        <v>2065.7150000000001</v>
      </c>
      <c r="AU102" s="1">
        <v>619714.5</v>
      </c>
      <c r="AV102" s="50">
        <v>123942.9</v>
      </c>
    </row>
    <row r="103" spans="1:48" s="1" customFormat="1" ht="37.200000000000003" thickTop="1" thickBot="1" x14ac:dyDescent="0.55000000000000004">
      <c r="A103" s="33">
        <v>96</v>
      </c>
      <c r="B103" s="34" t="s">
        <v>150</v>
      </c>
      <c r="C103" s="34" t="s">
        <v>965</v>
      </c>
      <c r="D103" s="35" t="s">
        <v>605</v>
      </c>
      <c r="E103" s="35" t="s">
        <v>966</v>
      </c>
      <c r="F103" s="36" t="s">
        <v>1060</v>
      </c>
      <c r="G103" s="36" t="s">
        <v>1420</v>
      </c>
      <c r="H103" s="36" t="s">
        <v>1421</v>
      </c>
      <c r="I103" s="36" t="s">
        <v>1421</v>
      </c>
      <c r="J103" s="36" t="s">
        <v>1421</v>
      </c>
      <c r="K103" s="36">
        <v>350</v>
      </c>
      <c r="L103" s="36" t="s">
        <v>1422</v>
      </c>
      <c r="M103" s="49">
        <v>4</v>
      </c>
      <c r="N103" s="37" t="s">
        <v>1518</v>
      </c>
      <c r="O103" s="37"/>
      <c r="P103" s="36">
        <v>1</v>
      </c>
      <c r="Q103" s="36" t="s">
        <v>1995</v>
      </c>
      <c r="R103" s="36" t="s">
        <v>1996</v>
      </c>
      <c r="S103" s="36" t="s">
        <v>1880</v>
      </c>
      <c r="T103" s="36" t="s">
        <v>1883</v>
      </c>
      <c r="U103" s="38">
        <v>45544</v>
      </c>
      <c r="V103" s="39">
        <v>639770</v>
      </c>
      <c r="W103" s="39" t="s">
        <v>2363</v>
      </c>
      <c r="X103" s="39" t="s">
        <v>2363</v>
      </c>
      <c r="Y103" s="40">
        <f t="shared" si="28"/>
        <v>31988.5</v>
      </c>
      <c r="Z103" s="40">
        <f t="shared" si="29"/>
        <v>671758.5</v>
      </c>
      <c r="AA103" s="41" t="str">
        <f t="shared" si="30"/>
        <v>0.0018</v>
      </c>
      <c r="AB103" s="41">
        <f t="shared" si="31"/>
        <v>0</v>
      </c>
      <c r="AC103" s="41">
        <f t="shared" si="32"/>
        <v>0</v>
      </c>
      <c r="AD103" s="41">
        <f t="shared" si="33"/>
        <v>0</v>
      </c>
      <c r="AE103" s="41">
        <f t="shared" si="34"/>
        <v>0</v>
      </c>
      <c r="AF103" s="41">
        <f t="shared" si="35"/>
        <v>0</v>
      </c>
      <c r="AG103" s="41">
        <f t="shared" si="36"/>
        <v>0</v>
      </c>
      <c r="AH103" s="41">
        <f t="shared" si="37"/>
        <v>0</v>
      </c>
      <c r="AI103" s="41">
        <f t="shared" si="38"/>
        <v>113</v>
      </c>
      <c r="AJ103" s="41">
        <f t="shared" si="39"/>
        <v>365</v>
      </c>
      <c r="AK103" s="41">
        <f t="shared" si="40"/>
        <v>181</v>
      </c>
      <c r="AL103" s="42">
        <f t="shared" si="41"/>
        <v>3.1550301369863014</v>
      </c>
      <c r="AM103" s="42">
        <f t="shared" si="42"/>
        <v>571.06045479452052</v>
      </c>
      <c r="AN103" s="43">
        <f t="shared" si="27"/>
        <v>607781.5</v>
      </c>
      <c r="AO103" s="43"/>
      <c r="AP103" s="42">
        <f t="shared" si="43"/>
        <v>63977</v>
      </c>
      <c r="AQ103" s="43">
        <v>6</v>
      </c>
      <c r="AR103" s="44">
        <f t="shared" si="44"/>
        <v>0.90476190476190477</v>
      </c>
      <c r="AS103" s="45">
        <f t="shared" si="45"/>
        <v>1827.9142857142858</v>
      </c>
      <c r="AU103" s="1">
        <v>575793</v>
      </c>
      <c r="AV103" s="50">
        <v>31988.5</v>
      </c>
    </row>
    <row r="104" spans="1:48" s="1" customFormat="1" ht="37.200000000000003" thickTop="1" thickBot="1" x14ac:dyDescent="0.55000000000000004">
      <c r="A104" s="33">
        <v>97</v>
      </c>
      <c r="B104" s="34" t="s">
        <v>151</v>
      </c>
      <c r="C104" s="34" t="s">
        <v>965</v>
      </c>
      <c r="D104" s="35" t="s">
        <v>606</v>
      </c>
      <c r="E104" s="35" t="s">
        <v>966</v>
      </c>
      <c r="F104" s="36" t="s">
        <v>1061</v>
      </c>
      <c r="G104" s="36" t="s">
        <v>1420</v>
      </c>
      <c r="H104" s="36" t="s">
        <v>1421</v>
      </c>
      <c r="I104" s="36" t="s">
        <v>1421</v>
      </c>
      <c r="J104" s="36" t="s">
        <v>1421</v>
      </c>
      <c r="K104" s="36">
        <v>375</v>
      </c>
      <c r="L104" s="36" t="s">
        <v>1422</v>
      </c>
      <c r="M104" s="49">
        <v>4</v>
      </c>
      <c r="N104" s="37" t="s">
        <v>1519</v>
      </c>
      <c r="O104" s="37"/>
      <c r="P104" s="36">
        <v>1</v>
      </c>
      <c r="Q104" s="36" t="s">
        <v>1931</v>
      </c>
      <c r="R104" s="36" t="s">
        <v>1997</v>
      </c>
      <c r="S104" s="36" t="s">
        <v>1880</v>
      </c>
      <c r="T104" s="36" t="s">
        <v>1991</v>
      </c>
      <c r="U104" s="38">
        <v>45544</v>
      </c>
      <c r="V104" s="39">
        <v>664270</v>
      </c>
      <c r="W104" s="39" t="s">
        <v>2363</v>
      </c>
      <c r="X104" s="39" t="s">
        <v>2363</v>
      </c>
      <c r="Y104" s="40">
        <f t="shared" si="28"/>
        <v>33213.5</v>
      </c>
      <c r="Z104" s="40">
        <f t="shared" si="29"/>
        <v>697483.5</v>
      </c>
      <c r="AA104" s="41" t="str">
        <f t="shared" si="30"/>
        <v>0.0018</v>
      </c>
      <c r="AB104" s="41">
        <f t="shared" si="31"/>
        <v>0</v>
      </c>
      <c r="AC104" s="41">
        <f t="shared" si="32"/>
        <v>0</v>
      </c>
      <c r="AD104" s="41">
        <f t="shared" si="33"/>
        <v>0</v>
      </c>
      <c r="AE104" s="41">
        <f t="shared" si="34"/>
        <v>0</v>
      </c>
      <c r="AF104" s="41">
        <f t="shared" si="35"/>
        <v>0</v>
      </c>
      <c r="AG104" s="41">
        <f t="shared" si="36"/>
        <v>0</v>
      </c>
      <c r="AH104" s="41">
        <f t="shared" si="37"/>
        <v>0</v>
      </c>
      <c r="AI104" s="41">
        <f t="shared" si="38"/>
        <v>113</v>
      </c>
      <c r="AJ104" s="41">
        <f t="shared" si="39"/>
        <v>365</v>
      </c>
      <c r="AK104" s="41">
        <f t="shared" si="40"/>
        <v>181</v>
      </c>
      <c r="AL104" s="42">
        <f t="shared" si="41"/>
        <v>3.2758520547945205</v>
      </c>
      <c r="AM104" s="42">
        <f t="shared" si="42"/>
        <v>592.92922191780815</v>
      </c>
      <c r="AN104" s="43">
        <f t="shared" si="27"/>
        <v>597834</v>
      </c>
      <c r="AO104" s="43"/>
      <c r="AP104" s="42">
        <f t="shared" si="43"/>
        <v>99649.5</v>
      </c>
      <c r="AQ104" s="43">
        <v>5</v>
      </c>
      <c r="AR104" s="44">
        <f t="shared" si="44"/>
        <v>0.85712995361180588</v>
      </c>
      <c r="AS104" s="45">
        <f t="shared" si="45"/>
        <v>1771.3866666666668</v>
      </c>
      <c r="AU104" s="1">
        <v>398553</v>
      </c>
      <c r="AV104" s="50">
        <v>199281</v>
      </c>
    </row>
    <row r="105" spans="1:48" s="1" customFormat="1" ht="37.200000000000003" thickTop="1" thickBot="1" x14ac:dyDescent="0.55000000000000004">
      <c r="A105" s="33">
        <v>98</v>
      </c>
      <c r="B105" s="34" t="s">
        <v>152</v>
      </c>
      <c r="C105" s="34" t="s">
        <v>965</v>
      </c>
      <c r="D105" s="35" t="s">
        <v>607</v>
      </c>
      <c r="E105" s="35" t="s">
        <v>966</v>
      </c>
      <c r="F105" s="36" t="s">
        <v>1062</v>
      </c>
      <c r="G105" s="36" t="s">
        <v>1420</v>
      </c>
      <c r="H105" s="36" t="s">
        <v>1421</v>
      </c>
      <c r="I105" s="36" t="s">
        <v>1421</v>
      </c>
      <c r="J105" s="36" t="s">
        <v>1421</v>
      </c>
      <c r="K105" s="36">
        <v>350</v>
      </c>
      <c r="L105" s="36" t="s">
        <v>1422</v>
      </c>
      <c r="M105" s="49">
        <v>4</v>
      </c>
      <c r="N105" s="37" t="s">
        <v>1520</v>
      </c>
      <c r="O105" s="37"/>
      <c r="P105" s="36">
        <v>1</v>
      </c>
      <c r="Q105" s="36" t="s">
        <v>1941</v>
      </c>
      <c r="R105" s="36" t="s">
        <v>1998</v>
      </c>
      <c r="S105" s="36" t="s">
        <v>1880</v>
      </c>
      <c r="T105" s="36" t="s">
        <v>1901</v>
      </c>
      <c r="U105" s="38">
        <v>45544</v>
      </c>
      <c r="V105" s="39">
        <v>665974</v>
      </c>
      <c r="W105" s="39" t="s">
        <v>2363</v>
      </c>
      <c r="X105" s="39" t="s">
        <v>2363</v>
      </c>
      <c r="Y105" s="40">
        <f t="shared" si="28"/>
        <v>33298.699999999997</v>
      </c>
      <c r="Z105" s="40">
        <f t="shared" si="29"/>
        <v>699272.7</v>
      </c>
      <c r="AA105" s="41" t="str">
        <f t="shared" si="30"/>
        <v>0.0018</v>
      </c>
      <c r="AB105" s="41">
        <f t="shared" si="31"/>
        <v>0</v>
      </c>
      <c r="AC105" s="41">
        <f t="shared" si="32"/>
        <v>0</v>
      </c>
      <c r="AD105" s="41">
        <f t="shared" si="33"/>
        <v>0</v>
      </c>
      <c r="AE105" s="41">
        <f t="shared" si="34"/>
        <v>0</v>
      </c>
      <c r="AF105" s="41">
        <f t="shared" si="35"/>
        <v>0</v>
      </c>
      <c r="AG105" s="41">
        <f t="shared" si="36"/>
        <v>0</v>
      </c>
      <c r="AH105" s="41">
        <f t="shared" si="37"/>
        <v>0</v>
      </c>
      <c r="AI105" s="41">
        <f t="shared" si="38"/>
        <v>113</v>
      </c>
      <c r="AJ105" s="41">
        <f t="shared" si="39"/>
        <v>365</v>
      </c>
      <c r="AK105" s="41">
        <f t="shared" si="40"/>
        <v>181</v>
      </c>
      <c r="AL105" s="42">
        <f t="shared" si="41"/>
        <v>3.284255342465753</v>
      </c>
      <c r="AM105" s="42">
        <f t="shared" si="42"/>
        <v>594.45021698630126</v>
      </c>
      <c r="AN105" s="43">
        <f t="shared" si="27"/>
        <v>599376.6</v>
      </c>
      <c r="AO105" s="43"/>
      <c r="AP105" s="42">
        <f t="shared" si="43"/>
        <v>99896.099999999977</v>
      </c>
      <c r="AQ105" s="43">
        <v>5</v>
      </c>
      <c r="AR105" s="44">
        <f t="shared" si="44"/>
        <v>0.85714285714285721</v>
      </c>
      <c r="AS105" s="45">
        <f t="shared" si="45"/>
        <v>1902.7828571428572</v>
      </c>
      <c r="AU105" s="1">
        <v>499480.49999999994</v>
      </c>
      <c r="AV105" s="50">
        <v>99896.1</v>
      </c>
    </row>
    <row r="106" spans="1:48" s="1" customFormat="1" ht="37.200000000000003" thickTop="1" thickBot="1" x14ac:dyDescent="0.55000000000000004">
      <c r="A106" s="33">
        <v>99</v>
      </c>
      <c r="B106" s="34" t="s">
        <v>153</v>
      </c>
      <c r="C106" s="34" t="s">
        <v>965</v>
      </c>
      <c r="D106" s="35" t="s">
        <v>608</v>
      </c>
      <c r="E106" s="35" t="s">
        <v>966</v>
      </c>
      <c r="F106" s="36" t="s">
        <v>1063</v>
      </c>
      <c r="G106" s="36" t="s">
        <v>1420</v>
      </c>
      <c r="H106" s="36" t="s">
        <v>1421</v>
      </c>
      <c r="I106" s="36" t="s">
        <v>1421</v>
      </c>
      <c r="J106" s="36" t="s">
        <v>1421</v>
      </c>
      <c r="K106" s="36">
        <v>375</v>
      </c>
      <c r="L106" s="36" t="s">
        <v>1422</v>
      </c>
      <c r="M106" s="49">
        <v>4</v>
      </c>
      <c r="N106" s="37" t="s">
        <v>1521</v>
      </c>
      <c r="O106" s="37"/>
      <c r="P106" s="36">
        <v>1</v>
      </c>
      <c r="Q106" s="36" t="s">
        <v>1939</v>
      </c>
      <c r="R106" s="36" t="s">
        <v>1999</v>
      </c>
      <c r="S106" s="36" t="s">
        <v>1880</v>
      </c>
      <c r="T106" s="36" t="s">
        <v>1883</v>
      </c>
      <c r="U106" s="38">
        <v>45544</v>
      </c>
      <c r="V106" s="39">
        <v>661270</v>
      </c>
      <c r="W106" s="39" t="s">
        <v>2363</v>
      </c>
      <c r="X106" s="39" t="s">
        <v>2363</v>
      </c>
      <c r="Y106" s="40">
        <f t="shared" si="28"/>
        <v>33063.5</v>
      </c>
      <c r="Z106" s="40">
        <f t="shared" si="29"/>
        <v>694333.5</v>
      </c>
      <c r="AA106" s="41" t="str">
        <f t="shared" si="30"/>
        <v>0.0018</v>
      </c>
      <c r="AB106" s="41">
        <f t="shared" si="31"/>
        <v>0</v>
      </c>
      <c r="AC106" s="41">
        <f t="shared" si="32"/>
        <v>0</v>
      </c>
      <c r="AD106" s="41">
        <f t="shared" si="33"/>
        <v>0</v>
      </c>
      <c r="AE106" s="41">
        <f t="shared" si="34"/>
        <v>0</v>
      </c>
      <c r="AF106" s="41">
        <f t="shared" si="35"/>
        <v>0</v>
      </c>
      <c r="AG106" s="41">
        <f t="shared" si="36"/>
        <v>0</v>
      </c>
      <c r="AH106" s="41">
        <f t="shared" si="37"/>
        <v>0</v>
      </c>
      <c r="AI106" s="41">
        <f t="shared" si="38"/>
        <v>113</v>
      </c>
      <c r="AJ106" s="41">
        <f t="shared" si="39"/>
        <v>365</v>
      </c>
      <c r="AK106" s="41">
        <f t="shared" si="40"/>
        <v>181</v>
      </c>
      <c r="AL106" s="42">
        <f t="shared" si="41"/>
        <v>3.2610575342465755</v>
      </c>
      <c r="AM106" s="42">
        <f t="shared" si="42"/>
        <v>590.25141369863013</v>
      </c>
      <c r="AN106" s="43">
        <f t="shared" si="27"/>
        <v>628206.5</v>
      </c>
      <c r="AO106" s="43"/>
      <c r="AP106" s="42">
        <f t="shared" si="43"/>
        <v>66127</v>
      </c>
      <c r="AQ106" s="43">
        <v>6</v>
      </c>
      <c r="AR106" s="44">
        <f t="shared" si="44"/>
        <v>0.90476190476190477</v>
      </c>
      <c r="AS106" s="45">
        <f t="shared" si="45"/>
        <v>1763.3866666666668</v>
      </c>
      <c r="AU106" s="1">
        <v>495952.5</v>
      </c>
      <c r="AV106" s="50">
        <v>132254</v>
      </c>
    </row>
    <row r="107" spans="1:48" s="1" customFormat="1" ht="37.200000000000003" thickTop="1" thickBot="1" x14ac:dyDescent="0.55000000000000004">
      <c r="A107" s="33">
        <v>100</v>
      </c>
      <c r="B107" s="34" t="s">
        <v>154</v>
      </c>
      <c r="C107" s="34" t="s">
        <v>965</v>
      </c>
      <c r="D107" s="35" t="s">
        <v>609</v>
      </c>
      <c r="E107" s="35" t="s">
        <v>966</v>
      </c>
      <c r="F107" s="36" t="s">
        <v>1064</v>
      </c>
      <c r="G107" s="36" t="s">
        <v>1420</v>
      </c>
      <c r="H107" s="36" t="s">
        <v>1421</v>
      </c>
      <c r="I107" s="36" t="s">
        <v>1421</v>
      </c>
      <c r="J107" s="36" t="s">
        <v>1421</v>
      </c>
      <c r="K107" s="36">
        <v>350</v>
      </c>
      <c r="L107" s="36" t="s">
        <v>1422</v>
      </c>
      <c r="M107" s="49">
        <v>4</v>
      </c>
      <c r="N107" s="37" t="s">
        <v>1522</v>
      </c>
      <c r="O107" s="37"/>
      <c r="P107" s="36">
        <v>1</v>
      </c>
      <c r="Q107" s="36" t="s">
        <v>1941</v>
      </c>
      <c r="R107" s="36" t="s">
        <v>2000</v>
      </c>
      <c r="S107" s="36" t="s">
        <v>1880</v>
      </c>
      <c r="T107" s="36" t="s">
        <v>1883</v>
      </c>
      <c r="U107" s="38">
        <v>45544</v>
      </c>
      <c r="V107" s="39">
        <v>665974</v>
      </c>
      <c r="W107" s="39" t="s">
        <v>2363</v>
      </c>
      <c r="X107" s="39" t="s">
        <v>2363</v>
      </c>
      <c r="Y107" s="40">
        <f t="shared" si="28"/>
        <v>33298.699999999997</v>
      </c>
      <c r="Z107" s="40">
        <f t="shared" si="29"/>
        <v>699272.7</v>
      </c>
      <c r="AA107" s="41" t="str">
        <f t="shared" si="30"/>
        <v>0.0018</v>
      </c>
      <c r="AB107" s="41">
        <f t="shared" si="31"/>
        <v>0</v>
      </c>
      <c r="AC107" s="41">
        <f t="shared" si="32"/>
        <v>0</v>
      </c>
      <c r="AD107" s="41">
        <f t="shared" si="33"/>
        <v>0</v>
      </c>
      <c r="AE107" s="41">
        <f t="shared" si="34"/>
        <v>0</v>
      </c>
      <c r="AF107" s="41">
        <f t="shared" si="35"/>
        <v>0</v>
      </c>
      <c r="AG107" s="41">
        <f t="shared" si="36"/>
        <v>0</v>
      </c>
      <c r="AH107" s="41">
        <f t="shared" si="37"/>
        <v>0</v>
      </c>
      <c r="AI107" s="41">
        <f t="shared" si="38"/>
        <v>113</v>
      </c>
      <c r="AJ107" s="41">
        <f t="shared" si="39"/>
        <v>365</v>
      </c>
      <c r="AK107" s="41">
        <f t="shared" si="40"/>
        <v>181</v>
      </c>
      <c r="AL107" s="42">
        <f t="shared" si="41"/>
        <v>3.284255342465753</v>
      </c>
      <c r="AM107" s="42">
        <f t="shared" si="42"/>
        <v>594.45021698630126</v>
      </c>
      <c r="AN107" s="43">
        <f t="shared" si="27"/>
        <v>599376.6</v>
      </c>
      <c r="AO107" s="43"/>
      <c r="AP107" s="42">
        <f t="shared" si="43"/>
        <v>99896.099999999977</v>
      </c>
      <c r="AQ107" s="43">
        <v>5</v>
      </c>
      <c r="AR107" s="44">
        <f t="shared" si="44"/>
        <v>0.85714285714285721</v>
      </c>
      <c r="AS107" s="45">
        <f t="shared" si="45"/>
        <v>1902.7828571428572</v>
      </c>
      <c r="AU107" s="1">
        <v>499480.49999999994</v>
      </c>
      <c r="AV107" s="50">
        <v>99896.1</v>
      </c>
    </row>
    <row r="108" spans="1:48" s="1" customFormat="1" ht="37.200000000000003" thickTop="1" thickBot="1" x14ac:dyDescent="0.55000000000000004">
      <c r="A108" s="33">
        <v>101</v>
      </c>
      <c r="B108" s="34" t="s">
        <v>155</v>
      </c>
      <c r="C108" s="34" t="s">
        <v>965</v>
      </c>
      <c r="D108" s="35" t="s">
        <v>610</v>
      </c>
      <c r="E108" s="35" t="s">
        <v>966</v>
      </c>
      <c r="F108" s="36" t="s">
        <v>1065</v>
      </c>
      <c r="G108" s="36" t="s">
        <v>1420</v>
      </c>
      <c r="H108" s="36" t="s">
        <v>1421</v>
      </c>
      <c r="I108" s="36" t="s">
        <v>1421</v>
      </c>
      <c r="J108" s="36" t="s">
        <v>1421</v>
      </c>
      <c r="K108" s="36">
        <v>350</v>
      </c>
      <c r="L108" s="36" t="s">
        <v>1422</v>
      </c>
      <c r="M108" s="49">
        <v>4</v>
      </c>
      <c r="N108" s="37" t="s">
        <v>1523</v>
      </c>
      <c r="O108" s="37"/>
      <c r="P108" s="36">
        <v>1</v>
      </c>
      <c r="Q108" s="36" t="s">
        <v>1995</v>
      </c>
      <c r="R108" s="36" t="s">
        <v>2001</v>
      </c>
      <c r="S108" s="36" t="s">
        <v>1880</v>
      </c>
      <c r="T108" s="36" t="s">
        <v>1883</v>
      </c>
      <c r="U108" s="38">
        <v>45544</v>
      </c>
      <c r="V108" s="39">
        <v>639770</v>
      </c>
      <c r="W108" s="39" t="s">
        <v>2363</v>
      </c>
      <c r="X108" s="39" t="s">
        <v>2363</v>
      </c>
      <c r="Y108" s="40">
        <f t="shared" si="28"/>
        <v>31988.5</v>
      </c>
      <c r="Z108" s="40">
        <f t="shared" si="29"/>
        <v>671758.5</v>
      </c>
      <c r="AA108" s="41" t="str">
        <f t="shared" si="30"/>
        <v>0.0018</v>
      </c>
      <c r="AB108" s="41">
        <f t="shared" si="31"/>
        <v>0</v>
      </c>
      <c r="AC108" s="41">
        <f t="shared" si="32"/>
        <v>0</v>
      </c>
      <c r="AD108" s="41">
        <f t="shared" si="33"/>
        <v>0</v>
      </c>
      <c r="AE108" s="41">
        <f t="shared" si="34"/>
        <v>0</v>
      </c>
      <c r="AF108" s="41">
        <f t="shared" si="35"/>
        <v>0</v>
      </c>
      <c r="AG108" s="41">
        <f t="shared" si="36"/>
        <v>0</v>
      </c>
      <c r="AH108" s="41">
        <f t="shared" si="37"/>
        <v>0</v>
      </c>
      <c r="AI108" s="41">
        <f t="shared" si="38"/>
        <v>113</v>
      </c>
      <c r="AJ108" s="41">
        <f t="shared" si="39"/>
        <v>365</v>
      </c>
      <c r="AK108" s="41">
        <f t="shared" si="40"/>
        <v>181</v>
      </c>
      <c r="AL108" s="42">
        <f t="shared" si="41"/>
        <v>3.1550301369863014</v>
      </c>
      <c r="AM108" s="42">
        <f t="shared" si="42"/>
        <v>571.06045479452052</v>
      </c>
      <c r="AN108" s="43">
        <f t="shared" si="27"/>
        <v>607781.5</v>
      </c>
      <c r="AO108" s="43"/>
      <c r="AP108" s="42">
        <f t="shared" si="43"/>
        <v>63977</v>
      </c>
      <c r="AQ108" s="43">
        <v>6</v>
      </c>
      <c r="AR108" s="44">
        <f t="shared" si="44"/>
        <v>0.90476190476190477</v>
      </c>
      <c r="AS108" s="45">
        <f t="shared" si="45"/>
        <v>1827.9142857142858</v>
      </c>
      <c r="AU108" s="1">
        <v>575793</v>
      </c>
      <c r="AV108" s="50">
        <v>31988.5</v>
      </c>
    </row>
    <row r="109" spans="1:48" s="1" customFormat="1" ht="37.200000000000003" thickTop="1" thickBot="1" x14ac:dyDescent="0.55000000000000004">
      <c r="A109" s="33">
        <v>102</v>
      </c>
      <c r="B109" s="34" t="s">
        <v>156</v>
      </c>
      <c r="C109" s="34" t="s">
        <v>965</v>
      </c>
      <c r="D109" s="35" t="s">
        <v>611</v>
      </c>
      <c r="E109" s="35" t="s">
        <v>966</v>
      </c>
      <c r="F109" s="36" t="s">
        <v>1066</v>
      </c>
      <c r="G109" s="36" t="s">
        <v>1420</v>
      </c>
      <c r="H109" s="36" t="s">
        <v>1421</v>
      </c>
      <c r="I109" s="36" t="s">
        <v>1421</v>
      </c>
      <c r="J109" s="36" t="s">
        <v>1421</v>
      </c>
      <c r="K109" s="36">
        <v>350.04</v>
      </c>
      <c r="L109" s="36" t="s">
        <v>1422</v>
      </c>
      <c r="M109" s="49">
        <v>4</v>
      </c>
      <c r="N109" s="37" t="s">
        <v>1524</v>
      </c>
      <c r="O109" s="37"/>
      <c r="P109" s="36">
        <v>1</v>
      </c>
      <c r="Q109" s="36" t="s">
        <v>1972</v>
      </c>
      <c r="R109" s="36" t="s">
        <v>2002</v>
      </c>
      <c r="S109" s="36" t="s">
        <v>1880</v>
      </c>
      <c r="T109" s="36" t="s">
        <v>1883</v>
      </c>
      <c r="U109" s="38">
        <v>45544</v>
      </c>
      <c r="V109" s="39">
        <v>664492</v>
      </c>
      <c r="W109" s="39" t="s">
        <v>2363</v>
      </c>
      <c r="X109" s="39" t="s">
        <v>2363</v>
      </c>
      <c r="Y109" s="40">
        <f t="shared" si="28"/>
        <v>33224.6</v>
      </c>
      <c r="Z109" s="40">
        <f t="shared" si="29"/>
        <v>697716.6</v>
      </c>
      <c r="AA109" s="41" t="str">
        <f t="shared" si="30"/>
        <v>0.0018</v>
      </c>
      <c r="AB109" s="41">
        <f t="shared" si="31"/>
        <v>0</v>
      </c>
      <c r="AC109" s="41">
        <f t="shared" si="32"/>
        <v>0</v>
      </c>
      <c r="AD109" s="41">
        <f t="shared" si="33"/>
        <v>0</v>
      </c>
      <c r="AE109" s="41">
        <f t="shared" si="34"/>
        <v>0</v>
      </c>
      <c r="AF109" s="41">
        <f t="shared" si="35"/>
        <v>0</v>
      </c>
      <c r="AG109" s="41">
        <f t="shared" si="36"/>
        <v>0</v>
      </c>
      <c r="AH109" s="41">
        <f t="shared" si="37"/>
        <v>0</v>
      </c>
      <c r="AI109" s="41">
        <f t="shared" si="38"/>
        <v>113</v>
      </c>
      <c r="AJ109" s="41">
        <f t="shared" si="39"/>
        <v>365</v>
      </c>
      <c r="AK109" s="41">
        <f t="shared" si="40"/>
        <v>181</v>
      </c>
      <c r="AL109" s="42">
        <f t="shared" si="41"/>
        <v>3.2769468493150682</v>
      </c>
      <c r="AM109" s="42">
        <f t="shared" si="42"/>
        <v>593.12737972602736</v>
      </c>
      <c r="AN109" s="43">
        <f t="shared" si="27"/>
        <v>631267.4</v>
      </c>
      <c r="AO109" s="43"/>
      <c r="AP109" s="42">
        <f t="shared" si="43"/>
        <v>66449.199999999953</v>
      </c>
      <c r="AQ109" s="43">
        <v>6</v>
      </c>
      <c r="AR109" s="44">
        <f t="shared" si="44"/>
        <v>0.90476190476190488</v>
      </c>
      <c r="AS109" s="45">
        <f t="shared" si="45"/>
        <v>1898.331619243515</v>
      </c>
      <c r="AU109" s="1">
        <v>598042.80000000005</v>
      </c>
      <c r="AV109" s="50">
        <v>33224.6</v>
      </c>
    </row>
    <row r="110" spans="1:48" s="1" customFormat="1" ht="37.200000000000003" thickTop="1" thickBot="1" x14ac:dyDescent="0.55000000000000004">
      <c r="A110" s="33">
        <v>103</v>
      </c>
      <c r="B110" s="34" t="s">
        <v>157</v>
      </c>
      <c r="C110" s="34" t="s">
        <v>965</v>
      </c>
      <c r="D110" s="35" t="s">
        <v>612</v>
      </c>
      <c r="E110" s="35" t="s">
        <v>966</v>
      </c>
      <c r="F110" s="36" t="s">
        <v>1067</v>
      </c>
      <c r="G110" s="36" t="s">
        <v>1420</v>
      </c>
      <c r="H110" s="36" t="s">
        <v>1421</v>
      </c>
      <c r="I110" s="36" t="s">
        <v>1421</v>
      </c>
      <c r="J110" s="36" t="s">
        <v>1421</v>
      </c>
      <c r="K110" s="36">
        <v>350</v>
      </c>
      <c r="L110" s="36" t="s">
        <v>1422</v>
      </c>
      <c r="M110" s="49">
        <v>4</v>
      </c>
      <c r="N110" s="37" t="s">
        <v>1525</v>
      </c>
      <c r="O110" s="37"/>
      <c r="P110" s="36">
        <v>1</v>
      </c>
      <c r="Q110" s="36" t="s">
        <v>1941</v>
      </c>
      <c r="R110" s="36" t="s">
        <v>2003</v>
      </c>
      <c r="S110" s="36" t="s">
        <v>1880</v>
      </c>
      <c r="T110" s="36" t="s">
        <v>2004</v>
      </c>
      <c r="U110" s="38">
        <v>45544</v>
      </c>
      <c r="V110" s="39">
        <v>665974</v>
      </c>
      <c r="W110" s="39" t="s">
        <v>2363</v>
      </c>
      <c r="X110" s="39" t="s">
        <v>2363</v>
      </c>
      <c r="Y110" s="40">
        <f t="shared" si="28"/>
        <v>33298.699999999997</v>
      </c>
      <c r="Z110" s="40">
        <f t="shared" si="29"/>
        <v>699272.7</v>
      </c>
      <c r="AA110" s="41" t="str">
        <f t="shared" si="30"/>
        <v>0.0018</v>
      </c>
      <c r="AB110" s="41">
        <f t="shared" si="31"/>
        <v>0</v>
      </c>
      <c r="AC110" s="41">
        <f t="shared" si="32"/>
        <v>0</v>
      </c>
      <c r="AD110" s="41">
        <f t="shared" si="33"/>
        <v>0</v>
      </c>
      <c r="AE110" s="41">
        <f t="shared" si="34"/>
        <v>0</v>
      </c>
      <c r="AF110" s="41">
        <f t="shared" si="35"/>
        <v>0</v>
      </c>
      <c r="AG110" s="41">
        <f t="shared" si="36"/>
        <v>0</v>
      </c>
      <c r="AH110" s="41">
        <f t="shared" si="37"/>
        <v>0</v>
      </c>
      <c r="AI110" s="41">
        <f t="shared" si="38"/>
        <v>113</v>
      </c>
      <c r="AJ110" s="41">
        <f t="shared" si="39"/>
        <v>365</v>
      </c>
      <c r="AK110" s="41">
        <f t="shared" si="40"/>
        <v>181</v>
      </c>
      <c r="AL110" s="42">
        <f t="shared" si="41"/>
        <v>3.284255342465753</v>
      </c>
      <c r="AM110" s="42">
        <f t="shared" si="42"/>
        <v>594.45021698630126</v>
      </c>
      <c r="AN110" s="43">
        <f t="shared" si="27"/>
        <v>599376.6</v>
      </c>
      <c r="AO110" s="43"/>
      <c r="AP110" s="42">
        <f t="shared" si="43"/>
        <v>99896.099999999977</v>
      </c>
      <c r="AQ110" s="43">
        <v>5</v>
      </c>
      <c r="AR110" s="44">
        <f t="shared" si="44"/>
        <v>0.85714285714285721</v>
      </c>
      <c r="AS110" s="45">
        <f t="shared" si="45"/>
        <v>1902.7828571428572</v>
      </c>
      <c r="AU110" s="1">
        <v>399584.39999999997</v>
      </c>
      <c r="AV110" s="50">
        <v>199792.2</v>
      </c>
    </row>
    <row r="111" spans="1:48" s="1" customFormat="1" ht="37.200000000000003" thickTop="1" thickBot="1" x14ac:dyDescent="0.55000000000000004">
      <c r="A111" s="33">
        <v>104</v>
      </c>
      <c r="B111" s="34" t="s">
        <v>158</v>
      </c>
      <c r="C111" s="34" t="s">
        <v>965</v>
      </c>
      <c r="D111" s="35" t="s">
        <v>613</v>
      </c>
      <c r="E111" s="35" t="s">
        <v>966</v>
      </c>
      <c r="F111" s="36" t="s">
        <v>1068</v>
      </c>
      <c r="G111" s="36" t="s">
        <v>1420</v>
      </c>
      <c r="H111" s="36" t="s">
        <v>1421</v>
      </c>
      <c r="I111" s="36" t="s">
        <v>1421</v>
      </c>
      <c r="J111" s="36" t="s">
        <v>1421</v>
      </c>
      <c r="K111" s="36">
        <v>350</v>
      </c>
      <c r="L111" s="36" t="s">
        <v>1422</v>
      </c>
      <c r="M111" s="49">
        <v>4</v>
      </c>
      <c r="N111" s="37" t="s">
        <v>1526</v>
      </c>
      <c r="O111" s="37"/>
      <c r="P111" s="36">
        <v>1</v>
      </c>
      <c r="Q111" s="36" t="s">
        <v>1941</v>
      </c>
      <c r="R111" s="36" t="s">
        <v>2005</v>
      </c>
      <c r="S111" s="36" t="s">
        <v>1880</v>
      </c>
      <c r="T111" s="36" t="s">
        <v>1883</v>
      </c>
      <c r="U111" s="38">
        <v>45552</v>
      </c>
      <c r="V111" s="39">
        <v>665974</v>
      </c>
      <c r="W111" s="39" t="s">
        <v>2363</v>
      </c>
      <c r="X111" s="39" t="s">
        <v>2363</v>
      </c>
      <c r="Y111" s="40">
        <f t="shared" si="28"/>
        <v>33298.699999999997</v>
      </c>
      <c r="Z111" s="40">
        <f t="shared" si="29"/>
        <v>699272.7</v>
      </c>
      <c r="AA111" s="41" t="str">
        <f t="shared" si="30"/>
        <v>0.0018</v>
      </c>
      <c r="AB111" s="41">
        <f t="shared" si="31"/>
        <v>0</v>
      </c>
      <c r="AC111" s="41">
        <f t="shared" si="32"/>
        <v>0</v>
      </c>
      <c r="AD111" s="41">
        <f t="shared" si="33"/>
        <v>0</v>
      </c>
      <c r="AE111" s="41">
        <f t="shared" si="34"/>
        <v>0</v>
      </c>
      <c r="AF111" s="41">
        <f t="shared" si="35"/>
        <v>0</v>
      </c>
      <c r="AG111" s="41">
        <f t="shared" si="36"/>
        <v>0</v>
      </c>
      <c r="AH111" s="41">
        <f t="shared" si="37"/>
        <v>0</v>
      </c>
      <c r="AI111" s="41">
        <f t="shared" si="38"/>
        <v>105</v>
      </c>
      <c r="AJ111" s="41">
        <f t="shared" si="39"/>
        <v>365</v>
      </c>
      <c r="AK111" s="41">
        <f t="shared" si="40"/>
        <v>181</v>
      </c>
      <c r="AL111" s="42">
        <f t="shared" si="41"/>
        <v>3.284255342465753</v>
      </c>
      <c r="AM111" s="42">
        <f t="shared" si="42"/>
        <v>594.45021698630126</v>
      </c>
      <c r="AN111" s="43">
        <f t="shared" si="27"/>
        <v>599376.6</v>
      </c>
      <c r="AO111" s="43"/>
      <c r="AP111" s="42">
        <f t="shared" si="43"/>
        <v>99896.099999999977</v>
      </c>
      <c r="AQ111" s="43">
        <v>5</v>
      </c>
      <c r="AR111" s="44">
        <f t="shared" si="44"/>
        <v>0.85714285714285721</v>
      </c>
      <c r="AS111" s="45">
        <f t="shared" si="45"/>
        <v>1902.7828571428572</v>
      </c>
      <c r="AU111" s="1">
        <v>499480.49999999994</v>
      </c>
      <c r="AV111" s="50">
        <v>99896.1</v>
      </c>
    </row>
    <row r="112" spans="1:48" s="1" customFormat="1" ht="37.200000000000003" thickTop="1" thickBot="1" x14ac:dyDescent="0.55000000000000004">
      <c r="A112" s="33">
        <v>105</v>
      </c>
      <c r="B112" s="34" t="s">
        <v>159</v>
      </c>
      <c r="C112" s="34" t="s">
        <v>965</v>
      </c>
      <c r="D112" s="35" t="s">
        <v>614</v>
      </c>
      <c r="E112" s="35" t="s">
        <v>966</v>
      </c>
      <c r="F112" s="36" t="s">
        <v>1069</v>
      </c>
      <c r="G112" s="36" t="s">
        <v>1420</v>
      </c>
      <c r="H112" s="36" t="s">
        <v>1421</v>
      </c>
      <c r="I112" s="36" t="s">
        <v>1421</v>
      </c>
      <c r="J112" s="36" t="s">
        <v>1421</v>
      </c>
      <c r="K112" s="36">
        <v>362.5</v>
      </c>
      <c r="L112" s="36" t="s">
        <v>1422</v>
      </c>
      <c r="M112" s="49">
        <v>4</v>
      </c>
      <c r="N112" s="37" t="s">
        <v>1527</v>
      </c>
      <c r="O112" s="37"/>
      <c r="P112" s="36">
        <v>1</v>
      </c>
      <c r="Q112" s="36" t="s">
        <v>1964</v>
      </c>
      <c r="R112" s="36" t="s">
        <v>2006</v>
      </c>
      <c r="S112" s="36" t="s">
        <v>1880</v>
      </c>
      <c r="T112" s="36" t="s">
        <v>1901</v>
      </c>
      <c r="U112" s="38">
        <v>45559</v>
      </c>
      <c r="V112" s="39">
        <v>549204</v>
      </c>
      <c r="W112" s="39" t="s">
        <v>2363</v>
      </c>
      <c r="X112" s="39" t="s">
        <v>2363</v>
      </c>
      <c r="Y112" s="40">
        <f t="shared" si="28"/>
        <v>27460.2</v>
      </c>
      <c r="Z112" s="40">
        <f t="shared" si="29"/>
        <v>576664.19999999995</v>
      </c>
      <c r="AA112" s="41" t="str">
        <f t="shared" si="30"/>
        <v>0.0018</v>
      </c>
      <c r="AB112" s="41">
        <f t="shared" si="31"/>
        <v>0</v>
      </c>
      <c r="AC112" s="41">
        <f t="shared" si="32"/>
        <v>0</v>
      </c>
      <c r="AD112" s="41">
        <f t="shared" si="33"/>
        <v>0</v>
      </c>
      <c r="AE112" s="41">
        <f t="shared" si="34"/>
        <v>0</v>
      </c>
      <c r="AF112" s="41">
        <f t="shared" si="35"/>
        <v>0</v>
      </c>
      <c r="AG112" s="41">
        <f t="shared" si="36"/>
        <v>0</v>
      </c>
      <c r="AH112" s="41">
        <f t="shared" si="37"/>
        <v>0</v>
      </c>
      <c r="AI112" s="41">
        <f t="shared" si="38"/>
        <v>98</v>
      </c>
      <c r="AJ112" s="41">
        <f t="shared" si="39"/>
        <v>365</v>
      </c>
      <c r="AK112" s="41">
        <f t="shared" si="40"/>
        <v>181</v>
      </c>
      <c r="AL112" s="42">
        <f t="shared" si="41"/>
        <v>2.7084032876712327</v>
      </c>
      <c r="AM112" s="42">
        <f t="shared" si="42"/>
        <v>490.2209950684931</v>
      </c>
      <c r="AN112" s="43">
        <f t="shared" si="27"/>
        <v>521743.8</v>
      </c>
      <c r="AO112" s="43"/>
      <c r="AP112" s="42">
        <f t="shared" si="43"/>
        <v>54920.399999999965</v>
      </c>
      <c r="AQ112" s="43">
        <v>6</v>
      </c>
      <c r="AR112" s="44">
        <f t="shared" si="44"/>
        <v>0.90476190476190477</v>
      </c>
      <c r="AS112" s="45">
        <f t="shared" si="45"/>
        <v>1515.0455172413792</v>
      </c>
      <c r="AU112" s="1">
        <v>494283.6</v>
      </c>
      <c r="AV112" s="50">
        <v>27460.2</v>
      </c>
    </row>
    <row r="113" spans="1:48" s="1" customFormat="1" ht="37.200000000000003" thickTop="1" thickBot="1" x14ac:dyDescent="0.55000000000000004">
      <c r="A113" s="33">
        <v>106</v>
      </c>
      <c r="B113" s="34" t="s">
        <v>160</v>
      </c>
      <c r="C113" s="34" t="s">
        <v>965</v>
      </c>
      <c r="D113" s="35" t="s">
        <v>615</v>
      </c>
      <c r="E113" s="35" t="s">
        <v>966</v>
      </c>
      <c r="F113" s="36" t="s">
        <v>1070</v>
      </c>
      <c r="G113" s="36" t="s">
        <v>1420</v>
      </c>
      <c r="H113" s="36" t="s">
        <v>1421</v>
      </c>
      <c r="I113" s="36" t="s">
        <v>1421</v>
      </c>
      <c r="J113" s="36" t="s">
        <v>1421</v>
      </c>
      <c r="K113" s="36">
        <v>350.04</v>
      </c>
      <c r="L113" s="36" t="s">
        <v>1422</v>
      </c>
      <c r="M113" s="49">
        <v>4</v>
      </c>
      <c r="N113" s="37" t="s">
        <v>1528</v>
      </c>
      <c r="O113" s="37"/>
      <c r="P113" s="36">
        <v>1</v>
      </c>
      <c r="Q113" s="36" t="s">
        <v>1972</v>
      </c>
      <c r="R113" s="36" t="s">
        <v>2007</v>
      </c>
      <c r="S113" s="36" t="s">
        <v>1880</v>
      </c>
      <c r="T113" s="36" t="s">
        <v>1991</v>
      </c>
      <c r="U113" s="38">
        <v>45559</v>
      </c>
      <c r="V113" s="39">
        <v>642787</v>
      </c>
      <c r="W113" s="39" t="s">
        <v>2363</v>
      </c>
      <c r="X113" s="39" t="s">
        <v>2363</v>
      </c>
      <c r="Y113" s="40">
        <f t="shared" si="28"/>
        <v>32139.35</v>
      </c>
      <c r="Z113" s="40">
        <f t="shared" si="29"/>
        <v>674926.35</v>
      </c>
      <c r="AA113" s="41" t="str">
        <f t="shared" si="30"/>
        <v>0.0018</v>
      </c>
      <c r="AB113" s="41">
        <f t="shared" si="31"/>
        <v>0</v>
      </c>
      <c r="AC113" s="41">
        <f t="shared" si="32"/>
        <v>0</v>
      </c>
      <c r="AD113" s="41">
        <f t="shared" si="33"/>
        <v>0</v>
      </c>
      <c r="AE113" s="41">
        <f t="shared" si="34"/>
        <v>0</v>
      </c>
      <c r="AF113" s="41">
        <f t="shared" si="35"/>
        <v>0</v>
      </c>
      <c r="AG113" s="41">
        <f t="shared" si="36"/>
        <v>0</v>
      </c>
      <c r="AH113" s="41">
        <f t="shared" si="37"/>
        <v>0</v>
      </c>
      <c r="AI113" s="41">
        <f t="shared" si="38"/>
        <v>98</v>
      </c>
      <c r="AJ113" s="41">
        <f t="shared" si="39"/>
        <v>365</v>
      </c>
      <c r="AK113" s="41">
        <f t="shared" si="40"/>
        <v>181</v>
      </c>
      <c r="AL113" s="42">
        <f t="shared" si="41"/>
        <v>3.1699084931506847</v>
      </c>
      <c r="AM113" s="42">
        <f t="shared" si="42"/>
        <v>573.75343726027393</v>
      </c>
      <c r="AN113" s="43">
        <f t="shared" si="27"/>
        <v>610647.65</v>
      </c>
      <c r="AO113" s="43"/>
      <c r="AP113" s="42">
        <f t="shared" si="43"/>
        <v>64278.699999999953</v>
      </c>
      <c r="AQ113" s="43">
        <v>6</v>
      </c>
      <c r="AR113" s="44">
        <f t="shared" si="44"/>
        <v>0.90476190476190488</v>
      </c>
      <c r="AS113" s="45">
        <f t="shared" si="45"/>
        <v>1836.324420066278</v>
      </c>
      <c r="AU113" s="1">
        <v>578508.30000000005</v>
      </c>
      <c r="AV113" s="50">
        <v>32139.35</v>
      </c>
    </row>
    <row r="114" spans="1:48" s="1" customFormat="1" ht="37.200000000000003" thickTop="1" thickBot="1" x14ac:dyDescent="0.55000000000000004">
      <c r="A114" s="33">
        <v>107</v>
      </c>
      <c r="B114" s="34" t="s">
        <v>161</v>
      </c>
      <c r="C114" s="34" t="s">
        <v>965</v>
      </c>
      <c r="D114" s="35" t="s">
        <v>616</v>
      </c>
      <c r="E114" s="35" t="s">
        <v>966</v>
      </c>
      <c r="F114" s="36" t="s">
        <v>1071</v>
      </c>
      <c r="G114" s="36" t="s">
        <v>1420</v>
      </c>
      <c r="H114" s="36" t="s">
        <v>1421</v>
      </c>
      <c r="I114" s="36" t="s">
        <v>1421</v>
      </c>
      <c r="J114" s="36" t="s">
        <v>1421</v>
      </c>
      <c r="K114" s="36">
        <v>350</v>
      </c>
      <c r="L114" s="36" t="s">
        <v>1422</v>
      </c>
      <c r="M114" s="49">
        <v>4</v>
      </c>
      <c r="N114" s="37" t="s">
        <v>1529</v>
      </c>
      <c r="O114" s="37"/>
      <c r="P114" s="36">
        <v>1</v>
      </c>
      <c r="Q114" s="36" t="s">
        <v>1995</v>
      </c>
      <c r="R114" s="36" t="s">
        <v>2008</v>
      </c>
      <c r="S114" s="36" t="s">
        <v>1880</v>
      </c>
      <c r="T114" s="36" t="s">
        <v>1883</v>
      </c>
      <c r="U114" s="38">
        <v>45560</v>
      </c>
      <c r="V114" s="39">
        <v>673474</v>
      </c>
      <c r="W114" s="39" t="s">
        <v>2363</v>
      </c>
      <c r="X114" s="39" t="s">
        <v>2363</v>
      </c>
      <c r="Y114" s="40">
        <f t="shared" si="28"/>
        <v>33673.699999999997</v>
      </c>
      <c r="Z114" s="40">
        <f t="shared" si="29"/>
        <v>707147.7</v>
      </c>
      <c r="AA114" s="41" t="str">
        <f t="shared" si="30"/>
        <v>0.0018</v>
      </c>
      <c r="AB114" s="41">
        <f t="shared" si="31"/>
        <v>0</v>
      </c>
      <c r="AC114" s="41">
        <f t="shared" si="32"/>
        <v>0</v>
      </c>
      <c r="AD114" s="41">
        <f t="shared" si="33"/>
        <v>0</v>
      </c>
      <c r="AE114" s="41">
        <f t="shared" si="34"/>
        <v>0</v>
      </c>
      <c r="AF114" s="41">
        <f t="shared" si="35"/>
        <v>0</v>
      </c>
      <c r="AG114" s="41">
        <f t="shared" si="36"/>
        <v>0</v>
      </c>
      <c r="AH114" s="41">
        <f t="shared" si="37"/>
        <v>0</v>
      </c>
      <c r="AI114" s="41">
        <f t="shared" si="38"/>
        <v>97</v>
      </c>
      <c r="AJ114" s="41">
        <f t="shared" si="39"/>
        <v>365</v>
      </c>
      <c r="AK114" s="41">
        <f t="shared" si="40"/>
        <v>181</v>
      </c>
      <c r="AL114" s="42">
        <f t="shared" si="41"/>
        <v>3.321241643835616</v>
      </c>
      <c r="AM114" s="42">
        <f t="shared" si="42"/>
        <v>601.14473753424647</v>
      </c>
      <c r="AN114" s="43">
        <f t="shared" si="27"/>
        <v>606126.6</v>
      </c>
      <c r="AO114" s="43"/>
      <c r="AP114" s="42">
        <f t="shared" si="43"/>
        <v>101021.09999999998</v>
      </c>
      <c r="AQ114" s="43">
        <v>5</v>
      </c>
      <c r="AR114" s="44">
        <f t="shared" si="44"/>
        <v>0.85714285714285721</v>
      </c>
      <c r="AS114" s="45">
        <f t="shared" si="45"/>
        <v>1924.2114285714285</v>
      </c>
      <c r="AU114" s="1">
        <v>606126.6</v>
      </c>
      <c r="AV114" s="50">
        <v>0</v>
      </c>
    </row>
    <row r="115" spans="1:48" s="1" customFormat="1" ht="37.200000000000003" thickTop="1" thickBot="1" x14ac:dyDescent="0.55000000000000004">
      <c r="A115" s="33">
        <v>108</v>
      </c>
      <c r="B115" s="34" t="s">
        <v>162</v>
      </c>
      <c r="C115" s="34" t="s">
        <v>965</v>
      </c>
      <c r="D115" s="35" t="s">
        <v>617</v>
      </c>
      <c r="E115" s="35" t="s">
        <v>966</v>
      </c>
      <c r="F115" s="36" t="s">
        <v>1072</v>
      </c>
      <c r="G115" s="36" t="s">
        <v>1420</v>
      </c>
      <c r="H115" s="36" t="s">
        <v>1421</v>
      </c>
      <c r="I115" s="36" t="s">
        <v>1421</v>
      </c>
      <c r="J115" s="36" t="s">
        <v>1421</v>
      </c>
      <c r="K115" s="36">
        <v>375</v>
      </c>
      <c r="L115" s="36" t="s">
        <v>1422</v>
      </c>
      <c r="M115" s="49">
        <v>4</v>
      </c>
      <c r="N115" s="37" t="s">
        <v>1530</v>
      </c>
      <c r="O115" s="37"/>
      <c r="P115" s="36">
        <v>2</v>
      </c>
      <c r="Q115" s="36" t="s">
        <v>1929</v>
      </c>
      <c r="R115" s="36" t="s">
        <v>2009</v>
      </c>
      <c r="S115" s="36" t="s">
        <v>1880</v>
      </c>
      <c r="T115" s="36" t="s">
        <v>1881</v>
      </c>
      <c r="U115" s="38">
        <v>45561</v>
      </c>
      <c r="V115" s="39">
        <v>664270</v>
      </c>
      <c r="W115" s="39" t="s">
        <v>2363</v>
      </c>
      <c r="X115" s="39" t="s">
        <v>2363</v>
      </c>
      <c r="Y115" s="40">
        <f t="shared" si="28"/>
        <v>33213.5</v>
      </c>
      <c r="Z115" s="40">
        <f t="shared" si="29"/>
        <v>697483.5</v>
      </c>
      <c r="AA115" s="41" t="str">
        <f t="shared" si="30"/>
        <v>0.0018</v>
      </c>
      <c r="AB115" s="41">
        <f t="shared" si="31"/>
        <v>0</v>
      </c>
      <c r="AC115" s="41">
        <f t="shared" si="32"/>
        <v>0</v>
      </c>
      <c r="AD115" s="41">
        <f t="shared" si="33"/>
        <v>0</v>
      </c>
      <c r="AE115" s="41">
        <f t="shared" si="34"/>
        <v>0</v>
      </c>
      <c r="AF115" s="41">
        <f t="shared" si="35"/>
        <v>0</v>
      </c>
      <c r="AG115" s="41">
        <f t="shared" si="36"/>
        <v>0</v>
      </c>
      <c r="AH115" s="41">
        <f t="shared" si="37"/>
        <v>0</v>
      </c>
      <c r="AI115" s="41">
        <f t="shared" si="38"/>
        <v>96</v>
      </c>
      <c r="AJ115" s="41">
        <f t="shared" si="39"/>
        <v>365</v>
      </c>
      <c r="AK115" s="41">
        <f t="shared" si="40"/>
        <v>181</v>
      </c>
      <c r="AL115" s="42">
        <f t="shared" si="41"/>
        <v>3.2758520547945205</v>
      </c>
      <c r="AM115" s="42">
        <f t="shared" si="42"/>
        <v>592.92922191780815</v>
      </c>
      <c r="AN115" s="43">
        <f t="shared" si="27"/>
        <v>631056.5</v>
      </c>
      <c r="AO115" s="43"/>
      <c r="AP115" s="42">
        <f t="shared" si="43"/>
        <v>66427</v>
      </c>
      <c r="AQ115" s="43">
        <v>6</v>
      </c>
      <c r="AR115" s="44">
        <f t="shared" si="44"/>
        <v>0.90476190476190477</v>
      </c>
      <c r="AS115" s="45">
        <f t="shared" si="45"/>
        <v>1771.3866666666668</v>
      </c>
      <c r="AU115" s="1">
        <v>597843</v>
      </c>
      <c r="AV115" s="50">
        <v>33213.5</v>
      </c>
    </row>
    <row r="116" spans="1:48" s="1" customFormat="1" ht="37.200000000000003" thickTop="1" thickBot="1" x14ac:dyDescent="0.55000000000000004">
      <c r="A116" s="33">
        <v>109</v>
      </c>
      <c r="B116" s="34" t="s">
        <v>163</v>
      </c>
      <c r="C116" s="34" t="s">
        <v>965</v>
      </c>
      <c r="D116" s="35" t="s">
        <v>618</v>
      </c>
      <c r="E116" s="35" t="s">
        <v>966</v>
      </c>
      <c r="F116" s="36" t="s">
        <v>1073</v>
      </c>
      <c r="G116" s="36" t="s">
        <v>1420</v>
      </c>
      <c r="H116" s="36" t="s">
        <v>1421</v>
      </c>
      <c r="I116" s="36" t="s">
        <v>1421</v>
      </c>
      <c r="J116" s="36" t="s">
        <v>1421</v>
      </c>
      <c r="K116" s="36">
        <v>350</v>
      </c>
      <c r="L116" s="36" t="s">
        <v>1422</v>
      </c>
      <c r="M116" s="49">
        <v>4</v>
      </c>
      <c r="N116" s="37" t="s">
        <v>1531</v>
      </c>
      <c r="O116" s="37"/>
      <c r="P116" s="36">
        <v>1</v>
      </c>
      <c r="Q116" s="36" t="s">
        <v>1941</v>
      </c>
      <c r="R116" s="36" t="s">
        <v>2010</v>
      </c>
      <c r="S116" s="36" t="s">
        <v>1880</v>
      </c>
      <c r="T116" s="36" t="s">
        <v>1883</v>
      </c>
      <c r="U116" s="38">
        <v>45561</v>
      </c>
      <c r="V116" s="39">
        <v>665974</v>
      </c>
      <c r="W116" s="39" t="s">
        <v>2363</v>
      </c>
      <c r="X116" s="39" t="s">
        <v>2363</v>
      </c>
      <c r="Y116" s="40">
        <f t="shared" si="28"/>
        <v>33298.699999999997</v>
      </c>
      <c r="Z116" s="40">
        <f t="shared" si="29"/>
        <v>699272.7</v>
      </c>
      <c r="AA116" s="41" t="str">
        <f t="shared" si="30"/>
        <v>0.0018</v>
      </c>
      <c r="AB116" s="41">
        <f t="shared" si="31"/>
        <v>0</v>
      </c>
      <c r="AC116" s="41">
        <f t="shared" si="32"/>
        <v>0</v>
      </c>
      <c r="AD116" s="41">
        <f t="shared" si="33"/>
        <v>0</v>
      </c>
      <c r="AE116" s="41">
        <f t="shared" si="34"/>
        <v>0</v>
      </c>
      <c r="AF116" s="41">
        <f t="shared" si="35"/>
        <v>0</v>
      </c>
      <c r="AG116" s="41">
        <f t="shared" si="36"/>
        <v>0</v>
      </c>
      <c r="AH116" s="41">
        <f t="shared" si="37"/>
        <v>0</v>
      </c>
      <c r="AI116" s="41">
        <f t="shared" si="38"/>
        <v>96</v>
      </c>
      <c r="AJ116" s="41">
        <f t="shared" si="39"/>
        <v>365</v>
      </c>
      <c r="AK116" s="41">
        <f t="shared" si="40"/>
        <v>181</v>
      </c>
      <c r="AL116" s="42">
        <f t="shared" si="41"/>
        <v>3.284255342465753</v>
      </c>
      <c r="AM116" s="42">
        <f t="shared" si="42"/>
        <v>594.45021698630126</v>
      </c>
      <c r="AN116" s="43">
        <f t="shared" si="27"/>
        <v>599376.6</v>
      </c>
      <c r="AO116" s="43"/>
      <c r="AP116" s="42">
        <f t="shared" si="43"/>
        <v>99896.099999999977</v>
      </c>
      <c r="AQ116" s="43">
        <v>5</v>
      </c>
      <c r="AR116" s="44">
        <f t="shared" si="44"/>
        <v>0.85714285714285721</v>
      </c>
      <c r="AS116" s="45">
        <f t="shared" si="45"/>
        <v>1902.7828571428572</v>
      </c>
      <c r="AU116" s="1">
        <v>499480.49999999994</v>
      </c>
      <c r="AV116" s="50">
        <v>99896.1</v>
      </c>
    </row>
    <row r="117" spans="1:48" s="1" customFormat="1" ht="37.200000000000003" thickTop="1" thickBot="1" x14ac:dyDescent="0.55000000000000004">
      <c r="A117" s="33">
        <v>110</v>
      </c>
      <c r="B117" s="34" t="s">
        <v>164</v>
      </c>
      <c r="C117" s="34" t="s">
        <v>965</v>
      </c>
      <c r="D117" s="35" t="s">
        <v>619</v>
      </c>
      <c r="E117" s="35" t="s">
        <v>966</v>
      </c>
      <c r="F117" s="36" t="s">
        <v>1074</v>
      </c>
      <c r="G117" s="36" t="s">
        <v>1420</v>
      </c>
      <c r="H117" s="36" t="s">
        <v>1421</v>
      </c>
      <c r="I117" s="36" t="s">
        <v>1421</v>
      </c>
      <c r="J117" s="36" t="s">
        <v>1421</v>
      </c>
      <c r="K117" s="36">
        <v>375</v>
      </c>
      <c r="L117" s="36" t="s">
        <v>1422</v>
      </c>
      <c r="M117" s="49">
        <v>4</v>
      </c>
      <c r="N117" s="37" t="s">
        <v>1532</v>
      </c>
      <c r="O117" s="37"/>
      <c r="P117" s="36">
        <v>1</v>
      </c>
      <c r="Q117" s="36" t="s">
        <v>1931</v>
      </c>
      <c r="R117" s="36" t="s">
        <v>2011</v>
      </c>
      <c r="S117" s="36" t="s">
        <v>1880</v>
      </c>
      <c r="T117" s="36" t="s">
        <v>1881</v>
      </c>
      <c r="U117" s="38">
        <v>45561</v>
      </c>
      <c r="V117" s="39">
        <v>664270</v>
      </c>
      <c r="W117" s="39" t="s">
        <v>2363</v>
      </c>
      <c r="X117" s="39" t="s">
        <v>2363</v>
      </c>
      <c r="Y117" s="40">
        <f t="shared" si="28"/>
        <v>33213.5</v>
      </c>
      <c r="Z117" s="40">
        <f t="shared" si="29"/>
        <v>697483.5</v>
      </c>
      <c r="AA117" s="41" t="str">
        <f t="shared" si="30"/>
        <v>0.0018</v>
      </c>
      <c r="AB117" s="41">
        <f t="shared" si="31"/>
        <v>0</v>
      </c>
      <c r="AC117" s="41">
        <f t="shared" si="32"/>
        <v>0</v>
      </c>
      <c r="AD117" s="41">
        <f t="shared" si="33"/>
        <v>0</v>
      </c>
      <c r="AE117" s="41">
        <f t="shared" si="34"/>
        <v>0</v>
      </c>
      <c r="AF117" s="41">
        <f t="shared" si="35"/>
        <v>0</v>
      </c>
      <c r="AG117" s="41">
        <f t="shared" si="36"/>
        <v>0</v>
      </c>
      <c r="AH117" s="41">
        <f t="shared" si="37"/>
        <v>0</v>
      </c>
      <c r="AI117" s="41">
        <f t="shared" si="38"/>
        <v>96</v>
      </c>
      <c r="AJ117" s="41">
        <f t="shared" si="39"/>
        <v>365</v>
      </c>
      <c r="AK117" s="41">
        <f t="shared" si="40"/>
        <v>181</v>
      </c>
      <c r="AL117" s="42">
        <f t="shared" si="41"/>
        <v>3.2758520547945205</v>
      </c>
      <c r="AM117" s="42">
        <f t="shared" si="42"/>
        <v>592.92922191780815</v>
      </c>
      <c r="AN117" s="43">
        <f t="shared" si="27"/>
        <v>597843</v>
      </c>
      <c r="AO117" s="43"/>
      <c r="AP117" s="42">
        <f t="shared" si="43"/>
        <v>99640.5</v>
      </c>
      <c r="AQ117" s="43">
        <v>5</v>
      </c>
      <c r="AR117" s="44">
        <f t="shared" si="44"/>
        <v>0.8571428571428571</v>
      </c>
      <c r="AS117" s="45">
        <f t="shared" si="45"/>
        <v>1771.3866666666668</v>
      </c>
      <c r="AU117" s="1">
        <v>398562</v>
      </c>
      <c r="AV117" s="50">
        <v>199281</v>
      </c>
    </row>
    <row r="118" spans="1:48" s="1" customFormat="1" ht="37.200000000000003" thickTop="1" thickBot="1" x14ac:dyDescent="0.55000000000000004">
      <c r="A118" s="33">
        <v>111</v>
      </c>
      <c r="B118" s="34" t="s">
        <v>165</v>
      </c>
      <c r="C118" s="34" t="s">
        <v>965</v>
      </c>
      <c r="D118" s="35" t="s">
        <v>620</v>
      </c>
      <c r="E118" s="35" t="s">
        <v>966</v>
      </c>
      <c r="F118" s="36" t="s">
        <v>1075</v>
      </c>
      <c r="G118" s="36" t="s">
        <v>1420</v>
      </c>
      <c r="H118" s="36" t="s">
        <v>1421</v>
      </c>
      <c r="I118" s="36" t="s">
        <v>1421</v>
      </c>
      <c r="J118" s="36" t="s">
        <v>1421</v>
      </c>
      <c r="K118" s="36">
        <v>353.09</v>
      </c>
      <c r="L118" s="36" t="s">
        <v>1422</v>
      </c>
      <c r="M118" s="49">
        <v>4</v>
      </c>
      <c r="N118" s="37" t="s">
        <v>1533</v>
      </c>
      <c r="O118" s="37"/>
      <c r="P118" s="36">
        <v>1</v>
      </c>
      <c r="Q118" s="36" t="s">
        <v>1956</v>
      </c>
      <c r="R118" s="36" t="s">
        <v>2012</v>
      </c>
      <c r="S118" s="36" t="s">
        <v>1880</v>
      </c>
      <c r="T118" s="36" t="s">
        <v>1881</v>
      </c>
      <c r="U118" s="38">
        <v>45561</v>
      </c>
      <c r="V118" s="39">
        <v>772959</v>
      </c>
      <c r="W118" s="39" t="s">
        <v>2363</v>
      </c>
      <c r="X118" s="39" t="s">
        <v>2363</v>
      </c>
      <c r="Y118" s="40">
        <f t="shared" si="28"/>
        <v>38647.949999999997</v>
      </c>
      <c r="Z118" s="40">
        <f t="shared" si="29"/>
        <v>811606.95</v>
      </c>
      <c r="AA118" s="41" t="str">
        <f t="shared" si="30"/>
        <v>0.0022</v>
      </c>
      <c r="AB118" s="41">
        <f t="shared" si="31"/>
        <v>0</v>
      </c>
      <c r="AC118" s="41">
        <f t="shared" si="32"/>
        <v>0</v>
      </c>
      <c r="AD118" s="41">
        <f t="shared" si="33"/>
        <v>0</v>
      </c>
      <c r="AE118" s="41">
        <f t="shared" si="34"/>
        <v>0</v>
      </c>
      <c r="AF118" s="41">
        <f t="shared" si="35"/>
        <v>0</v>
      </c>
      <c r="AG118" s="41">
        <f t="shared" si="36"/>
        <v>0</v>
      </c>
      <c r="AH118" s="41">
        <f t="shared" si="37"/>
        <v>0</v>
      </c>
      <c r="AI118" s="41">
        <f t="shared" si="38"/>
        <v>96</v>
      </c>
      <c r="AJ118" s="41">
        <f t="shared" si="39"/>
        <v>365</v>
      </c>
      <c r="AK118" s="41">
        <f t="shared" si="40"/>
        <v>181</v>
      </c>
      <c r="AL118" s="42">
        <f t="shared" si="41"/>
        <v>4.6589309589041097</v>
      </c>
      <c r="AM118" s="42">
        <f t="shared" si="42"/>
        <v>843.26650356164384</v>
      </c>
      <c r="AN118" s="43">
        <f t="shared" si="27"/>
        <v>734311.05</v>
      </c>
      <c r="AO118" s="43"/>
      <c r="AP118" s="42">
        <f t="shared" si="43"/>
        <v>77295.899999999907</v>
      </c>
      <c r="AQ118" s="43">
        <v>6</v>
      </c>
      <c r="AR118" s="44">
        <f t="shared" si="44"/>
        <v>0.90476190476190488</v>
      </c>
      <c r="AS118" s="45">
        <f t="shared" si="45"/>
        <v>2189.1274179387692</v>
      </c>
      <c r="AU118" s="1">
        <v>695663.10000000009</v>
      </c>
      <c r="AV118" s="50">
        <v>38647.949999999997</v>
      </c>
    </row>
    <row r="119" spans="1:48" s="1" customFormat="1" ht="37.200000000000003" thickTop="1" thickBot="1" x14ac:dyDescent="0.55000000000000004">
      <c r="A119" s="33">
        <v>112</v>
      </c>
      <c r="B119" s="34" t="s">
        <v>166</v>
      </c>
      <c r="C119" s="34" t="s">
        <v>965</v>
      </c>
      <c r="D119" s="35" t="s">
        <v>621</v>
      </c>
      <c r="E119" s="35" t="s">
        <v>966</v>
      </c>
      <c r="F119" s="36" t="s">
        <v>1076</v>
      </c>
      <c r="G119" s="36" t="s">
        <v>1420</v>
      </c>
      <c r="H119" s="36" t="s">
        <v>1421</v>
      </c>
      <c r="I119" s="36" t="s">
        <v>1421</v>
      </c>
      <c r="J119" s="36" t="s">
        <v>1421</v>
      </c>
      <c r="K119" s="36">
        <v>362.5</v>
      </c>
      <c r="L119" s="36" t="s">
        <v>1422</v>
      </c>
      <c r="M119" s="49">
        <v>4</v>
      </c>
      <c r="N119" s="37" t="s">
        <v>1534</v>
      </c>
      <c r="O119" s="37"/>
      <c r="P119" s="36">
        <v>1</v>
      </c>
      <c r="Q119" s="36" t="s">
        <v>1964</v>
      </c>
      <c r="R119" s="36" t="s">
        <v>2013</v>
      </c>
      <c r="S119" s="36" t="s">
        <v>1880</v>
      </c>
      <c r="T119" s="36" t="s">
        <v>1881</v>
      </c>
      <c r="U119" s="38">
        <v>45562</v>
      </c>
      <c r="V119" s="39">
        <v>535000</v>
      </c>
      <c r="W119" s="39" t="s">
        <v>2363</v>
      </c>
      <c r="X119" s="39" t="s">
        <v>2363</v>
      </c>
      <c r="Y119" s="40">
        <f t="shared" si="28"/>
        <v>26750</v>
      </c>
      <c r="Z119" s="40">
        <f t="shared" si="29"/>
        <v>561750</v>
      </c>
      <c r="AA119" s="41" t="str">
        <f t="shared" si="30"/>
        <v>0.0018</v>
      </c>
      <c r="AB119" s="41">
        <f t="shared" si="31"/>
        <v>0</v>
      </c>
      <c r="AC119" s="41">
        <f t="shared" si="32"/>
        <v>0</v>
      </c>
      <c r="AD119" s="41">
        <f t="shared" si="33"/>
        <v>0</v>
      </c>
      <c r="AE119" s="41">
        <f t="shared" si="34"/>
        <v>0</v>
      </c>
      <c r="AF119" s="41">
        <f t="shared" si="35"/>
        <v>0</v>
      </c>
      <c r="AG119" s="41">
        <f t="shared" si="36"/>
        <v>0</v>
      </c>
      <c r="AH119" s="41">
        <f t="shared" si="37"/>
        <v>0</v>
      </c>
      <c r="AI119" s="41">
        <f t="shared" si="38"/>
        <v>95</v>
      </c>
      <c r="AJ119" s="41">
        <f t="shared" si="39"/>
        <v>365</v>
      </c>
      <c r="AK119" s="41">
        <f t="shared" si="40"/>
        <v>181</v>
      </c>
      <c r="AL119" s="42">
        <f t="shared" si="41"/>
        <v>2.6383561643835618</v>
      </c>
      <c r="AM119" s="42">
        <f t="shared" si="42"/>
        <v>477.54246575342466</v>
      </c>
      <c r="AN119" s="43">
        <f t="shared" si="27"/>
        <v>508250</v>
      </c>
      <c r="AO119" s="43"/>
      <c r="AP119" s="42">
        <f t="shared" si="43"/>
        <v>53500</v>
      </c>
      <c r="AQ119" s="43">
        <v>6</v>
      </c>
      <c r="AR119" s="44">
        <f t="shared" si="44"/>
        <v>0.90476190476190477</v>
      </c>
      <c r="AS119" s="45">
        <f t="shared" si="45"/>
        <v>1475.8620689655172</v>
      </c>
      <c r="AU119" s="1">
        <v>481500</v>
      </c>
      <c r="AV119" s="50">
        <v>26750</v>
      </c>
    </row>
    <row r="120" spans="1:48" s="1" customFormat="1" ht="37.200000000000003" thickTop="1" thickBot="1" x14ac:dyDescent="0.55000000000000004">
      <c r="A120" s="33">
        <v>113</v>
      </c>
      <c r="B120" s="34" t="s">
        <v>167</v>
      </c>
      <c r="C120" s="34" t="s">
        <v>965</v>
      </c>
      <c r="D120" s="35" t="s">
        <v>622</v>
      </c>
      <c r="E120" s="35" t="s">
        <v>966</v>
      </c>
      <c r="F120" s="36" t="s">
        <v>1077</v>
      </c>
      <c r="G120" s="36" t="s">
        <v>1420</v>
      </c>
      <c r="H120" s="36" t="s">
        <v>1421</v>
      </c>
      <c r="I120" s="36" t="s">
        <v>1421</v>
      </c>
      <c r="J120" s="36" t="s">
        <v>1421</v>
      </c>
      <c r="K120" s="36">
        <v>356.25</v>
      </c>
      <c r="L120" s="36" t="s">
        <v>1422</v>
      </c>
      <c r="M120" s="49">
        <v>4</v>
      </c>
      <c r="N120" s="37" t="s">
        <v>1535</v>
      </c>
      <c r="O120" s="37"/>
      <c r="P120" s="36">
        <v>1</v>
      </c>
      <c r="Q120" s="36" t="s">
        <v>1956</v>
      </c>
      <c r="R120" s="36" t="s">
        <v>2014</v>
      </c>
      <c r="S120" s="36" t="s">
        <v>1880</v>
      </c>
      <c r="T120" s="36" t="s">
        <v>1881</v>
      </c>
      <c r="U120" s="38">
        <v>45562</v>
      </c>
      <c r="V120" s="39">
        <v>690315</v>
      </c>
      <c r="W120" s="39" t="s">
        <v>2363</v>
      </c>
      <c r="X120" s="39" t="s">
        <v>2363</v>
      </c>
      <c r="Y120" s="40">
        <f t="shared" si="28"/>
        <v>34515.75</v>
      </c>
      <c r="Z120" s="40">
        <f t="shared" si="29"/>
        <v>724830.75</v>
      </c>
      <c r="AA120" s="41" t="str">
        <f t="shared" si="30"/>
        <v>0.0018</v>
      </c>
      <c r="AB120" s="41">
        <f t="shared" si="31"/>
        <v>0</v>
      </c>
      <c r="AC120" s="41">
        <f t="shared" si="32"/>
        <v>0</v>
      </c>
      <c r="AD120" s="41">
        <f t="shared" si="33"/>
        <v>0</v>
      </c>
      <c r="AE120" s="41">
        <f t="shared" si="34"/>
        <v>0</v>
      </c>
      <c r="AF120" s="41">
        <f t="shared" si="35"/>
        <v>0</v>
      </c>
      <c r="AG120" s="41">
        <f t="shared" si="36"/>
        <v>0</v>
      </c>
      <c r="AH120" s="41">
        <f t="shared" si="37"/>
        <v>0</v>
      </c>
      <c r="AI120" s="41">
        <f t="shared" si="38"/>
        <v>95</v>
      </c>
      <c r="AJ120" s="41">
        <f t="shared" si="39"/>
        <v>365</v>
      </c>
      <c r="AK120" s="41">
        <f t="shared" si="40"/>
        <v>181</v>
      </c>
      <c r="AL120" s="42">
        <f t="shared" si="41"/>
        <v>3.4042931506849317</v>
      </c>
      <c r="AM120" s="42">
        <f t="shared" si="42"/>
        <v>616.17706027397264</v>
      </c>
      <c r="AN120" s="43">
        <f t="shared" si="27"/>
        <v>655799.25</v>
      </c>
      <c r="AO120" s="43"/>
      <c r="AP120" s="42">
        <f t="shared" si="43"/>
        <v>69031.5</v>
      </c>
      <c r="AQ120" s="43">
        <v>6</v>
      </c>
      <c r="AR120" s="44">
        <f t="shared" si="44"/>
        <v>0.90476190476190477</v>
      </c>
      <c r="AS120" s="45">
        <f t="shared" si="45"/>
        <v>1937.7263157894736</v>
      </c>
      <c r="AU120" s="1">
        <v>621283.5</v>
      </c>
      <c r="AV120" s="50">
        <v>34515.75</v>
      </c>
    </row>
    <row r="121" spans="1:48" s="1" customFormat="1" ht="37.200000000000003" thickTop="1" thickBot="1" x14ac:dyDescent="0.55000000000000004">
      <c r="A121" s="33">
        <v>114</v>
      </c>
      <c r="B121" s="34" t="s">
        <v>168</v>
      </c>
      <c r="C121" s="34" t="s">
        <v>965</v>
      </c>
      <c r="D121" s="35" t="s">
        <v>623</v>
      </c>
      <c r="E121" s="35" t="s">
        <v>966</v>
      </c>
      <c r="F121" s="36" t="s">
        <v>1078</v>
      </c>
      <c r="G121" s="36" t="s">
        <v>1420</v>
      </c>
      <c r="H121" s="36" t="s">
        <v>1421</v>
      </c>
      <c r="I121" s="36" t="s">
        <v>1421</v>
      </c>
      <c r="J121" s="36" t="s">
        <v>1421</v>
      </c>
      <c r="K121" s="36">
        <v>400</v>
      </c>
      <c r="L121" s="36" t="s">
        <v>1422</v>
      </c>
      <c r="M121" s="49">
        <v>4</v>
      </c>
      <c r="N121" s="37" t="s">
        <v>1536</v>
      </c>
      <c r="O121" s="37"/>
      <c r="P121" s="36">
        <v>1</v>
      </c>
      <c r="Q121" s="36" t="s">
        <v>1962</v>
      </c>
      <c r="R121" s="36" t="s">
        <v>2015</v>
      </c>
      <c r="S121" s="36" t="s">
        <v>1880</v>
      </c>
      <c r="T121" s="36" t="s">
        <v>1881</v>
      </c>
      <c r="U121" s="38">
        <v>45562</v>
      </c>
      <c r="V121" s="39">
        <v>667770</v>
      </c>
      <c r="W121" s="39" t="s">
        <v>2363</v>
      </c>
      <c r="X121" s="39" t="s">
        <v>2363</v>
      </c>
      <c r="Y121" s="40">
        <f t="shared" si="28"/>
        <v>33388.5</v>
      </c>
      <c r="Z121" s="40">
        <f t="shared" si="29"/>
        <v>701158.5</v>
      </c>
      <c r="AA121" s="41" t="str">
        <f t="shared" si="30"/>
        <v>0.0018</v>
      </c>
      <c r="AB121" s="41">
        <f t="shared" si="31"/>
        <v>0</v>
      </c>
      <c r="AC121" s="41">
        <f t="shared" si="32"/>
        <v>0</v>
      </c>
      <c r="AD121" s="41">
        <f t="shared" si="33"/>
        <v>0</v>
      </c>
      <c r="AE121" s="41">
        <f t="shared" si="34"/>
        <v>0</v>
      </c>
      <c r="AF121" s="41">
        <f t="shared" si="35"/>
        <v>0</v>
      </c>
      <c r="AG121" s="41">
        <f t="shared" si="36"/>
        <v>0</v>
      </c>
      <c r="AH121" s="41">
        <f t="shared" si="37"/>
        <v>0</v>
      </c>
      <c r="AI121" s="41">
        <f t="shared" si="38"/>
        <v>95</v>
      </c>
      <c r="AJ121" s="41">
        <f t="shared" si="39"/>
        <v>365</v>
      </c>
      <c r="AK121" s="41">
        <f t="shared" si="40"/>
        <v>181</v>
      </c>
      <c r="AL121" s="42">
        <f t="shared" si="41"/>
        <v>3.2931123287671231</v>
      </c>
      <c r="AM121" s="42">
        <f t="shared" si="42"/>
        <v>596.0533315068493</v>
      </c>
      <c r="AN121" s="43">
        <f t="shared" si="27"/>
        <v>634381.5</v>
      </c>
      <c r="AO121" s="43"/>
      <c r="AP121" s="42">
        <f t="shared" si="43"/>
        <v>66777</v>
      </c>
      <c r="AQ121" s="43">
        <v>6</v>
      </c>
      <c r="AR121" s="44">
        <f t="shared" si="44"/>
        <v>0.90476190476190477</v>
      </c>
      <c r="AS121" s="45">
        <f t="shared" si="45"/>
        <v>1669.425</v>
      </c>
      <c r="AU121" s="1">
        <v>600993</v>
      </c>
      <c r="AV121" s="50">
        <v>33388.5</v>
      </c>
    </row>
    <row r="122" spans="1:48" s="1" customFormat="1" ht="37.200000000000003" thickTop="1" thickBot="1" x14ac:dyDescent="0.55000000000000004">
      <c r="A122" s="33">
        <v>115</v>
      </c>
      <c r="B122" s="34" t="s">
        <v>169</v>
      </c>
      <c r="C122" s="34" t="s">
        <v>965</v>
      </c>
      <c r="D122" s="35" t="s">
        <v>624</v>
      </c>
      <c r="E122" s="35" t="s">
        <v>966</v>
      </c>
      <c r="F122" s="36" t="s">
        <v>1079</v>
      </c>
      <c r="G122" s="36" t="s">
        <v>1420</v>
      </c>
      <c r="H122" s="36" t="s">
        <v>1421</v>
      </c>
      <c r="I122" s="36" t="s">
        <v>1421</v>
      </c>
      <c r="J122" s="36" t="s">
        <v>1421</v>
      </c>
      <c r="K122" s="36">
        <v>352.44</v>
      </c>
      <c r="L122" s="36" t="s">
        <v>1422</v>
      </c>
      <c r="M122" s="49">
        <v>4</v>
      </c>
      <c r="N122" s="37" t="s">
        <v>1537</v>
      </c>
      <c r="O122" s="37"/>
      <c r="P122" s="36">
        <v>1</v>
      </c>
      <c r="Q122" s="36" t="s">
        <v>1943</v>
      </c>
      <c r="R122" s="36" t="s">
        <v>2016</v>
      </c>
      <c r="S122" s="36" t="s">
        <v>1880</v>
      </c>
      <c r="T122" s="36" t="s">
        <v>1881</v>
      </c>
      <c r="U122" s="38">
        <v>45562</v>
      </c>
      <c r="V122" s="39">
        <v>658490</v>
      </c>
      <c r="W122" s="39" t="s">
        <v>2363</v>
      </c>
      <c r="X122" s="39" t="s">
        <v>2363</v>
      </c>
      <c r="Y122" s="40">
        <f t="shared" si="28"/>
        <v>32924.5</v>
      </c>
      <c r="Z122" s="40">
        <f t="shared" si="29"/>
        <v>691414.5</v>
      </c>
      <c r="AA122" s="41" t="str">
        <f t="shared" si="30"/>
        <v>0.0018</v>
      </c>
      <c r="AB122" s="41">
        <f t="shared" si="31"/>
        <v>0</v>
      </c>
      <c r="AC122" s="41">
        <f t="shared" si="32"/>
        <v>0</v>
      </c>
      <c r="AD122" s="41">
        <f t="shared" si="33"/>
        <v>0</v>
      </c>
      <c r="AE122" s="41">
        <f t="shared" si="34"/>
        <v>0</v>
      </c>
      <c r="AF122" s="41">
        <f t="shared" si="35"/>
        <v>0</v>
      </c>
      <c r="AG122" s="41">
        <f t="shared" si="36"/>
        <v>0</v>
      </c>
      <c r="AH122" s="41">
        <f t="shared" si="37"/>
        <v>0</v>
      </c>
      <c r="AI122" s="41">
        <f t="shared" si="38"/>
        <v>95</v>
      </c>
      <c r="AJ122" s="41">
        <f t="shared" si="39"/>
        <v>365</v>
      </c>
      <c r="AK122" s="41">
        <f t="shared" si="40"/>
        <v>181</v>
      </c>
      <c r="AL122" s="42">
        <f t="shared" si="41"/>
        <v>3.2473479452054792</v>
      </c>
      <c r="AM122" s="42">
        <f t="shared" si="42"/>
        <v>587.76997808219176</v>
      </c>
      <c r="AN122" s="43">
        <f t="shared" si="27"/>
        <v>592641</v>
      </c>
      <c r="AO122" s="43"/>
      <c r="AP122" s="42">
        <f t="shared" si="43"/>
        <v>98773.5</v>
      </c>
      <c r="AQ122" s="43">
        <v>5</v>
      </c>
      <c r="AR122" s="44">
        <f t="shared" si="44"/>
        <v>0.8571428571428571</v>
      </c>
      <c r="AS122" s="45">
        <f t="shared" si="45"/>
        <v>1868.374758824197</v>
      </c>
      <c r="AU122" s="1">
        <v>592641</v>
      </c>
      <c r="AV122" s="50">
        <v>0</v>
      </c>
    </row>
    <row r="123" spans="1:48" s="1" customFormat="1" ht="37.200000000000003" thickTop="1" thickBot="1" x14ac:dyDescent="0.55000000000000004">
      <c r="A123" s="33">
        <v>116</v>
      </c>
      <c r="B123" s="34" t="s">
        <v>170</v>
      </c>
      <c r="C123" s="34" t="s">
        <v>965</v>
      </c>
      <c r="D123" s="35" t="s">
        <v>625</v>
      </c>
      <c r="E123" s="35" t="s">
        <v>966</v>
      </c>
      <c r="F123" s="36" t="s">
        <v>1080</v>
      </c>
      <c r="G123" s="36" t="s">
        <v>1420</v>
      </c>
      <c r="H123" s="36" t="s">
        <v>1421</v>
      </c>
      <c r="I123" s="36" t="s">
        <v>1421</v>
      </c>
      <c r="J123" s="36" t="s">
        <v>1421</v>
      </c>
      <c r="K123" s="36">
        <v>350</v>
      </c>
      <c r="L123" s="36" t="s">
        <v>1422</v>
      </c>
      <c r="M123" s="49">
        <v>4</v>
      </c>
      <c r="N123" s="37" t="s">
        <v>1538</v>
      </c>
      <c r="O123" s="37"/>
      <c r="P123" s="36">
        <v>1</v>
      </c>
      <c r="Q123" s="36" t="s">
        <v>1941</v>
      </c>
      <c r="R123" s="36" t="s">
        <v>2017</v>
      </c>
      <c r="S123" s="36" t="s">
        <v>1880</v>
      </c>
      <c r="T123" s="36" t="s">
        <v>2018</v>
      </c>
      <c r="U123" s="38">
        <v>45562</v>
      </c>
      <c r="V123" s="39">
        <v>665974</v>
      </c>
      <c r="W123" s="39" t="s">
        <v>2363</v>
      </c>
      <c r="X123" s="39" t="s">
        <v>2363</v>
      </c>
      <c r="Y123" s="40">
        <f t="shared" si="28"/>
        <v>33298.699999999997</v>
      </c>
      <c r="Z123" s="40">
        <f t="shared" si="29"/>
        <v>699272.7</v>
      </c>
      <c r="AA123" s="41" t="str">
        <f t="shared" si="30"/>
        <v>0.0018</v>
      </c>
      <c r="AB123" s="41">
        <f t="shared" si="31"/>
        <v>0</v>
      </c>
      <c r="AC123" s="41">
        <f t="shared" si="32"/>
        <v>0</v>
      </c>
      <c r="AD123" s="41">
        <f t="shared" si="33"/>
        <v>0</v>
      </c>
      <c r="AE123" s="41">
        <f t="shared" si="34"/>
        <v>0</v>
      </c>
      <c r="AF123" s="41">
        <f t="shared" si="35"/>
        <v>0</v>
      </c>
      <c r="AG123" s="41">
        <f t="shared" si="36"/>
        <v>0</v>
      </c>
      <c r="AH123" s="41">
        <f t="shared" si="37"/>
        <v>0</v>
      </c>
      <c r="AI123" s="41">
        <f t="shared" si="38"/>
        <v>95</v>
      </c>
      <c r="AJ123" s="41">
        <f t="shared" si="39"/>
        <v>365</v>
      </c>
      <c r="AK123" s="41">
        <f t="shared" si="40"/>
        <v>181</v>
      </c>
      <c r="AL123" s="42">
        <f t="shared" si="41"/>
        <v>3.284255342465753</v>
      </c>
      <c r="AM123" s="42">
        <f t="shared" si="42"/>
        <v>594.45021698630126</v>
      </c>
      <c r="AN123" s="43">
        <f t="shared" si="27"/>
        <v>599376.6</v>
      </c>
      <c r="AO123" s="43"/>
      <c r="AP123" s="42">
        <f t="shared" si="43"/>
        <v>99896.099999999977</v>
      </c>
      <c r="AQ123" s="43">
        <v>5</v>
      </c>
      <c r="AR123" s="44">
        <f t="shared" si="44"/>
        <v>0.85714285714285721</v>
      </c>
      <c r="AS123" s="45">
        <f t="shared" si="45"/>
        <v>1902.7828571428572</v>
      </c>
      <c r="AU123" s="1">
        <v>399584.39999999997</v>
      </c>
      <c r="AV123" s="50">
        <v>199792.2</v>
      </c>
    </row>
    <row r="124" spans="1:48" s="1" customFormat="1" ht="37.200000000000003" thickTop="1" thickBot="1" x14ac:dyDescent="0.55000000000000004">
      <c r="A124" s="33">
        <v>117</v>
      </c>
      <c r="B124" s="34" t="s">
        <v>171</v>
      </c>
      <c r="C124" s="34" t="s">
        <v>965</v>
      </c>
      <c r="D124" s="35" t="s">
        <v>626</v>
      </c>
      <c r="E124" s="35" t="s">
        <v>966</v>
      </c>
      <c r="F124" s="36" t="s">
        <v>1081</v>
      </c>
      <c r="G124" s="36" t="s">
        <v>1420</v>
      </c>
      <c r="H124" s="36" t="s">
        <v>1421</v>
      </c>
      <c r="I124" s="36" t="s">
        <v>1421</v>
      </c>
      <c r="J124" s="36" t="s">
        <v>1421</v>
      </c>
      <c r="K124" s="36">
        <v>375</v>
      </c>
      <c r="L124" s="36" t="s">
        <v>1422</v>
      </c>
      <c r="M124" s="49">
        <v>4</v>
      </c>
      <c r="N124" s="37" t="s">
        <v>1539</v>
      </c>
      <c r="O124" s="37"/>
      <c r="P124" s="36">
        <v>1</v>
      </c>
      <c r="Q124" s="36" t="s">
        <v>1954</v>
      </c>
      <c r="R124" s="36" t="s">
        <v>2019</v>
      </c>
      <c r="S124" s="36" t="s">
        <v>1880</v>
      </c>
      <c r="T124" s="36" t="s">
        <v>1883</v>
      </c>
      <c r="U124" s="38">
        <v>45562</v>
      </c>
      <c r="V124" s="39">
        <v>779414</v>
      </c>
      <c r="W124" s="39" t="s">
        <v>2363</v>
      </c>
      <c r="X124" s="39" t="s">
        <v>2363</v>
      </c>
      <c r="Y124" s="40">
        <f t="shared" si="28"/>
        <v>38970.699999999997</v>
      </c>
      <c r="Z124" s="40">
        <f t="shared" si="29"/>
        <v>818384.7</v>
      </c>
      <c r="AA124" s="41" t="str">
        <f t="shared" si="30"/>
        <v>0.0022</v>
      </c>
      <c r="AB124" s="41">
        <f t="shared" si="31"/>
        <v>0</v>
      </c>
      <c r="AC124" s="41">
        <f t="shared" si="32"/>
        <v>0</v>
      </c>
      <c r="AD124" s="41">
        <f t="shared" si="33"/>
        <v>0</v>
      </c>
      <c r="AE124" s="41">
        <f t="shared" si="34"/>
        <v>0</v>
      </c>
      <c r="AF124" s="41">
        <f t="shared" si="35"/>
        <v>0</v>
      </c>
      <c r="AG124" s="41">
        <f t="shared" si="36"/>
        <v>0</v>
      </c>
      <c r="AH124" s="41">
        <f t="shared" si="37"/>
        <v>0</v>
      </c>
      <c r="AI124" s="41">
        <f t="shared" si="38"/>
        <v>95</v>
      </c>
      <c r="AJ124" s="41">
        <f t="shared" si="39"/>
        <v>365</v>
      </c>
      <c r="AK124" s="41">
        <f t="shared" si="40"/>
        <v>181</v>
      </c>
      <c r="AL124" s="42">
        <f t="shared" si="41"/>
        <v>4.6978378082191785</v>
      </c>
      <c r="AM124" s="42">
        <f t="shared" si="42"/>
        <v>850.30864328767132</v>
      </c>
      <c r="AN124" s="43">
        <f t="shared" si="27"/>
        <v>740443.3</v>
      </c>
      <c r="AO124" s="43"/>
      <c r="AP124" s="42">
        <f t="shared" si="43"/>
        <v>77941.399999999907</v>
      </c>
      <c r="AQ124" s="43">
        <v>6</v>
      </c>
      <c r="AR124" s="44">
        <f t="shared" si="44"/>
        <v>0.90476190476190488</v>
      </c>
      <c r="AS124" s="45">
        <f t="shared" si="45"/>
        <v>2078.4373333333333</v>
      </c>
      <c r="AU124" s="1">
        <v>584560.5</v>
      </c>
      <c r="AV124" s="50">
        <v>155882.79999999999</v>
      </c>
    </row>
    <row r="125" spans="1:48" s="1" customFormat="1" ht="37.200000000000003" thickTop="1" thickBot="1" x14ac:dyDescent="0.55000000000000004">
      <c r="A125" s="33">
        <v>118</v>
      </c>
      <c r="B125" s="34" t="s">
        <v>172</v>
      </c>
      <c r="C125" s="34" t="s">
        <v>965</v>
      </c>
      <c r="D125" s="35" t="s">
        <v>627</v>
      </c>
      <c r="E125" s="35" t="s">
        <v>966</v>
      </c>
      <c r="F125" s="36" t="s">
        <v>1082</v>
      </c>
      <c r="G125" s="36" t="s">
        <v>1420</v>
      </c>
      <c r="H125" s="36" t="s">
        <v>1421</v>
      </c>
      <c r="I125" s="36" t="s">
        <v>1421</v>
      </c>
      <c r="J125" s="36" t="s">
        <v>1421</v>
      </c>
      <c r="K125" s="36">
        <v>350</v>
      </c>
      <c r="L125" s="36" t="s">
        <v>1422</v>
      </c>
      <c r="M125" s="49">
        <v>4</v>
      </c>
      <c r="N125" s="37" t="s">
        <v>1540</v>
      </c>
      <c r="O125" s="37"/>
      <c r="P125" s="36">
        <v>1</v>
      </c>
      <c r="Q125" s="36" t="s">
        <v>1933</v>
      </c>
      <c r="R125" s="36" t="s">
        <v>2020</v>
      </c>
      <c r="S125" s="36" t="s">
        <v>1880</v>
      </c>
      <c r="T125" s="36" t="s">
        <v>1881</v>
      </c>
      <c r="U125" s="38">
        <v>45562</v>
      </c>
      <c r="V125" s="39">
        <v>664474</v>
      </c>
      <c r="W125" s="39" t="s">
        <v>2363</v>
      </c>
      <c r="X125" s="39" t="s">
        <v>2363</v>
      </c>
      <c r="Y125" s="40">
        <f t="shared" si="28"/>
        <v>33223.699999999997</v>
      </c>
      <c r="Z125" s="40">
        <f t="shared" si="29"/>
        <v>697697.7</v>
      </c>
      <c r="AA125" s="41" t="str">
        <f t="shared" si="30"/>
        <v>0.0018</v>
      </c>
      <c r="AB125" s="41">
        <f t="shared" si="31"/>
        <v>0</v>
      </c>
      <c r="AC125" s="41">
        <f t="shared" si="32"/>
        <v>0</v>
      </c>
      <c r="AD125" s="41">
        <f t="shared" si="33"/>
        <v>0</v>
      </c>
      <c r="AE125" s="41">
        <f t="shared" si="34"/>
        <v>0</v>
      </c>
      <c r="AF125" s="41">
        <f t="shared" si="35"/>
        <v>0</v>
      </c>
      <c r="AG125" s="41">
        <f t="shared" si="36"/>
        <v>0</v>
      </c>
      <c r="AH125" s="41">
        <f t="shared" si="37"/>
        <v>0</v>
      </c>
      <c r="AI125" s="41">
        <f t="shared" si="38"/>
        <v>95</v>
      </c>
      <c r="AJ125" s="41">
        <f t="shared" si="39"/>
        <v>365</v>
      </c>
      <c r="AK125" s="41">
        <f t="shared" si="40"/>
        <v>181</v>
      </c>
      <c r="AL125" s="42">
        <f t="shared" si="41"/>
        <v>3.2768580821917812</v>
      </c>
      <c r="AM125" s="42">
        <f t="shared" si="42"/>
        <v>593.11131287671242</v>
      </c>
      <c r="AN125" s="43">
        <f t="shared" si="27"/>
        <v>598026.6</v>
      </c>
      <c r="AO125" s="43"/>
      <c r="AP125" s="42">
        <f t="shared" si="43"/>
        <v>99671.099999999977</v>
      </c>
      <c r="AQ125" s="43">
        <v>5</v>
      </c>
      <c r="AR125" s="44">
        <f t="shared" si="44"/>
        <v>0.85714285714285721</v>
      </c>
      <c r="AS125" s="45">
        <f t="shared" si="45"/>
        <v>1898.4971428571428</v>
      </c>
      <c r="AU125" s="1">
        <v>498355.49999999994</v>
      </c>
      <c r="AV125" s="50">
        <v>99671.1</v>
      </c>
    </row>
    <row r="126" spans="1:48" s="1" customFormat="1" ht="37.200000000000003" thickTop="1" thickBot="1" x14ac:dyDescent="0.55000000000000004">
      <c r="A126" s="33">
        <v>119</v>
      </c>
      <c r="B126" s="34" t="s">
        <v>173</v>
      </c>
      <c r="C126" s="34" t="s">
        <v>965</v>
      </c>
      <c r="D126" s="35" t="s">
        <v>628</v>
      </c>
      <c r="E126" s="35" t="s">
        <v>966</v>
      </c>
      <c r="F126" s="36" t="s">
        <v>1083</v>
      </c>
      <c r="G126" s="36" t="s">
        <v>1420</v>
      </c>
      <c r="H126" s="36" t="s">
        <v>1421</v>
      </c>
      <c r="I126" s="36" t="s">
        <v>1421</v>
      </c>
      <c r="J126" s="36" t="s">
        <v>1421</v>
      </c>
      <c r="K126" s="36">
        <v>350</v>
      </c>
      <c r="L126" s="36" t="s">
        <v>1422</v>
      </c>
      <c r="M126" s="49">
        <v>4</v>
      </c>
      <c r="N126" s="37" t="s">
        <v>1541</v>
      </c>
      <c r="O126" s="37"/>
      <c r="P126" s="36">
        <v>1</v>
      </c>
      <c r="Q126" s="36" t="s">
        <v>1995</v>
      </c>
      <c r="R126" s="36" t="s">
        <v>2021</v>
      </c>
      <c r="S126" s="36" t="s">
        <v>1880</v>
      </c>
      <c r="T126" s="36" t="s">
        <v>1881</v>
      </c>
      <c r="U126" s="38">
        <v>45562</v>
      </c>
      <c r="V126" s="39">
        <v>673474</v>
      </c>
      <c r="W126" s="39" t="s">
        <v>2363</v>
      </c>
      <c r="X126" s="39" t="s">
        <v>2363</v>
      </c>
      <c r="Y126" s="40">
        <f t="shared" si="28"/>
        <v>33673.699999999997</v>
      </c>
      <c r="Z126" s="40">
        <f t="shared" si="29"/>
        <v>707147.7</v>
      </c>
      <c r="AA126" s="41" t="str">
        <f t="shared" si="30"/>
        <v>0.0018</v>
      </c>
      <c r="AB126" s="41">
        <f t="shared" si="31"/>
        <v>0</v>
      </c>
      <c r="AC126" s="41">
        <f t="shared" si="32"/>
        <v>0</v>
      </c>
      <c r="AD126" s="41">
        <f t="shared" si="33"/>
        <v>0</v>
      </c>
      <c r="AE126" s="41">
        <f t="shared" si="34"/>
        <v>0</v>
      </c>
      <c r="AF126" s="41">
        <f t="shared" si="35"/>
        <v>0</v>
      </c>
      <c r="AG126" s="41">
        <f t="shared" si="36"/>
        <v>0</v>
      </c>
      <c r="AH126" s="41">
        <f t="shared" si="37"/>
        <v>0</v>
      </c>
      <c r="AI126" s="41">
        <f t="shared" si="38"/>
        <v>95</v>
      </c>
      <c r="AJ126" s="41">
        <f t="shared" si="39"/>
        <v>365</v>
      </c>
      <c r="AK126" s="41">
        <f t="shared" si="40"/>
        <v>181</v>
      </c>
      <c r="AL126" s="42">
        <f t="shared" si="41"/>
        <v>3.321241643835616</v>
      </c>
      <c r="AM126" s="42">
        <f t="shared" si="42"/>
        <v>601.14473753424647</v>
      </c>
      <c r="AN126" s="43">
        <f t="shared" si="27"/>
        <v>639800.29999999993</v>
      </c>
      <c r="AO126" s="43"/>
      <c r="AP126" s="42">
        <f t="shared" si="43"/>
        <v>67347.400000000023</v>
      </c>
      <c r="AQ126" s="43">
        <v>6</v>
      </c>
      <c r="AR126" s="44">
        <f t="shared" si="44"/>
        <v>0.90476190476190477</v>
      </c>
      <c r="AS126" s="45">
        <f t="shared" si="45"/>
        <v>1924.2114285714285</v>
      </c>
      <c r="AU126" s="1">
        <v>606126.6</v>
      </c>
      <c r="AV126" s="50">
        <v>33673.699999999997</v>
      </c>
    </row>
    <row r="127" spans="1:48" s="1" customFormat="1" ht="37.200000000000003" thickTop="1" thickBot="1" x14ac:dyDescent="0.55000000000000004">
      <c r="A127" s="33">
        <v>120</v>
      </c>
      <c r="B127" s="34" t="s">
        <v>174</v>
      </c>
      <c r="C127" s="34" t="s">
        <v>965</v>
      </c>
      <c r="D127" s="35" t="s">
        <v>629</v>
      </c>
      <c r="E127" s="35" t="s">
        <v>966</v>
      </c>
      <c r="F127" s="36" t="s">
        <v>1084</v>
      </c>
      <c r="G127" s="36" t="s">
        <v>1420</v>
      </c>
      <c r="H127" s="36" t="s">
        <v>1421</v>
      </c>
      <c r="I127" s="36" t="s">
        <v>1421</v>
      </c>
      <c r="J127" s="36" t="s">
        <v>1421</v>
      </c>
      <c r="K127" s="36">
        <v>350</v>
      </c>
      <c r="L127" s="36" t="s">
        <v>1422</v>
      </c>
      <c r="M127" s="49">
        <v>4</v>
      </c>
      <c r="N127" s="37" t="s">
        <v>1542</v>
      </c>
      <c r="O127" s="37"/>
      <c r="P127" s="36">
        <v>1</v>
      </c>
      <c r="Q127" s="36" t="s">
        <v>1933</v>
      </c>
      <c r="R127" s="36" t="s">
        <v>2022</v>
      </c>
      <c r="S127" s="36" t="s">
        <v>1880</v>
      </c>
      <c r="T127" s="36" t="s">
        <v>1881</v>
      </c>
      <c r="U127" s="38">
        <v>45562</v>
      </c>
      <c r="V127" s="39">
        <v>648770</v>
      </c>
      <c r="W127" s="39" t="s">
        <v>2363</v>
      </c>
      <c r="X127" s="39" t="s">
        <v>2363</v>
      </c>
      <c r="Y127" s="40">
        <f t="shared" si="28"/>
        <v>32438.5</v>
      </c>
      <c r="Z127" s="40">
        <f t="shared" si="29"/>
        <v>681208.5</v>
      </c>
      <c r="AA127" s="41" t="str">
        <f t="shared" si="30"/>
        <v>0.0018</v>
      </c>
      <c r="AB127" s="41">
        <f t="shared" si="31"/>
        <v>0</v>
      </c>
      <c r="AC127" s="41">
        <f t="shared" si="32"/>
        <v>0</v>
      </c>
      <c r="AD127" s="41">
        <f t="shared" si="33"/>
        <v>0</v>
      </c>
      <c r="AE127" s="41">
        <f t="shared" si="34"/>
        <v>0</v>
      </c>
      <c r="AF127" s="41">
        <f t="shared" si="35"/>
        <v>0</v>
      </c>
      <c r="AG127" s="41">
        <f t="shared" si="36"/>
        <v>0</v>
      </c>
      <c r="AH127" s="41">
        <f t="shared" si="37"/>
        <v>0</v>
      </c>
      <c r="AI127" s="41">
        <f t="shared" si="38"/>
        <v>95</v>
      </c>
      <c r="AJ127" s="41">
        <f t="shared" si="39"/>
        <v>365</v>
      </c>
      <c r="AK127" s="41">
        <f t="shared" si="40"/>
        <v>181</v>
      </c>
      <c r="AL127" s="42">
        <f t="shared" si="41"/>
        <v>3.1994136986301371</v>
      </c>
      <c r="AM127" s="42">
        <f t="shared" si="42"/>
        <v>579.09387945205481</v>
      </c>
      <c r="AN127" s="43">
        <f t="shared" si="27"/>
        <v>583893</v>
      </c>
      <c r="AO127" s="43"/>
      <c r="AP127" s="42">
        <f t="shared" si="43"/>
        <v>97315.5</v>
      </c>
      <c r="AQ127" s="43">
        <v>5</v>
      </c>
      <c r="AR127" s="44">
        <f t="shared" si="44"/>
        <v>0.8571428571428571</v>
      </c>
      <c r="AS127" s="45">
        <f t="shared" si="45"/>
        <v>1853.6285714285714</v>
      </c>
      <c r="AU127" s="1">
        <v>486577.5</v>
      </c>
      <c r="AV127" s="50">
        <v>97315.5</v>
      </c>
    </row>
    <row r="128" spans="1:48" s="1" customFormat="1" ht="37.200000000000003" thickTop="1" thickBot="1" x14ac:dyDescent="0.55000000000000004">
      <c r="A128" s="33">
        <v>121</v>
      </c>
      <c r="B128" s="34" t="s">
        <v>175</v>
      </c>
      <c r="C128" s="34" t="s">
        <v>965</v>
      </c>
      <c r="D128" s="35" t="s">
        <v>630</v>
      </c>
      <c r="E128" s="35" t="s">
        <v>966</v>
      </c>
      <c r="F128" s="36" t="s">
        <v>1085</v>
      </c>
      <c r="G128" s="36" t="s">
        <v>1420</v>
      </c>
      <c r="H128" s="36" t="s">
        <v>1421</v>
      </c>
      <c r="I128" s="36" t="s">
        <v>1421</v>
      </c>
      <c r="J128" s="36" t="s">
        <v>1421</v>
      </c>
      <c r="K128" s="36">
        <v>350</v>
      </c>
      <c r="L128" s="36" t="s">
        <v>1422</v>
      </c>
      <c r="M128" s="49">
        <v>4</v>
      </c>
      <c r="N128" s="37" t="s">
        <v>1543</v>
      </c>
      <c r="O128" s="37"/>
      <c r="P128" s="36">
        <v>1</v>
      </c>
      <c r="Q128" s="36" t="s">
        <v>1995</v>
      </c>
      <c r="R128" s="36" t="s">
        <v>2023</v>
      </c>
      <c r="S128" s="36" t="s">
        <v>1880</v>
      </c>
      <c r="T128" s="36" t="s">
        <v>1881</v>
      </c>
      <c r="U128" s="38">
        <v>45562</v>
      </c>
      <c r="V128" s="39">
        <v>715976</v>
      </c>
      <c r="W128" s="39" t="s">
        <v>2363</v>
      </c>
      <c r="X128" s="39" t="s">
        <v>2363</v>
      </c>
      <c r="Y128" s="40">
        <f t="shared" si="28"/>
        <v>35798.800000000003</v>
      </c>
      <c r="Z128" s="40">
        <f t="shared" si="29"/>
        <v>751774.8</v>
      </c>
      <c r="AA128" s="41" t="str">
        <f t="shared" si="30"/>
        <v>0.0022</v>
      </c>
      <c r="AB128" s="41">
        <f t="shared" si="31"/>
        <v>0</v>
      </c>
      <c r="AC128" s="41">
        <f t="shared" si="32"/>
        <v>0</v>
      </c>
      <c r="AD128" s="41">
        <f t="shared" si="33"/>
        <v>0</v>
      </c>
      <c r="AE128" s="41">
        <f t="shared" si="34"/>
        <v>0</v>
      </c>
      <c r="AF128" s="41">
        <f t="shared" si="35"/>
        <v>0</v>
      </c>
      <c r="AG128" s="41">
        <f t="shared" si="36"/>
        <v>0</v>
      </c>
      <c r="AH128" s="41">
        <f t="shared" si="37"/>
        <v>0</v>
      </c>
      <c r="AI128" s="41">
        <f t="shared" si="38"/>
        <v>95</v>
      </c>
      <c r="AJ128" s="41">
        <f t="shared" si="39"/>
        <v>365</v>
      </c>
      <c r="AK128" s="41">
        <f t="shared" si="40"/>
        <v>181</v>
      </c>
      <c r="AL128" s="42">
        <f t="shared" si="41"/>
        <v>4.3154717808219178</v>
      </c>
      <c r="AM128" s="42">
        <f t="shared" si="42"/>
        <v>781.10039232876716</v>
      </c>
      <c r="AN128" s="43">
        <f t="shared" si="27"/>
        <v>680177.20000000007</v>
      </c>
      <c r="AO128" s="43"/>
      <c r="AP128" s="42">
        <f t="shared" si="43"/>
        <v>71597.599999999977</v>
      </c>
      <c r="AQ128" s="43">
        <v>6</v>
      </c>
      <c r="AR128" s="44">
        <f t="shared" si="44"/>
        <v>0.90476190476190477</v>
      </c>
      <c r="AS128" s="45">
        <f t="shared" si="45"/>
        <v>2045.6457142857143</v>
      </c>
      <c r="AU128" s="1">
        <v>644378.4</v>
      </c>
      <c r="AV128" s="50">
        <v>35798.800000000003</v>
      </c>
    </row>
    <row r="129" spans="1:48" s="1" customFormat="1" ht="37.200000000000003" thickTop="1" thickBot="1" x14ac:dyDescent="0.55000000000000004">
      <c r="A129" s="33">
        <v>122</v>
      </c>
      <c r="B129" s="34" t="s">
        <v>176</v>
      </c>
      <c r="C129" s="34" t="s">
        <v>965</v>
      </c>
      <c r="D129" s="35" t="s">
        <v>631</v>
      </c>
      <c r="E129" s="35" t="s">
        <v>966</v>
      </c>
      <c r="F129" s="36" t="s">
        <v>1086</v>
      </c>
      <c r="G129" s="36" t="s">
        <v>1420</v>
      </c>
      <c r="H129" s="36" t="s">
        <v>1421</v>
      </c>
      <c r="I129" s="36" t="s">
        <v>1421</v>
      </c>
      <c r="J129" s="36" t="s">
        <v>1421</v>
      </c>
      <c r="K129" s="36">
        <v>350</v>
      </c>
      <c r="L129" s="36" t="s">
        <v>1422</v>
      </c>
      <c r="M129" s="49">
        <v>4</v>
      </c>
      <c r="N129" s="37" t="s">
        <v>1544</v>
      </c>
      <c r="O129" s="37"/>
      <c r="P129" s="36">
        <v>1</v>
      </c>
      <c r="Q129" s="36" t="s">
        <v>1941</v>
      </c>
      <c r="R129" s="36" t="s">
        <v>2024</v>
      </c>
      <c r="S129" s="36" t="s">
        <v>1880</v>
      </c>
      <c r="T129" s="36" t="s">
        <v>1881</v>
      </c>
      <c r="U129" s="38">
        <v>45562</v>
      </c>
      <c r="V129" s="39">
        <v>665974</v>
      </c>
      <c r="W129" s="39" t="s">
        <v>2363</v>
      </c>
      <c r="X129" s="39" t="s">
        <v>2363</v>
      </c>
      <c r="Y129" s="40">
        <f t="shared" si="28"/>
        <v>33298.699999999997</v>
      </c>
      <c r="Z129" s="40">
        <f t="shared" si="29"/>
        <v>699272.7</v>
      </c>
      <c r="AA129" s="41" t="str">
        <f t="shared" si="30"/>
        <v>0.0018</v>
      </c>
      <c r="AB129" s="41">
        <f t="shared" si="31"/>
        <v>0</v>
      </c>
      <c r="AC129" s="41">
        <f t="shared" si="32"/>
        <v>0</v>
      </c>
      <c r="AD129" s="41">
        <f t="shared" si="33"/>
        <v>0</v>
      </c>
      <c r="AE129" s="41">
        <f t="shared" si="34"/>
        <v>0</v>
      </c>
      <c r="AF129" s="41">
        <f t="shared" si="35"/>
        <v>0</v>
      </c>
      <c r="AG129" s="41">
        <f t="shared" si="36"/>
        <v>0</v>
      </c>
      <c r="AH129" s="41">
        <f t="shared" si="37"/>
        <v>0</v>
      </c>
      <c r="AI129" s="41">
        <f t="shared" si="38"/>
        <v>95</v>
      </c>
      <c r="AJ129" s="41">
        <f t="shared" si="39"/>
        <v>365</v>
      </c>
      <c r="AK129" s="41">
        <f t="shared" si="40"/>
        <v>181</v>
      </c>
      <c r="AL129" s="42">
        <f t="shared" si="41"/>
        <v>3.284255342465753</v>
      </c>
      <c r="AM129" s="42">
        <f t="shared" si="42"/>
        <v>594.45021698630126</v>
      </c>
      <c r="AN129" s="43">
        <f t="shared" si="27"/>
        <v>599376.6</v>
      </c>
      <c r="AO129" s="43"/>
      <c r="AP129" s="42">
        <f t="shared" si="43"/>
        <v>99896.099999999977</v>
      </c>
      <c r="AQ129" s="43">
        <v>5</v>
      </c>
      <c r="AR129" s="44">
        <f t="shared" si="44"/>
        <v>0.85714285714285721</v>
      </c>
      <c r="AS129" s="45">
        <f t="shared" si="45"/>
        <v>1902.7828571428572</v>
      </c>
      <c r="AU129" s="1">
        <v>399584.39999999997</v>
      </c>
      <c r="AV129" s="50">
        <v>199792.2</v>
      </c>
    </row>
    <row r="130" spans="1:48" s="1" customFormat="1" ht="37.200000000000003" thickTop="1" thickBot="1" x14ac:dyDescent="0.55000000000000004">
      <c r="A130" s="33">
        <v>123</v>
      </c>
      <c r="B130" s="34" t="s">
        <v>177</v>
      </c>
      <c r="C130" s="34" t="s">
        <v>965</v>
      </c>
      <c r="D130" s="35" t="s">
        <v>632</v>
      </c>
      <c r="E130" s="35" t="s">
        <v>966</v>
      </c>
      <c r="F130" s="36" t="s">
        <v>1087</v>
      </c>
      <c r="G130" s="36" t="s">
        <v>1420</v>
      </c>
      <c r="H130" s="36" t="s">
        <v>1421</v>
      </c>
      <c r="I130" s="36" t="s">
        <v>1421</v>
      </c>
      <c r="J130" s="36" t="s">
        <v>1421</v>
      </c>
      <c r="K130" s="36">
        <v>350</v>
      </c>
      <c r="L130" s="36" t="s">
        <v>1422</v>
      </c>
      <c r="M130" s="49">
        <v>4</v>
      </c>
      <c r="N130" s="37" t="s">
        <v>1545</v>
      </c>
      <c r="O130" s="37"/>
      <c r="P130" s="36">
        <v>1</v>
      </c>
      <c r="Q130" s="36" t="s">
        <v>1995</v>
      </c>
      <c r="R130" s="36" t="s">
        <v>2025</v>
      </c>
      <c r="S130" s="36" t="s">
        <v>1880</v>
      </c>
      <c r="T130" s="36" t="s">
        <v>1881</v>
      </c>
      <c r="U130" s="38">
        <v>45562</v>
      </c>
      <c r="V130" s="39">
        <v>715976</v>
      </c>
      <c r="W130" s="39" t="s">
        <v>2363</v>
      </c>
      <c r="X130" s="39" t="s">
        <v>2363</v>
      </c>
      <c r="Y130" s="40">
        <f t="shared" si="28"/>
        <v>35798.800000000003</v>
      </c>
      <c r="Z130" s="40">
        <f t="shared" si="29"/>
        <v>751774.8</v>
      </c>
      <c r="AA130" s="41" t="str">
        <f t="shared" si="30"/>
        <v>0.0022</v>
      </c>
      <c r="AB130" s="41">
        <f t="shared" si="31"/>
        <v>0</v>
      </c>
      <c r="AC130" s="41">
        <f t="shared" si="32"/>
        <v>0</v>
      </c>
      <c r="AD130" s="41">
        <f t="shared" si="33"/>
        <v>0</v>
      </c>
      <c r="AE130" s="41">
        <f t="shared" si="34"/>
        <v>0</v>
      </c>
      <c r="AF130" s="41">
        <f t="shared" si="35"/>
        <v>0</v>
      </c>
      <c r="AG130" s="41">
        <f t="shared" si="36"/>
        <v>0</v>
      </c>
      <c r="AH130" s="41">
        <f t="shared" si="37"/>
        <v>0</v>
      </c>
      <c r="AI130" s="41">
        <f t="shared" si="38"/>
        <v>95</v>
      </c>
      <c r="AJ130" s="41">
        <f t="shared" si="39"/>
        <v>365</v>
      </c>
      <c r="AK130" s="41">
        <f t="shared" si="40"/>
        <v>181</v>
      </c>
      <c r="AL130" s="42">
        <f t="shared" si="41"/>
        <v>4.3154717808219178</v>
      </c>
      <c r="AM130" s="42">
        <f t="shared" si="42"/>
        <v>781.10039232876716</v>
      </c>
      <c r="AN130" s="43">
        <f t="shared" si="27"/>
        <v>680177.20000000007</v>
      </c>
      <c r="AO130" s="43"/>
      <c r="AP130" s="42">
        <f t="shared" si="43"/>
        <v>71597.599999999977</v>
      </c>
      <c r="AQ130" s="43">
        <v>6</v>
      </c>
      <c r="AR130" s="44">
        <f t="shared" si="44"/>
        <v>0.90476190476190477</v>
      </c>
      <c r="AS130" s="45">
        <f t="shared" si="45"/>
        <v>2045.6457142857143</v>
      </c>
      <c r="AU130" s="1">
        <v>644378.4</v>
      </c>
      <c r="AV130" s="50">
        <v>35798.800000000003</v>
      </c>
    </row>
    <row r="131" spans="1:48" s="1" customFormat="1" ht="37.200000000000003" thickTop="1" thickBot="1" x14ac:dyDescent="0.55000000000000004">
      <c r="A131" s="33">
        <v>124</v>
      </c>
      <c r="B131" s="34" t="s">
        <v>178</v>
      </c>
      <c r="C131" s="34" t="s">
        <v>965</v>
      </c>
      <c r="D131" s="35" t="s">
        <v>633</v>
      </c>
      <c r="E131" s="35" t="s">
        <v>966</v>
      </c>
      <c r="F131" s="36" t="s">
        <v>1088</v>
      </c>
      <c r="G131" s="36" t="s">
        <v>1420</v>
      </c>
      <c r="H131" s="36" t="s">
        <v>1421</v>
      </c>
      <c r="I131" s="36" t="s">
        <v>1421</v>
      </c>
      <c r="J131" s="36" t="s">
        <v>1421</v>
      </c>
      <c r="K131" s="36">
        <v>375</v>
      </c>
      <c r="L131" s="36" t="s">
        <v>1422</v>
      </c>
      <c r="M131" s="49">
        <v>4</v>
      </c>
      <c r="N131" s="37" t="s">
        <v>1546</v>
      </c>
      <c r="O131" s="37"/>
      <c r="P131" s="36">
        <v>1</v>
      </c>
      <c r="Q131" s="36" t="s">
        <v>1954</v>
      </c>
      <c r="R131" s="36" t="s">
        <v>2026</v>
      </c>
      <c r="S131" s="36" t="s">
        <v>1880</v>
      </c>
      <c r="T131" s="36" t="s">
        <v>1881</v>
      </c>
      <c r="U131" s="38">
        <v>45562</v>
      </c>
      <c r="V131" s="39">
        <v>678474</v>
      </c>
      <c r="W131" s="39" t="s">
        <v>2363</v>
      </c>
      <c r="X131" s="39" t="s">
        <v>2363</v>
      </c>
      <c r="Y131" s="40">
        <f t="shared" si="28"/>
        <v>33923.699999999997</v>
      </c>
      <c r="Z131" s="40">
        <f t="shared" si="29"/>
        <v>712397.7</v>
      </c>
      <c r="AA131" s="41" t="str">
        <f t="shared" si="30"/>
        <v>0.0018</v>
      </c>
      <c r="AB131" s="41">
        <f t="shared" si="31"/>
        <v>0</v>
      </c>
      <c r="AC131" s="41">
        <f t="shared" si="32"/>
        <v>0</v>
      </c>
      <c r="AD131" s="41">
        <f t="shared" si="33"/>
        <v>0</v>
      </c>
      <c r="AE131" s="41">
        <f t="shared" si="34"/>
        <v>0</v>
      </c>
      <c r="AF131" s="41">
        <f t="shared" si="35"/>
        <v>0</v>
      </c>
      <c r="AG131" s="41">
        <f t="shared" si="36"/>
        <v>0</v>
      </c>
      <c r="AH131" s="41">
        <f t="shared" si="37"/>
        <v>0</v>
      </c>
      <c r="AI131" s="41">
        <f t="shared" si="38"/>
        <v>95</v>
      </c>
      <c r="AJ131" s="41">
        <f t="shared" si="39"/>
        <v>365</v>
      </c>
      <c r="AK131" s="41">
        <f t="shared" si="40"/>
        <v>181</v>
      </c>
      <c r="AL131" s="42">
        <f t="shared" si="41"/>
        <v>3.3458991780821914</v>
      </c>
      <c r="AM131" s="42">
        <f t="shared" si="42"/>
        <v>605.60775123287669</v>
      </c>
      <c r="AN131" s="43">
        <f t="shared" si="27"/>
        <v>610626.6</v>
      </c>
      <c r="AO131" s="43"/>
      <c r="AP131" s="42">
        <f t="shared" si="43"/>
        <v>101771.09999999998</v>
      </c>
      <c r="AQ131" s="43">
        <v>5</v>
      </c>
      <c r="AR131" s="44">
        <f t="shared" si="44"/>
        <v>0.85714285714285721</v>
      </c>
      <c r="AS131" s="45">
        <f t="shared" si="45"/>
        <v>1809.2639999999999</v>
      </c>
      <c r="AU131" s="1">
        <v>508855.49999999994</v>
      </c>
      <c r="AV131" s="50">
        <v>101771.1</v>
      </c>
    </row>
    <row r="132" spans="1:48" s="1" customFormat="1" ht="37.200000000000003" thickTop="1" thickBot="1" x14ac:dyDescent="0.55000000000000004">
      <c r="A132" s="33">
        <v>125</v>
      </c>
      <c r="B132" s="34" t="s">
        <v>179</v>
      </c>
      <c r="C132" s="34" t="s">
        <v>965</v>
      </c>
      <c r="D132" s="35" t="s">
        <v>634</v>
      </c>
      <c r="E132" s="35" t="s">
        <v>966</v>
      </c>
      <c r="F132" s="36" t="s">
        <v>1089</v>
      </c>
      <c r="G132" s="36" t="s">
        <v>1420</v>
      </c>
      <c r="H132" s="36" t="s">
        <v>1421</v>
      </c>
      <c r="I132" s="36" t="s">
        <v>1421</v>
      </c>
      <c r="J132" s="36" t="s">
        <v>1421</v>
      </c>
      <c r="K132" s="36">
        <v>375</v>
      </c>
      <c r="L132" s="36" t="s">
        <v>1422</v>
      </c>
      <c r="M132" s="49">
        <v>4</v>
      </c>
      <c r="N132" s="37" t="s">
        <v>1547</v>
      </c>
      <c r="O132" s="37"/>
      <c r="P132" s="36">
        <v>1</v>
      </c>
      <c r="Q132" s="36" t="s">
        <v>1935</v>
      </c>
      <c r="R132" s="36" t="s">
        <v>2027</v>
      </c>
      <c r="S132" s="36" t="s">
        <v>1880</v>
      </c>
      <c r="T132" s="36" t="s">
        <v>1881</v>
      </c>
      <c r="U132" s="38">
        <v>45562</v>
      </c>
      <c r="V132" s="39">
        <v>661270</v>
      </c>
      <c r="W132" s="39" t="s">
        <v>2363</v>
      </c>
      <c r="X132" s="39" t="s">
        <v>2363</v>
      </c>
      <c r="Y132" s="40">
        <f t="shared" si="28"/>
        <v>33063.5</v>
      </c>
      <c r="Z132" s="40">
        <f t="shared" si="29"/>
        <v>694333.5</v>
      </c>
      <c r="AA132" s="41" t="str">
        <f t="shared" si="30"/>
        <v>0.0018</v>
      </c>
      <c r="AB132" s="41">
        <f t="shared" si="31"/>
        <v>0</v>
      </c>
      <c r="AC132" s="41">
        <f t="shared" si="32"/>
        <v>0</v>
      </c>
      <c r="AD132" s="41">
        <f t="shared" si="33"/>
        <v>0</v>
      </c>
      <c r="AE132" s="41">
        <f t="shared" si="34"/>
        <v>0</v>
      </c>
      <c r="AF132" s="41">
        <f t="shared" si="35"/>
        <v>0</v>
      </c>
      <c r="AG132" s="41">
        <f t="shared" si="36"/>
        <v>0</v>
      </c>
      <c r="AH132" s="41">
        <f t="shared" si="37"/>
        <v>0</v>
      </c>
      <c r="AI132" s="41">
        <f t="shared" si="38"/>
        <v>95</v>
      </c>
      <c r="AJ132" s="41">
        <f t="shared" si="39"/>
        <v>365</v>
      </c>
      <c r="AK132" s="41">
        <f t="shared" si="40"/>
        <v>181</v>
      </c>
      <c r="AL132" s="42">
        <f t="shared" si="41"/>
        <v>3.2610575342465755</v>
      </c>
      <c r="AM132" s="42">
        <f t="shared" si="42"/>
        <v>590.25141369863013</v>
      </c>
      <c r="AN132" s="43">
        <f t="shared" si="27"/>
        <v>595143</v>
      </c>
      <c r="AO132" s="43"/>
      <c r="AP132" s="42">
        <f t="shared" si="43"/>
        <v>99190.5</v>
      </c>
      <c r="AQ132" s="43">
        <v>5</v>
      </c>
      <c r="AR132" s="44">
        <f t="shared" si="44"/>
        <v>0.8571428571428571</v>
      </c>
      <c r="AS132" s="45">
        <f t="shared" si="45"/>
        <v>1763.3866666666668</v>
      </c>
      <c r="AU132" s="1">
        <v>495952.5</v>
      </c>
      <c r="AV132" s="50">
        <v>99190.5</v>
      </c>
    </row>
    <row r="133" spans="1:48" s="1" customFormat="1" ht="37.200000000000003" thickTop="1" thickBot="1" x14ac:dyDescent="0.55000000000000004">
      <c r="A133" s="33">
        <v>126</v>
      </c>
      <c r="B133" s="34" t="s">
        <v>180</v>
      </c>
      <c r="C133" s="34" t="s">
        <v>965</v>
      </c>
      <c r="D133" s="35" t="s">
        <v>635</v>
      </c>
      <c r="E133" s="35" t="s">
        <v>966</v>
      </c>
      <c r="F133" s="36" t="s">
        <v>1090</v>
      </c>
      <c r="G133" s="36" t="s">
        <v>1420</v>
      </c>
      <c r="H133" s="36" t="s">
        <v>1421</v>
      </c>
      <c r="I133" s="36" t="s">
        <v>1421</v>
      </c>
      <c r="J133" s="36" t="s">
        <v>1421</v>
      </c>
      <c r="K133" s="36">
        <v>375</v>
      </c>
      <c r="L133" s="36" t="s">
        <v>1422</v>
      </c>
      <c r="M133" s="49">
        <v>4</v>
      </c>
      <c r="N133" s="37" t="s">
        <v>1548</v>
      </c>
      <c r="O133" s="37"/>
      <c r="P133" s="36">
        <v>1</v>
      </c>
      <c r="Q133" s="36" t="s">
        <v>1933</v>
      </c>
      <c r="R133" s="36" t="s">
        <v>2028</v>
      </c>
      <c r="S133" s="36" t="s">
        <v>1880</v>
      </c>
      <c r="T133" s="36" t="s">
        <v>1883</v>
      </c>
      <c r="U133" s="38">
        <v>45562</v>
      </c>
      <c r="V133" s="39">
        <v>664270</v>
      </c>
      <c r="W133" s="39" t="s">
        <v>2363</v>
      </c>
      <c r="X133" s="39" t="s">
        <v>2363</v>
      </c>
      <c r="Y133" s="40">
        <f t="shared" si="28"/>
        <v>33213.5</v>
      </c>
      <c r="Z133" s="40">
        <f t="shared" si="29"/>
        <v>697483.5</v>
      </c>
      <c r="AA133" s="41" t="str">
        <f t="shared" si="30"/>
        <v>0.0018</v>
      </c>
      <c r="AB133" s="41">
        <f t="shared" si="31"/>
        <v>0</v>
      </c>
      <c r="AC133" s="41">
        <f t="shared" si="32"/>
        <v>0</v>
      </c>
      <c r="AD133" s="41">
        <f t="shared" si="33"/>
        <v>0</v>
      </c>
      <c r="AE133" s="41">
        <f t="shared" si="34"/>
        <v>0</v>
      </c>
      <c r="AF133" s="41">
        <f t="shared" si="35"/>
        <v>0</v>
      </c>
      <c r="AG133" s="41">
        <f t="shared" si="36"/>
        <v>0</v>
      </c>
      <c r="AH133" s="41">
        <f t="shared" si="37"/>
        <v>0</v>
      </c>
      <c r="AI133" s="41">
        <f t="shared" si="38"/>
        <v>95</v>
      </c>
      <c r="AJ133" s="41">
        <f t="shared" si="39"/>
        <v>365</v>
      </c>
      <c r="AK133" s="41">
        <f t="shared" si="40"/>
        <v>181</v>
      </c>
      <c r="AL133" s="42">
        <f t="shared" si="41"/>
        <v>3.2758520547945205</v>
      </c>
      <c r="AM133" s="42">
        <f t="shared" si="42"/>
        <v>592.92922191780815</v>
      </c>
      <c r="AN133" s="43">
        <f t="shared" si="27"/>
        <v>597843</v>
      </c>
      <c r="AO133" s="43"/>
      <c r="AP133" s="42">
        <f t="shared" si="43"/>
        <v>99640.5</v>
      </c>
      <c r="AQ133" s="43">
        <v>5</v>
      </c>
      <c r="AR133" s="44">
        <f t="shared" si="44"/>
        <v>0.8571428571428571</v>
      </c>
      <c r="AS133" s="45">
        <f t="shared" si="45"/>
        <v>1771.3866666666668</v>
      </c>
      <c r="AU133" s="1">
        <v>498202.5</v>
      </c>
      <c r="AV133" s="50">
        <v>99640.5</v>
      </c>
    </row>
    <row r="134" spans="1:48" s="1" customFormat="1" ht="37.200000000000003" thickTop="1" thickBot="1" x14ac:dyDescent="0.55000000000000004">
      <c r="A134" s="33">
        <v>127</v>
      </c>
      <c r="B134" s="34" t="s">
        <v>181</v>
      </c>
      <c r="C134" s="34" t="s">
        <v>965</v>
      </c>
      <c r="D134" s="35" t="s">
        <v>636</v>
      </c>
      <c r="E134" s="35" t="s">
        <v>966</v>
      </c>
      <c r="F134" s="36" t="s">
        <v>1091</v>
      </c>
      <c r="G134" s="36" t="s">
        <v>1420</v>
      </c>
      <c r="H134" s="36" t="s">
        <v>1421</v>
      </c>
      <c r="I134" s="36" t="s">
        <v>1421</v>
      </c>
      <c r="J134" s="36" t="s">
        <v>1421</v>
      </c>
      <c r="K134" s="36">
        <v>350</v>
      </c>
      <c r="L134" s="36" t="s">
        <v>1422</v>
      </c>
      <c r="M134" s="49">
        <v>4</v>
      </c>
      <c r="N134" s="37" t="s">
        <v>1549</v>
      </c>
      <c r="O134" s="37"/>
      <c r="P134" s="36">
        <v>1</v>
      </c>
      <c r="Q134" s="36" t="s">
        <v>1939</v>
      </c>
      <c r="R134" s="36" t="s">
        <v>2029</v>
      </c>
      <c r="S134" s="36" t="s">
        <v>1880</v>
      </c>
      <c r="T134" s="36" t="s">
        <v>1881</v>
      </c>
      <c r="U134" s="38">
        <v>45563</v>
      </c>
      <c r="V134" s="39">
        <v>670474</v>
      </c>
      <c r="W134" s="39" t="s">
        <v>2363</v>
      </c>
      <c r="X134" s="39" t="s">
        <v>2363</v>
      </c>
      <c r="Y134" s="40">
        <f t="shared" si="28"/>
        <v>33523.699999999997</v>
      </c>
      <c r="Z134" s="40">
        <f t="shared" si="29"/>
        <v>703997.7</v>
      </c>
      <c r="AA134" s="41" t="str">
        <f t="shared" si="30"/>
        <v>0.0018</v>
      </c>
      <c r="AB134" s="41">
        <f t="shared" si="31"/>
        <v>0</v>
      </c>
      <c r="AC134" s="41">
        <f t="shared" si="32"/>
        <v>0</v>
      </c>
      <c r="AD134" s="41">
        <f t="shared" si="33"/>
        <v>0</v>
      </c>
      <c r="AE134" s="41">
        <f t="shared" si="34"/>
        <v>0</v>
      </c>
      <c r="AF134" s="41">
        <f t="shared" si="35"/>
        <v>0</v>
      </c>
      <c r="AG134" s="41">
        <f t="shared" si="36"/>
        <v>0</v>
      </c>
      <c r="AH134" s="41">
        <f t="shared" si="37"/>
        <v>0</v>
      </c>
      <c r="AI134" s="41">
        <f t="shared" si="38"/>
        <v>94</v>
      </c>
      <c r="AJ134" s="41">
        <f t="shared" si="39"/>
        <v>365</v>
      </c>
      <c r="AK134" s="41">
        <f t="shared" si="40"/>
        <v>181</v>
      </c>
      <c r="AL134" s="42">
        <f t="shared" si="41"/>
        <v>3.3064471232876711</v>
      </c>
      <c r="AM134" s="42">
        <f t="shared" si="42"/>
        <v>598.46692931506846</v>
      </c>
      <c r="AN134" s="43">
        <f t="shared" si="27"/>
        <v>737521.39999999991</v>
      </c>
      <c r="AO134" s="43"/>
      <c r="AP134" s="42">
        <f t="shared" si="43"/>
        <v>-33523.699999999953</v>
      </c>
      <c r="AQ134" s="43">
        <v>6</v>
      </c>
      <c r="AR134" s="44">
        <f t="shared" si="44"/>
        <v>1.0476190476190474</v>
      </c>
      <c r="AS134" s="45">
        <f t="shared" si="45"/>
        <v>1915.64</v>
      </c>
      <c r="AU134" s="1">
        <v>636950.29999999993</v>
      </c>
      <c r="AV134" s="50">
        <v>100571.1</v>
      </c>
    </row>
    <row r="135" spans="1:48" s="1" customFormat="1" ht="37.200000000000003" thickTop="1" thickBot="1" x14ac:dyDescent="0.55000000000000004">
      <c r="A135" s="33">
        <v>128</v>
      </c>
      <c r="B135" s="34" t="s">
        <v>182</v>
      </c>
      <c r="C135" s="34" t="s">
        <v>965</v>
      </c>
      <c r="D135" s="35" t="s">
        <v>637</v>
      </c>
      <c r="E135" s="35" t="s">
        <v>966</v>
      </c>
      <c r="F135" s="36" t="s">
        <v>1092</v>
      </c>
      <c r="G135" s="36" t="s">
        <v>1420</v>
      </c>
      <c r="H135" s="36" t="s">
        <v>1421</v>
      </c>
      <c r="I135" s="36" t="s">
        <v>1421</v>
      </c>
      <c r="J135" s="36" t="s">
        <v>1421</v>
      </c>
      <c r="K135" s="36">
        <v>358.7</v>
      </c>
      <c r="L135" s="36" t="s">
        <v>1422</v>
      </c>
      <c r="M135" s="49">
        <v>4</v>
      </c>
      <c r="N135" s="37" t="s">
        <v>1550</v>
      </c>
      <c r="O135" s="37"/>
      <c r="P135" s="36">
        <v>1</v>
      </c>
      <c r="Q135" s="36" t="s">
        <v>1943</v>
      </c>
      <c r="R135" s="36" t="s">
        <v>2030</v>
      </c>
      <c r="S135" s="36" t="s">
        <v>1880</v>
      </c>
      <c r="T135" s="36" t="s">
        <v>1881</v>
      </c>
      <c r="U135" s="38">
        <v>45563</v>
      </c>
      <c r="V135" s="39">
        <v>677822</v>
      </c>
      <c r="W135" s="39" t="s">
        <v>2363</v>
      </c>
      <c r="X135" s="39" t="s">
        <v>2363</v>
      </c>
      <c r="Y135" s="40">
        <f t="shared" si="28"/>
        <v>33891.1</v>
      </c>
      <c r="Z135" s="40">
        <f t="shared" si="29"/>
        <v>711713.1</v>
      </c>
      <c r="AA135" s="41" t="str">
        <f t="shared" si="30"/>
        <v>0.0018</v>
      </c>
      <c r="AB135" s="41">
        <f t="shared" si="31"/>
        <v>0</v>
      </c>
      <c r="AC135" s="41">
        <f t="shared" si="32"/>
        <v>0</v>
      </c>
      <c r="AD135" s="41">
        <f t="shared" si="33"/>
        <v>0</v>
      </c>
      <c r="AE135" s="41">
        <f t="shared" si="34"/>
        <v>0</v>
      </c>
      <c r="AF135" s="41">
        <f t="shared" si="35"/>
        <v>0</v>
      </c>
      <c r="AG135" s="41">
        <f t="shared" si="36"/>
        <v>0</v>
      </c>
      <c r="AH135" s="41">
        <f t="shared" si="37"/>
        <v>0</v>
      </c>
      <c r="AI135" s="41">
        <f t="shared" si="38"/>
        <v>94</v>
      </c>
      <c r="AJ135" s="41">
        <f t="shared" si="39"/>
        <v>365</v>
      </c>
      <c r="AK135" s="41">
        <f t="shared" si="40"/>
        <v>181</v>
      </c>
      <c r="AL135" s="42">
        <f t="shared" si="41"/>
        <v>3.3426838356164383</v>
      </c>
      <c r="AM135" s="42">
        <f t="shared" si="42"/>
        <v>605.02577424657534</v>
      </c>
      <c r="AN135" s="43">
        <f t="shared" si="27"/>
        <v>643930.9</v>
      </c>
      <c r="AO135" s="43"/>
      <c r="AP135" s="42">
        <f t="shared" si="43"/>
        <v>67782.199999999953</v>
      </c>
      <c r="AQ135" s="43">
        <v>6</v>
      </c>
      <c r="AR135" s="44">
        <f t="shared" si="44"/>
        <v>0.90476190476190488</v>
      </c>
      <c r="AS135" s="45">
        <f t="shared" si="45"/>
        <v>1889.662670755506</v>
      </c>
      <c r="AU135" s="1">
        <v>610039.80000000005</v>
      </c>
      <c r="AV135" s="50">
        <v>33891.1</v>
      </c>
    </row>
    <row r="136" spans="1:48" s="1" customFormat="1" ht="37.200000000000003" thickTop="1" thickBot="1" x14ac:dyDescent="0.55000000000000004">
      <c r="A136" s="33">
        <v>129</v>
      </c>
      <c r="B136" s="34" t="s">
        <v>183</v>
      </c>
      <c r="C136" s="34" t="s">
        <v>965</v>
      </c>
      <c r="D136" s="35" t="s">
        <v>638</v>
      </c>
      <c r="E136" s="35" t="s">
        <v>966</v>
      </c>
      <c r="F136" s="36" t="s">
        <v>1093</v>
      </c>
      <c r="G136" s="36" t="s">
        <v>1420</v>
      </c>
      <c r="H136" s="36" t="s">
        <v>1421</v>
      </c>
      <c r="I136" s="36" t="s">
        <v>1421</v>
      </c>
      <c r="J136" s="36" t="s">
        <v>1421</v>
      </c>
      <c r="K136" s="36">
        <v>350</v>
      </c>
      <c r="L136" s="36" t="s">
        <v>1422</v>
      </c>
      <c r="M136" s="49">
        <v>4</v>
      </c>
      <c r="N136" s="37" t="s">
        <v>1551</v>
      </c>
      <c r="O136" s="37"/>
      <c r="P136" s="36">
        <v>1</v>
      </c>
      <c r="Q136" s="36" t="s">
        <v>1941</v>
      </c>
      <c r="R136" s="36" t="s">
        <v>2031</v>
      </c>
      <c r="S136" s="36" t="s">
        <v>1880</v>
      </c>
      <c r="T136" s="36" t="s">
        <v>1883</v>
      </c>
      <c r="U136" s="38">
        <v>45563</v>
      </c>
      <c r="V136" s="39">
        <v>670476</v>
      </c>
      <c r="W136" s="39" t="s">
        <v>2363</v>
      </c>
      <c r="X136" s="39" t="s">
        <v>2363</v>
      </c>
      <c r="Y136" s="40">
        <f t="shared" si="28"/>
        <v>33523.800000000003</v>
      </c>
      <c r="Z136" s="40">
        <f t="shared" si="29"/>
        <v>703999.8</v>
      </c>
      <c r="AA136" s="41" t="str">
        <f t="shared" si="30"/>
        <v>0.0018</v>
      </c>
      <c r="AB136" s="41">
        <f t="shared" si="31"/>
        <v>0</v>
      </c>
      <c r="AC136" s="41">
        <f t="shared" si="32"/>
        <v>0</v>
      </c>
      <c r="AD136" s="41">
        <f t="shared" si="33"/>
        <v>0</v>
      </c>
      <c r="AE136" s="41">
        <f t="shared" si="34"/>
        <v>0</v>
      </c>
      <c r="AF136" s="41">
        <f t="shared" si="35"/>
        <v>0</v>
      </c>
      <c r="AG136" s="41">
        <f t="shared" si="36"/>
        <v>0</v>
      </c>
      <c r="AH136" s="41">
        <f t="shared" si="37"/>
        <v>0</v>
      </c>
      <c r="AI136" s="41">
        <f t="shared" si="38"/>
        <v>94</v>
      </c>
      <c r="AJ136" s="41">
        <f t="shared" si="39"/>
        <v>365</v>
      </c>
      <c r="AK136" s="41">
        <f t="shared" si="40"/>
        <v>181</v>
      </c>
      <c r="AL136" s="42">
        <f t="shared" si="41"/>
        <v>3.3064569863013697</v>
      </c>
      <c r="AM136" s="42">
        <f t="shared" si="42"/>
        <v>598.46871452054791</v>
      </c>
      <c r="AN136" s="43">
        <f t="shared" ref="AN136:AN199" si="46">AV136+AU136</f>
        <v>603428.4</v>
      </c>
      <c r="AO136" s="43"/>
      <c r="AP136" s="42">
        <f t="shared" si="43"/>
        <v>100571.40000000002</v>
      </c>
      <c r="AQ136" s="43">
        <v>5</v>
      </c>
      <c r="AR136" s="44">
        <f t="shared" si="44"/>
        <v>0.8571428571428571</v>
      </c>
      <c r="AS136" s="45">
        <f t="shared" si="45"/>
        <v>1915.6457142857143</v>
      </c>
      <c r="AU136" s="1">
        <v>402285.60000000003</v>
      </c>
      <c r="AV136" s="50">
        <v>201142.8</v>
      </c>
    </row>
    <row r="137" spans="1:48" s="1" customFormat="1" ht="37.200000000000003" thickTop="1" thickBot="1" x14ac:dyDescent="0.55000000000000004">
      <c r="A137" s="33">
        <v>130</v>
      </c>
      <c r="B137" s="34" t="s">
        <v>184</v>
      </c>
      <c r="C137" s="34" t="s">
        <v>965</v>
      </c>
      <c r="D137" s="35" t="s">
        <v>639</v>
      </c>
      <c r="E137" s="35" t="s">
        <v>966</v>
      </c>
      <c r="F137" s="36" t="s">
        <v>1094</v>
      </c>
      <c r="G137" s="36" t="s">
        <v>1420</v>
      </c>
      <c r="H137" s="36" t="s">
        <v>1421</v>
      </c>
      <c r="I137" s="36" t="s">
        <v>1421</v>
      </c>
      <c r="J137" s="36" t="s">
        <v>1421</v>
      </c>
      <c r="K137" s="36">
        <v>400</v>
      </c>
      <c r="L137" s="36" t="s">
        <v>1422</v>
      </c>
      <c r="M137" s="49">
        <v>4</v>
      </c>
      <c r="N137" s="37" t="s">
        <v>1552</v>
      </c>
      <c r="O137" s="37"/>
      <c r="P137" s="36">
        <v>1</v>
      </c>
      <c r="Q137" s="36" t="s">
        <v>2032</v>
      </c>
      <c r="R137" s="36" t="s">
        <v>2033</v>
      </c>
      <c r="S137" s="36" t="s">
        <v>1880</v>
      </c>
      <c r="T137" s="36" t="s">
        <v>1991</v>
      </c>
      <c r="U137" s="38">
        <v>45563</v>
      </c>
      <c r="V137" s="39">
        <v>731394</v>
      </c>
      <c r="W137" s="39" t="s">
        <v>2363</v>
      </c>
      <c r="X137" s="39" t="s">
        <v>2363</v>
      </c>
      <c r="Y137" s="40">
        <f t="shared" si="28"/>
        <v>36569.699999999997</v>
      </c>
      <c r="Z137" s="40">
        <f t="shared" si="29"/>
        <v>767963.7</v>
      </c>
      <c r="AA137" s="41" t="str">
        <f t="shared" si="30"/>
        <v>0.0022</v>
      </c>
      <c r="AB137" s="41">
        <f t="shared" si="31"/>
        <v>0</v>
      </c>
      <c r="AC137" s="41">
        <f t="shared" si="32"/>
        <v>0</v>
      </c>
      <c r="AD137" s="41">
        <f t="shared" si="33"/>
        <v>0</v>
      </c>
      <c r="AE137" s="41">
        <f t="shared" si="34"/>
        <v>0</v>
      </c>
      <c r="AF137" s="41">
        <f t="shared" si="35"/>
        <v>0</v>
      </c>
      <c r="AG137" s="41">
        <f t="shared" si="36"/>
        <v>0</v>
      </c>
      <c r="AH137" s="41">
        <f t="shared" si="37"/>
        <v>0</v>
      </c>
      <c r="AI137" s="41">
        <f t="shared" si="38"/>
        <v>94</v>
      </c>
      <c r="AJ137" s="41">
        <f t="shared" si="39"/>
        <v>365</v>
      </c>
      <c r="AK137" s="41">
        <f t="shared" si="40"/>
        <v>181</v>
      </c>
      <c r="AL137" s="42">
        <f t="shared" si="41"/>
        <v>4.408402191780822</v>
      </c>
      <c r="AM137" s="42">
        <f t="shared" si="42"/>
        <v>797.92079671232875</v>
      </c>
      <c r="AN137" s="43">
        <f t="shared" si="46"/>
        <v>694824.29999999993</v>
      </c>
      <c r="AO137" s="43"/>
      <c r="AP137" s="42">
        <f t="shared" si="43"/>
        <v>73139.400000000023</v>
      </c>
      <c r="AQ137" s="43">
        <v>6</v>
      </c>
      <c r="AR137" s="44">
        <f t="shared" si="44"/>
        <v>0.90476190476190477</v>
      </c>
      <c r="AS137" s="45">
        <f t="shared" si="45"/>
        <v>1828.4849999999999</v>
      </c>
      <c r="AU137" s="1">
        <v>658254.6</v>
      </c>
      <c r="AV137" s="50">
        <v>36569.699999999997</v>
      </c>
    </row>
    <row r="138" spans="1:48" s="1" customFormat="1" ht="37.200000000000003" thickTop="1" thickBot="1" x14ac:dyDescent="0.55000000000000004">
      <c r="A138" s="33">
        <v>131</v>
      </c>
      <c r="B138" s="34" t="s">
        <v>185</v>
      </c>
      <c r="C138" s="34" t="s">
        <v>965</v>
      </c>
      <c r="D138" s="35" t="s">
        <v>640</v>
      </c>
      <c r="E138" s="35" t="s">
        <v>966</v>
      </c>
      <c r="F138" s="36" t="s">
        <v>1095</v>
      </c>
      <c r="G138" s="36" t="s">
        <v>1420</v>
      </c>
      <c r="H138" s="36" t="s">
        <v>1421</v>
      </c>
      <c r="I138" s="36" t="s">
        <v>1421</v>
      </c>
      <c r="J138" s="36" t="s">
        <v>1421</v>
      </c>
      <c r="K138" s="36">
        <v>375</v>
      </c>
      <c r="L138" s="36" t="s">
        <v>1422</v>
      </c>
      <c r="M138" s="49">
        <v>4</v>
      </c>
      <c r="N138" s="37" t="s">
        <v>1553</v>
      </c>
      <c r="O138" s="37"/>
      <c r="P138" s="36">
        <v>1</v>
      </c>
      <c r="Q138" s="36" t="s">
        <v>1933</v>
      </c>
      <c r="R138" s="36" t="s">
        <v>2034</v>
      </c>
      <c r="S138" s="36" t="s">
        <v>1880</v>
      </c>
      <c r="T138" s="36" t="s">
        <v>1881</v>
      </c>
      <c r="U138" s="38">
        <v>45563</v>
      </c>
      <c r="V138" s="39">
        <v>781918</v>
      </c>
      <c r="W138" s="39" t="s">
        <v>2363</v>
      </c>
      <c r="X138" s="39" t="s">
        <v>2363</v>
      </c>
      <c r="Y138" s="40">
        <f t="shared" si="28"/>
        <v>39095.9</v>
      </c>
      <c r="Z138" s="40">
        <f t="shared" si="29"/>
        <v>821013.9</v>
      </c>
      <c r="AA138" s="41" t="str">
        <f t="shared" si="30"/>
        <v>0.0022</v>
      </c>
      <c r="AB138" s="41">
        <f t="shared" si="31"/>
        <v>0</v>
      </c>
      <c r="AC138" s="41">
        <f t="shared" si="32"/>
        <v>0</v>
      </c>
      <c r="AD138" s="41">
        <f t="shared" si="33"/>
        <v>0</v>
      </c>
      <c r="AE138" s="41">
        <f t="shared" si="34"/>
        <v>0</v>
      </c>
      <c r="AF138" s="41">
        <f t="shared" si="35"/>
        <v>0</v>
      </c>
      <c r="AG138" s="41">
        <f t="shared" si="36"/>
        <v>0</v>
      </c>
      <c r="AH138" s="41">
        <f t="shared" si="37"/>
        <v>0</v>
      </c>
      <c r="AI138" s="41">
        <f t="shared" si="38"/>
        <v>94</v>
      </c>
      <c r="AJ138" s="41">
        <f t="shared" si="39"/>
        <v>365</v>
      </c>
      <c r="AK138" s="41">
        <f t="shared" si="40"/>
        <v>181</v>
      </c>
      <c r="AL138" s="42">
        <f t="shared" si="41"/>
        <v>4.7129304109589043</v>
      </c>
      <c r="AM138" s="42">
        <f t="shared" si="42"/>
        <v>853.04040438356174</v>
      </c>
      <c r="AN138" s="43">
        <f t="shared" si="46"/>
        <v>703726.20000000007</v>
      </c>
      <c r="AO138" s="43"/>
      <c r="AP138" s="42">
        <f t="shared" si="43"/>
        <v>117287.69999999995</v>
      </c>
      <c r="AQ138" s="43">
        <v>5</v>
      </c>
      <c r="AR138" s="44">
        <f t="shared" si="44"/>
        <v>0.85714285714285721</v>
      </c>
      <c r="AS138" s="45">
        <f t="shared" si="45"/>
        <v>2085.1146666666668</v>
      </c>
      <c r="AU138" s="1">
        <v>469150.80000000005</v>
      </c>
      <c r="AV138" s="50">
        <v>234575.4</v>
      </c>
    </row>
    <row r="139" spans="1:48" s="1" customFormat="1" ht="37.200000000000003" thickTop="1" thickBot="1" x14ac:dyDescent="0.55000000000000004">
      <c r="A139" s="33">
        <v>132</v>
      </c>
      <c r="B139" s="34" t="s">
        <v>186</v>
      </c>
      <c r="C139" s="34" t="s">
        <v>965</v>
      </c>
      <c r="D139" s="35" t="s">
        <v>641</v>
      </c>
      <c r="E139" s="35" t="s">
        <v>966</v>
      </c>
      <c r="F139" s="36" t="s">
        <v>1096</v>
      </c>
      <c r="G139" s="36" t="s">
        <v>1420</v>
      </c>
      <c r="H139" s="36" t="s">
        <v>1421</v>
      </c>
      <c r="I139" s="36" t="s">
        <v>1421</v>
      </c>
      <c r="J139" s="36" t="s">
        <v>1421</v>
      </c>
      <c r="K139" s="36">
        <v>375</v>
      </c>
      <c r="L139" s="36" t="s">
        <v>1422</v>
      </c>
      <c r="M139" s="49">
        <v>4</v>
      </c>
      <c r="N139" s="37" t="s">
        <v>1554</v>
      </c>
      <c r="O139" s="37"/>
      <c r="P139" s="36">
        <v>1</v>
      </c>
      <c r="Q139" s="36" t="s">
        <v>1962</v>
      </c>
      <c r="R139" s="36" t="s">
        <v>2035</v>
      </c>
      <c r="S139" s="36" t="s">
        <v>1880</v>
      </c>
      <c r="T139" s="36" t="s">
        <v>1881</v>
      </c>
      <c r="U139" s="38">
        <v>45563</v>
      </c>
      <c r="V139" s="39">
        <v>737476</v>
      </c>
      <c r="W139" s="39" t="s">
        <v>2363</v>
      </c>
      <c r="X139" s="39" t="s">
        <v>2363</v>
      </c>
      <c r="Y139" s="40">
        <f t="shared" si="28"/>
        <v>36873.800000000003</v>
      </c>
      <c r="Z139" s="40">
        <f t="shared" si="29"/>
        <v>774349.8</v>
      </c>
      <c r="AA139" s="41" t="str">
        <f t="shared" si="30"/>
        <v>0.0022</v>
      </c>
      <c r="AB139" s="41">
        <f t="shared" si="31"/>
        <v>0</v>
      </c>
      <c r="AC139" s="41">
        <f t="shared" si="32"/>
        <v>0</v>
      </c>
      <c r="AD139" s="41">
        <f t="shared" si="33"/>
        <v>0</v>
      </c>
      <c r="AE139" s="41">
        <f t="shared" si="34"/>
        <v>0</v>
      </c>
      <c r="AF139" s="41">
        <f t="shared" si="35"/>
        <v>0</v>
      </c>
      <c r="AG139" s="41">
        <f t="shared" si="36"/>
        <v>0</v>
      </c>
      <c r="AH139" s="41">
        <f t="shared" si="37"/>
        <v>0</v>
      </c>
      <c r="AI139" s="41">
        <f t="shared" si="38"/>
        <v>94</v>
      </c>
      <c r="AJ139" s="41">
        <f t="shared" si="39"/>
        <v>365</v>
      </c>
      <c r="AK139" s="41">
        <f t="shared" si="40"/>
        <v>181</v>
      </c>
      <c r="AL139" s="42">
        <f t="shared" si="41"/>
        <v>4.4450608219178083</v>
      </c>
      <c r="AM139" s="42">
        <f t="shared" si="42"/>
        <v>804.55600876712333</v>
      </c>
      <c r="AN139" s="43">
        <f t="shared" si="46"/>
        <v>700602.20000000007</v>
      </c>
      <c r="AO139" s="43"/>
      <c r="AP139" s="42">
        <f t="shared" si="43"/>
        <v>73747.599999999977</v>
      </c>
      <c r="AQ139" s="43">
        <v>6</v>
      </c>
      <c r="AR139" s="44">
        <f t="shared" si="44"/>
        <v>0.90476190476190477</v>
      </c>
      <c r="AS139" s="45">
        <f t="shared" si="45"/>
        <v>1966.6026666666667</v>
      </c>
      <c r="AU139" s="1">
        <v>663728.4</v>
      </c>
      <c r="AV139" s="50">
        <v>36873.800000000003</v>
      </c>
    </row>
    <row r="140" spans="1:48" s="1" customFormat="1" ht="37.200000000000003" thickTop="1" thickBot="1" x14ac:dyDescent="0.55000000000000004">
      <c r="A140" s="33">
        <v>133</v>
      </c>
      <c r="B140" s="34" t="s">
        <v>187</v>
      </c>
      <c r="C140" s="34" t="s">
        <v>965</v>
      </c>
      <c r="D140" s="35" t="s">
        <v>642</v>
      </c>
      <c r="E140" s="35" t="s">
        <v>966</v>
      </c>
      <c r="F140" s="36" t="s">
        <v>1097</v>
      </c>
      <c r="G140" s="36" t="s">
        <v>1420</v>
      </c>
      <c r="H140" s="36" t="s">
        <v>1421</v>
      </c>
      <c r="I140" s="36" t="s">
        <v>1421</v>
      </c>
      <c r="J140" s="36" t="s">
        <v>1421</v>
      </c>
      <c r="K140" s="36">
        <v>365.65</v>
      </c>
      <c r="L140" s="36" t="s">
        <v>1422</v>
      </c>
      <c r="M140" s="49">
        <v>4</v>
      </c>
      <c r="N140" s="37" t="s">
        <v>1555</v>
      </c>
      <c r="O140" s="37"/>
      <c r="P140" s="36">
        <v>1</v>
      </c>
      <c r="Q140" s="36" t="s">
        <v>1915</v>
      </c>
      <c r="R140" s="36" t="s">
        <v>2036</v>
      </c>
      <c r="S140" s="36" t="s">
        <v>1880</v>
      </c>
      <c r="T140" s="36" t="s">
        <v>1881</v>
      </c>
      <c r="U140" s="38">
        <v>45564</v>
      </c>
      <c r="V140" s="39">
        <v>767738</v>
      </c>
      <c r="W140" s="39" t="s">
        <v>2363</v>
      </c>
      <c r="X140" s="39" t="s">
        <v>2363</v>
      </c>
      <c r="Y140" s="40">
        <f t="shared" si="28"/>
        <v>38386.9</v>
      </c>
      <c r="Z140" s="40">
        <f t="shared" si="29"/>
        <v>806124.9</v>
      </c>
      <c r="AA140" s="41" t="str">
        <f t="shared" si="30"/>
        <v>0.0022</v>
      </c>
      <c r="AB140" s="41">
        <f t="shared" si="31"/>
        <v>0</v>
      </c>
      <c r="AC140" s="41">
        <f t="shared" si="32"/>
        <v>0</v>
      </c>
      <c r="AD140" s="41">
        <f t="shared" si="33"/>
        <v>0</v>
      </c>
      <c r="AE140" s="41">
        <f t="shared" si="34"/>
        <v>0</v>
      </c>
      <c r="AF140" s="41">
        <f t="shared" si="35"/>
        <v>0</v>
      </c>
      <c r="AG140" s="41">
        <f t="shared" si="36"/>
        <v>0</v>
      </c>
      <c r="AH140" s="41">
        <f t="shared" si="37"/>
        <v>0</v>
      </c>
      <c r="AI140" s="41">
        <f t="shared" si="38"/>
        <v>93</v>
      </c>
      <c r="AJ140" s="41">
        <f t="shared" si="39"/>
        <v>365</v>
      </c>
      <c r="AK140" s="41">
        <f t="shared" si="40"/>
        <v>181</v>
      </c>
      <c r="AL140" s="42">
        <f t="shared" si="41"/>
        <v>4.6274619178082199</v>
      </c>
      <c r="AM140" s="42">
        <f t="shared" si="42"/>
        <v>837.5706071232878</v>
      </c>
      <c r="AN140" s="43">
        <f t="shared" si="46"/>
        <v>729351.1</v>
      </c>
      <c r="AO140" s="43"/>
      <c r="AP140" s="42">
        <f t="shared" si="43"/>
        <v>76773.800000000047</v>
      </c>
      <c r="AQ140" s="43">
        <v>6</v>
      </c>
      <c r="AR140" s="44">
        <f t="shared" si="44"/>
        <v>0.90476190476190466</v>
      </c>
      <c r="AS140" s="45">
        <f t="shared" si="45"/>
        <v>2099.6526733214823</v>
      </c>
      <c r="AU140" s="1">
        <v>690964.2</v>
      </c>
      <c r="AV140" s="50">
        <v>38386.9</v>
      </c>
    </row>
    <row r="141" spans="1:48" s="1" customFormat="1" ht="37.200000000000003" thickTop="1" thickBot="1" x14ac:dyDescent="0.55000000000000004">
      <c r="A141" s="33">
        <v>134</v>
      </c>
      <c r="B141" s="34" t="s">
        <v>188</v>
      </c>
      <c r="C141" s="34" t="s">
        <v>965</v>
      </c>
      <c r="D141" s="35" t="s">
        <v>643</v>
      </c>
      <c r="E141" s="35" t="s">
        <v>966</v>
      </c>
      <c r="F141" s="36" t="s">
        <v>1098</v>
      </c>
      <c r="G141" s="36" t="s">
        <v>1420</v>
      </c>
      <c r="H141" s="36" t="s">
        <v>1421</v>
      </c>
      <c r="I141" s="36" t="s">
        <v>1421</v>
      </c>
      <c r="J141" s="36" t="s">
        <v>1421</v>
      </c>
      <c r="K141" s="36">
        <v>350</v>
      </c>
      <c r="L141" s="36" t="s">
        <v>1422</v>
      </c>
      <c r="M141" s="49">
        <v>4</v>
      </c>
      <c r="N141" s="37" t="s">
        <v>1556</v>
      </c>
      <c r="O141" s="37"/>
      <c r="P141" s="36">
        <v>1</v>
      </c>
      <c r="Q141" s="36" t="s">
        <v>1995</v>
      </c>
      <c r="R141" s="36" t="s">
        <v>2037</v>
      </c>
      <c r="S141" s="36" t="s">
        <v>1880</v>
      </c>
      <c r="T141" s="36" t="s">
        <v>1881</v>
      </c>
      <c r="U141" s="38">
        <v>45567</v>
      </c>
      <c r="V141" s="39">
        <v>673474</v>
      </c>
      <c r="W141" s="39" t="s">
        <v>2363</v>
      </c>
      <c r="X141" s="39" t="s">
        <v>2363</v>
      </c>
      <c r="Y141" s="40">
        <f t="shared" ref="Y141:Y204" si="47">V141*5/100</f>
        <v>33673.699999999997</v>
      </c>
      <c r="Z141" s="40">
        <f t="shared" ref="Z141:Z204" si="48">V141+Y141</f>
        <v>707147.7</v>
      </c>
      <c r="AA141" s="41" t="str">
        <f t="shared" ref="AA141:AA204" si="49">IF(V141&lt;=500000,"0.0012",IF(AND(V141&gt;500000,V141&lt;=699999),"0.0018",IF(AND(V141&gt;=700000,V141&lt;=999999),"0.0022",IF(AND(V141&gt;=1000000,V141&lt;1500000),"0.0026","0.003"))))</f>
        <v>0.0018</v>
      </c>
      <c r="AB141" s="41">
        <f t="shared" ref="AB141:AB204" si="50">+IF($AB$7&gt;U141,$AB$7-U141,0)</f>
        <v>0</v>
      </c>
      <c r="AC141" s="41">
        <f t="shared" ref="AC141:AC204" si="51">+IF($AC$7&gt;U141,$AC$7-U141-AB141,0)</f>
        <v>0</v>
      </c>
      <c r="AD141" s="41">
        <f t="shared" ref="AD141:AD204" si="52">+IF($AD$7&gt;U141,$AD$7-U141-AB141-AC141,0)</f>
        <v>0</v>
      </c>
      <c r="AE141" s="41">
        <f t="shared" ref="AE141:AE204" si="53">+IF($AE$7&gt;U141,$AE$7-U141-AB141-AD141-AC141,0)</f>
        <v>0</v>
      </c>
      <c r="AF141" s="41">
        <f t="shared" ref="AF141:AF204" si="54">+IF($AF$7&gt;U141,$AF$7-U141-AB141-AC141-AD141-AE141,0)</f>
        <v>0</v>
      </c>
      <c r="AG141" s="41">
        <f t="shared" ref="AG141:AG204" si="55">+IF($AG$7&gt;U141,$AG$7-U141-AB141-AC141-AD141-AE141-AF141,0)</f>
        <v>0</v>
      </c>
      <c r="AH141" s="41">
        <f t="shared" ref="AH141:AH204" si="56">+IF($AH$7&gt;U141,$AH$7-U141-AB141-AC141-AD141-AE141-AF141-AG141,0)</f>
        <v>0</v>
      </c>
      <c r="AI141" s="41">
        <f t="shared" ref="AI141:AI204" si="57">+IF($AI$7&gt;U141,$AI$7-U141-AB141-AC141-AD141-AE141-AF141-AG141-AH141,0)</f>
        <v>90</v>
      </c>
      <c r="AJ141" s="41">
        <f t="shared" ref="AJ141:AJ204" si="58">+IF($AJ$7&gt;U141,$AJ$7-U141-AB141-AC141-AD141-AE141-AF141-AG141-AH141-AI141,0)</f>
        <v>365</v>
      </c>
      <c r="AK141" s="41">
        <f t="shared" ref="AK141:AK204" si="59">+IF($AK$7&gt;U141,$AK$7-U141-AB141-AC141-AD141-AE141-AF141-AG141-AH141-AI141-AJ141,0)</f>
        <v>181</v>
      </c>
      <c r="AL141" s="42">
        <f t="shared" ref="AL141:AL204" si="60">IF(AK141&gt;0,+V141*AA141/365,0)</f>
        <v>3.321241643835616</v>
      </c>
      <c r="AM141" s="42">
        <f t="shared" ref="AM141:AM204" si="61">+AL141*AK141</f>
        <v>601.14473753424647</v>
      </c>
      <c r="AN141" s="43">
        <f t="shared" si="46"/>
        <v>639800.29999999993</v>
      </c>
      <c r="AO141" s="43"/>
      <c r="AP141" s="42">
        <f t="shared" ref="AP141:AP204" si="62">Z141-AN141</f>
        <v>67347.400000000023</v>
      </c>
      <c r="AQ141" s="43">
        <v>6</v>
      </c>
      <c r="AR141" s="44">
        <f t="shared" ref="AR141:AR204" si="63">AN141/Z141</f>
        <v>0.90476190476190477</v>
      </c>
      <c r="AS141" s="45">
        <f t="shared" ref="AS141:AS204" si="64">V141/K141</f>
        <v>1924.2114285714285</v>
      </c>
      <c r="AU141" s="1">
        <v>606126.6</v>
      </c>
      <c r="AV141" s="50">
        <v>33673.699999999997</v>
      </c>
    </row>
    <row r="142" spans="1:48" s="1" customFormat="1" ht="37.200000000000003" thickTop="1" thickBot="1" x14ac:dyDescent="0.55000000000000004">
      <c r="A142" s="33">
        <v>135</v>
      </c>
      <c r="B142" s="34" t="s">
        <v>189</v>
      </c>
      <c r="C142" s="34" t="s">
        <v>965</v>
      </c>
      <c r="D142" s="35" t="s">
        <v>644</v>
      </c>
      <c r="E142" s="35" t="s">
        <v>966</v>
      </c>
      <c r="F142" s="36" t="s">
        <v>1099</v>
      </c>
      <c r="G142" s="36" t="s">
        <v>1420</v>
      </c>
      <c r="H142" s="36" t="s">
        <v>1421</v>
      </c>
      <c r="I142" s="36" t="s">
        <v>1421</v>
      </c>
      <c r="J142" s="36" t="s">
        <v>1421</v>
      </c>
      <c r="K142" s="36">
        <v>350</v>
      </c>
      <c r="L142" s="36" t="s">
        <v>1422</v>
      </c>
      <c r="M142" s="49">
        <v>4</v>
      </c>
      <c r="N142" s="37" t="s">
        <v>1557</v>
      </c>
      <c r="O142" s="37"/>
      <c r="P142" s="36">
        <v>1</v>
      </c>
      <c r="Q142" s="36" t="s">
        <v>1995</v>
      </c>
      <c r="R142" s="36" t="s">
        <v>2038</v>
      </c>
      <c r="S142" s="36" t="s">
        <v>1880</v>
      </c>
      <c r="T142" s="36" t="s">
        <v>1881</v>
      </c>
      <c r="U142" s="38">
        <v>45567</v>
      </c>
      <c r="V142" s="39">
        <v>673474</v>
      </c>
      <c r="W142" s="39" t="s">
        <v>2363</v>
      </c>
      <c r="X142" s="39" t="s">
        <v>2363</v>
      </c>
      <c r="Y142" s="40">
        <f t="shared" si="47"/>
        <v>33673.699999999997</v>
      </c>
      <c r="Z142" s="40">
        <f t="shared" si="48"/>
        <v>707147.7</v>
      </c>
      <c r="AA142" s="41" t="str">
        <f t="shared" si="49"/>
        <v>0.0018</v>
      </c>
      <c r="AB142" s="41">
        <f t="shared" si="50"/>
        <v>0</v>
      </c>
      <c r="AC142" s="41">
        <f t="shared" si="51"/>
        <v>0</v>
      </c>
      <c r="AD142" s="41">
        <f t="shared" si="52"/>
        <v>0</v>
      </c>
      <c r="AE142" s="41">
        <f t="shared" si="53"/>
        <v>0</v>
      </c>
      <c r="AF142" s="41">
        <f t="shared" si="54"/>
        <v>0</v>
      </c>
      <c r="AG142" s="41">
        <f t="shared" si="55"/>
        <v>0</v>
      </c>
      <c r="AH142" s="41">
        <f t="shared" si="56"/>
        <v>0</v>
      </c>
      <c r="AI142" s="41">
        <f t="shared" si="57"/>
        <v>90</v>
      </c>
      <c r="AJ142" s="41">
        <f t="shared" si="58"/>
        <v>365</v>
      </c>
      <c r="AK142" s="41">
        <f t="shared" si="59"/>
        <v>181</v>
      </c>
      <c r="AL142" s="42">
        <f t="shared" si="60"/>
        <v>3.321241643835616</v>
      </c>
      <c r="AM142" s="42">
        <f t="shared" si="61"/>
        <v>601.14473753424647</v>
      </c>
      <c r="AN142" s="43">
        <f t="shared" si="46"/>
        <v>639800.29999999993</v>
      </c>
      <c r="AO142" s="43"/>
      <c r="AP142" s="42">
        <f t="shared" si="62"/>
        <v>67347.400000000023</v>
      </c>
      <c r="AQ142" s="43">
        <v>6</v>
      </c>
      <c r="AR142" s="44">
        <f t="shared" si="63"/>
        <v>0.90476190476190477</v>
      </c>
      <c r="AS142" s="45">
        <f t="shared" si="64"/>
        <v>1924.2114285714285</v>
      </c>
      <c r="AU142" s="1">
        <v>606126.6</v>
      </c>
      <c r="AV142" s="50">
        <v>33673.699999999997</v>
      </c>
    </row>
    <row r="143" spans="1:48" s="1" customFormat="1" ht="37.200000000000003" thickTop="1" thickBot="1" x14ac:dyDescent="0.55000000000000004">
      <c r="A143" s="33">
        <v>136</v>
      </c>
      <c r="B143" s="34" t="s">
        <v>190</v>
      </c>
      <c r="C143" s="34" t="s">
        <v>965</v>
      </c>
      <c r="D143" s="35" t="s">
        <v>645</v>
      </c>
      <c r="E143" s="35" t="s">
        <v>966</v>
      </c>
      <c r="F143" s="36" t="s">
        <v>1100</v>
      </c>
      <c r="G143" s="36" t="s">
        <v>1420</v>
      </c>
      <c r="H143" s="36" t="s">
        <v>1421</v>
      </c>
      <c r="I143" s="36" t="s">
        <v>1421</v>
      </c>
      <c r="J143" s="36" t="s">
        <v>1421</v>
      </c>
      <c r="K143" s="36">
        <v>350</v>
      </c>
      <c r="L143" s="36" t="s">
        <v>1422</v>
      </c>
      <c r="M143" s="49">
        <v>4</v>
      </c>
      <c r="N143" s="37" t="s">
        <v>1558</v>
      </c>
      <c r="O143" s="37"/>
      <c r="P143" s="36">
        <v>1</v>
      </c>
      <c r="Q143" s="36" t="s">
        <v>2039</v>
      </c>
      <c r="R143" s="36" t="s">
        <v>2040</v>
      </c>
      <c r="S143" s="36" t="s">
        <v>1880</v>
      </c>
      <c r="T143" s="36" t="s">
        <v>1991</v>
      </c>
      <c r="U143" s="38">
        <v>45567</v>
      </c>
      <c r="V143" s="39">
        <v>715976</v>
      </c>
      <c r="W143" s="39" t="s">
        <v>2363</v>
      </c>
      <c r="X143" s="39" t="s">
        <v>2363</v>
      </c>
      <c r="Y143" s="40">
        <f t="shared" si="47"/>
        <v>35798.800000000003</v>
      </c>
      <c r="Z143" s="40">
        <f t="shared" si="48"/>
        <v>751774.8</v>
      </c>
      <c r="AA143" s="41" t="str">
        <f t="shared" si="49"/>
        <v>0.0022</v>
      </c>
      <c r="AB143" s="41">
        <f t="shared" si="50"/>
        <v>0</v>
      </c>
      <c r="AC143" s="41">
        <f t="shared" si="51"/>
        <v>0</v>
      </c>
      <c r="AD143" s="41">
        <f t="shared" si="52"/>
        <v>0</v>
      </c>
      <c r="AE143" s="41">
        <f t="shared" si="53"/>
        <v>0</v>
      </c>
      <c r="AF143" s="41">
        <f t="shared" si="54"/>
        <v>0</v>
      </c>
      <c r="AG143" s="41">
        <f t="shared" si="55"/>
        <v>0</v>
      </c>
      <c r="AH143" s="41">
        <f t="shared" si="56"/>
        <v>0</v>
      </c>
      <c r="AI143" s="41">
        <f t="shared" si="57"/>
        <v>90</v>
      </c>
      <c r="AJ143" s="41">
        <f t="shared" si="58"/>
        <v>365</v>
      </c>
      <c r="AK143" s="41">
        <f t="shared" si="59"/>
        <v>181</v>
      </c>
      <c r="AL143" s="42">
        <f t="shared" si="60"/>
        <v>4.3154717808219178</v>
      </c>
      <c r="AM143" s="42">
        <f t="shared" si="61"/>
        <v>781.10039232876716</v>
      </c>
      <c r="AN143" s="43">
        <f t="shared" si="46"/>
        <v>680177</v>
      </c>
      <c r="AO143" s="43"/>
      <c r="AP143" s="42">
        <f t="shared" si="62"/>
        <v>71597.800000000047</v>
      </c>
      <c r="AQ143" s="43">
        <v>6</v>
      </c>
      <c r="AR143" s="44">
        <f t="shared" si="63"/>
        <v>0.90476163872478832</v>
      </c>
      <c r="AS143" s="45">
        <f t="shared" si="64"/>
        <v>2045.6457142857143</v>
      </c>
      <c r="AU143" s="1">
        <v>644378.19999999995</v>
      </c>
      <c r="AV143" s="50">
        <v>35798.800000000003</v>
      </c>
    </row>
    <row r="144" spans="1:48" s="1" customFormat="1" ht="37.200000000000003" thickTop="1" thickBot="1" x14ac:dyDescent="0.55000000000000004">
      <c r="A144" s="33">
        <v>137</v>
      </c>
      <c r="B144" s="34" t="s">
        <v>191</v>
      </c>
      <c r="C144" s="34" t="s">
        <v>965</v>
      </c>
      <c r="D144" s="35" t="s">
        <v>646</v>
      </c>
      <c r="E144" s="35" t="s">
        <v>966</v>
      </c>
      <c r="F144" s="36" t="s">
        <v>1101</v>
      </c>
      <c r="G144" s="36" t="s">
        <v>1420</v>
      </c>
      <c r="H144" s="36" t="s">
        <v>1421</v>
      </c>
      <c r="I144" s="36" t="s">
        <v>1421</v>
      </c>
      <c r="J144" s="36" t="s">
        <v>1421</v>
      </c>
      <c r="K144" s="36">
        <v>350</v>
      </c>
      <c r="L144" s="36" t="s">
        <v>1422</v>
      </c>
      <c r="M144" s="49">
        <v>4</v>
      </c>
      <c r="N144" s="37" t="s">
        <v>1559</v>
      </c>
      <c r="O144" s="37"/>
      <c r="P144" s="36">
        <v>1</v>
      </c>
      <c r="Q144" s="36" t="s">
        <v>1995</v>
      </c>
      <c r="R144" s="36" t="s">
        <v>2041</v>
      </c>
      <c r="S144" s="36" t="s">
        <v>1880</v>
      </c>
      <c r="T144" s="36" t="s">
        <v>1881</v>
      </c>
      <c r="U144" s="38">
        <v>45567</v>
      </c>
      <c r="V144" s="39">
        <v>711474</v>
      </c>
      <c r="W144" s="39" t="s">
        <v>2363</v>
      </c>
      <c r="X144" s="39" t="s">
        <v>2363</v>
      </c>
      <c r="Y144" s="40">
        <f t="shared" si="47"/>
        <v>35573.699999999997</v>
      </c>
      <c r="Z144" s="40">
        <f t="shared" si="48"/>
        <v>747047.7</v>
      </c>
      <c r="AA144" s="41" t="str">
        <f t="shared" si="49"/>
        <v>0.0022</v>
      </c>
      <c r="AB144" s="41">
        <f t="shared" si="50"/>
        <v>0</v>
      </c>
      <c r="AC144" s="41">
        <f t="shared" si="51"/>
        <v>0</v>
      </c>
      <c r="AD144" s="41">
        <f t="shared" si="52"/>
        <v>0</v>
      </c>
      <c r="AE144" s="41">
        <f t="shared" si="53"/>
        <v>0</v>
      </c>
      <c r="AF144" s="41">
        <f t="shared" si="54"/>
        <v>0</v>
      </c>
      <c r="AG144" s="41">
        <f t="shared" si="55"/>
        <v>0</v>
      </c>
      <c r="AH144" s="41">
        <f t="shared" si="56"/>
        <v>0</v>
      </c>
      <c r="AI144" s="41">
        <f t="shared" si="57"/>
        <v>90</v>
      </c>
      <c r="AJ144" s="41">
        <f t="shared" si="58"/>
        <v>365</v>
      </c>
      <c r="AK144" s="41">
        <f t="shared" si="59"/>
        <v>181</v>
      </c>
      <c r="AL144" s="42">
        <f t="shared" si="60"/>
        <v>4.288336438356164</v>
      </c>
      <c r="AM144" s="42">
        <f t="shared" si="61"/>
        <v>776.18889534246568</v>
      </c>
      <c r="AN144" s="43">
        <f t="shared" si="46"/>
        <v>675900.29999999993</v>
      </c>
      <c r="AO144" s="43"/>
      <c r="AP144" s="42">
        <f t="shared" si="62"/>
        <v>71147.400000000023</v>
      </c>
      <c r="AQ144" s="43">
        <v>6</v>
      </c>
      <c r="AR144" s="44">
        <f t="shared" si="63"/>
        <v>0.90476190476190477</v>
      </c>
      <c r="AS144" s="45">
        <f t="shared" si="64"/>
        <v>2032.7828571428572</v>
      </c>
      <c r="AU144" s="1">
        <v>640326.6</v>
      </c>
      <c r="AV144" s="50">
        <v>35573.699999999997</v>
      </c>
    </row>
    <row r="145" spans="1:48" s="1" customFormat="1" ht="37.200000000000003" thickTop="1" thickBot="1" x14ac:dyDescent="0.55000000000000004">
      <c r="A145" s="33">
        <v>138</v>
      </c>
      <c r="B145" s="34" t="s">
        <v>192</v>
      </c>
      <c r="C145" s="34" t="s">
        <v>965</v>
      </c>
      <c r="D145" s="35" t="s">
        <v>647</v>
      </c>
      <c r="E145" s="35" t="s">
        <v>966</v>
      </c>
      <c r="F145" s="36" t="s">
        <v>1102</v>
      </c>
      <c r="G145" s="36" t="s">
        <v>1420</v>
      </c>
      <c r="H145" s="36" t="s">
        <v>1421</v>
      </c>
      <c r="I145" s="36" t="s">
        <v>1421</v>
      </c>
      <c r="J145" s="36" t="s">
        <v>1421</v>
      </c>
      <c r="K145" s="36">
        <v>350</v>
      </c>
      <c r="L145" s="36" t="s">
        <v>1422</v>
      </c>
      <c r="M145" s="49">
        <v>4</v>
      </c>
      <c r="N145" s="37" t="s">
        <v>1560</v>
      </c>
      <c r="O145" s="37"/>
      <c r="P145" s="36">
        <v>1</v>
      </c>
      <c r="Q145" s="36" t="s">
        <v>2039</v>
      </c>
      <c r="R145" s="36" t="s">
        <v>2042</v>
      </c>
      <c r="S145" s="36" t="s">
        <v>1880</v>
      </c>
      <c r="T145" s="36" t="s">
        <v>1881</v>
      </c>
      <c r="U145" s="38">
        <v>45567</v>
      </c>
      <c r="V145" s="39">
        <v>715976</v>
      </c>
      <c r="W145" s="39" t="s">
        <v>2363</v>
      </c>
      <c r="X145" s="39" t="s">
        <v>2363</v>
      </c>
      <c r="Y145" s="40">
        <f t="shared" si="47"/>
        <v>35798.800000000003</v>
      </c>
      <c r="Z145" s="40">
        <f t="shared" si="48"/>
        <v>751774.8</v>
      </c>
      <c r="AA145" s="41" t="str">
        <f t="shared" si="49"/>
        <v>0.0022</v>
      </c>
      <c r="AB145" s="41">
        <f t="shared" si="50"/>
        <v>0</v>
      </c>
      <c r="AC145" s="41">
        <f t="shared" si="51"/>
        <v>0</v>
      </c>
      <c r="AD145" s="41">
        <f t="shared" si="52"/>
        <v>0</v>
      </c>
      <c r="AE145" s="41">
        <f t="shared" si="53"/>
        <v>0</v>
      </c>
      <c r="AF145" s="41">
        <f t="shared" si="54"/>
        <v>0</v>
      </c>
      <c r="AG145" s="41">
        <f t="shared" si="55"/>
        <v>0</v>
      </c>
      <c r="AH145" s="41">
        <f t="shared" si="56"/>
        <v>0</v>
      </c>
      <c r="AI145" s="41">
        <f t="shared" si="57"/>
        <v>90</v>
      </c>
      <c r="AJ145" s="41">
        <f t="shared" si="58"/>
        <v>365</v>
      </c>
      <c r="AK145" s="41">
        <f t="shared" si="59"/>
        <v>181</v>
      </c>
      <c r="AL145" s="42">
        <f t="shared" si="60"/>
        <v>4.3154717808219178</v>
      </c>
      <c r="AM145" s="42">
        <f t="shared" si="61"/>
        <v>781.10039232876716</v>
      </c>
      <c r="AN145" s="43">
        <f t="shared" si="46"/>
        <v>680177.20000000007</v>
      </c>
      <c r="AO145" s="43"/>
      <c r="AP145" s="42">
        <f t="shared" si="62"/>
        <v>71597.599999999977</v>
      </c>
      <c r="AQ145" s="43">
        <v>6</v>
      </c>
      <c r="AR145" s="44">
        <f t="shared" si="63"/>
        <v>0.90476190476190477</v>
      </c>
      <c r="AS145" s="45">
        <f t="shared" si="64"/>
        <v>2045.6457142857143</v>
      </c>
      <c r="AU145" s="1">
        <v>644378.4</v>
      </c>
      <c r="AV145" s="50">
        <v>35798.800000000003</v>
      </c>
    </row>
    <row r="146" spans="1:48" s="1" customFormat="1" ht="37.200000000000003" thickTop="1" thickBot="1" x14ac:dyDescent="0.55000000000000004">
      <c r="A146" s="33">
        <v>139</v>
      </c>
      <c r="B146" s="34" t="s">
        <v>193</v>
      </c>
      <c r="C146" s="34" t="s">
        <v>965</v>
      </c>
      <c r="D146" s="35" t="s">
        <v>648</v>
      </c>
      <c r="E146" s="35" t="s">
        <v>966</v>
      </c>
      <c r="F146" s="36" t="s">
        <v>1103</v>
      </c>
      <c r="G146" s="36" t="s">
        <v>1420</v>
      </c>
      <c r="H146" s="36" t="s">
        <v>1421</v>
      </c>
      <c r="I146" s="36" t="s">
        <v>1421</v>
      </c>
      <c r="J146" s="36" t="s">
        <v>1421</v>
      </c>
      <c r="K146" s="36">
        <v>350.09</v>
      </c>
      <c r="L146" s="36" t="s">
        <v>1422</v>
      </c>
      <c r="M146" s="49">
        <v>4</v>
      </c>
      <c r="N146" s="37" t="s">
        <v>1561</v>
      </c>
      <c r="O146" s="37"/>
      <c r="P146" s="36">
        <v>1</v>
      </c>
      <c r="Q146" s="36" t="s">
        <v>1972</v>
      </c>
      <c r="R146" s="36" t="s">
        <v>2043</v>
      </c>
      <c r="S146" s="36" t="s">
        <v>1880</v>
      </c>
      <c r="T146" s="36" t="s">
        <v>1889</v>
      </c>
      <c r="U146" s="38">
        <v>45567</v>
      </c>
      <c r="V146" s="39">
        <v>664517</v>
      </c>
      <c r="W146" s="39" t="s">
        <v>2363</v>
      </c>
      <c r="X146" s="39" t="s">
        <v>2363</v>
      </c>
      <c r="Y146" s="40">
        <f t="shared" si="47"/>
        <v>33225.85</v>
      </c>
      <c r="Z146" s="40">
        <f t="shared" si="48"/>
        <v>697742.85</v>
      </c>
      <c r="AA146" s="41" t="str">
        <f t="shared" si="49"/>
        <v>0.0018</v>
      </c>
      <c r="AB146" s="41">
        <f t="shared" si="50"/>
        <v>0</v>
      </c>
      <c r="AC146" s="41">
        <f t="shared" si="51"/>
        <v>0</v>
      </c>
      <c r="AD146" s="41">
        <f t="shared" si="52"/>
        <v>0</v>
      </c>
      <c r="AE146" s="41">
        <f t="shared" si="53"/>
        <v>0</v>
      </c>
      <c r="AF146" s="41">
        <f t="shared" si="54"/>
        <v>0</v>
      </c>
      <c r="AG146" s="41">
        <f t="shared" si="55"/>
        <v>0</v>
      </c>
      <c r="AH146" s="41">
        <f t="shared" si="56"/>
        <v>0</v>
      </c>
      <c r="AI146" s="41">
        <f t="shared" si="57"/>
        <v>90</v>
      </c>
      <c r="AJ146" s="41">
        <f t="shared" si="58"/>
        <v>365</v>
      </c>
      <c r="AK146" s="41">
        <f t="shared" si="59"/>
        <v>181</v>
      </c>
      <c r="AL146" s="42">
        <f t="shared" si="60"/>
        <v>3.2770701369863011</v>
      </c>
      <c r="AM146" s="42">
        <f t="shared" si="61"/>
        <v>593.14969479452054</v>
      </c>
      <c r="AN146" s="43">
        <f t="shared" si="46"/>
        <v>598065.30000000005</v>
      </c>
      <c r="AO146" s="43"/>
      <c r="AP146" s="42">
        <f t="shared" si="62"/>
        <v>99677.54999999993</v>
      </c>
      <c r="AQ146" s="43">
        <v>5</v>
      </c>
      <c r="AR146" s="44">
        <f t="shared" si="63"/>
        <v>0.85714285714285721</v>
      </c>
      <c r="AS146" s="45">
        <f t="shared" si="64"/>
        <v>1898.1319089377018</v>
      </c>
      <c r="AU146" s="1">
        <v>498387.75</v>
      </c>
      <c r="AV146" s="50">
        <v>99677.55</v>
      </c>
    </row>
    <row r="147" spans="1:48" s="1" customFormat="1" ht="37.200000000000003" thickTop="1" thickBot="1" x14ac:dyDescent="0.55000000000000004">
      <c r="A147" s="33">
        <v>140</v>
      </c>
      <c r="B147" s="34" t="s">
        <v>194</v>
      </c>
      <c r="C147" s="34" t="s">
        <v>965</v>
      </c>
      <c r="D147" s="35" t="s">
        <v>649</v>
      </c>
      <c r="E147" s="35" t="s">
        <v>966</v>
      </c>
      <c r="F147" s="36" t="s">
        <v>1104</v>
      </c>
      <c r="G147" s="36" t="s">
        <v>1420</v>
      </c>
      <c r="H147" s="36" t="s">
        <v>1421</v>
      </c>
      <c r="I147" s="36" t="s">
        <v>1421</v>
      </c>
      <c r="J147" s="36" t="s">
        <v>1421</v>
      </c>
      <c r="K147" s="36">
        <v>362.5</v>
      </c>
      <c r="L147" s="36" t="s">
        <v>1422</v>
      </c>
      <c r="M147" s="49">
        <v>4</v>
      </c>
      <c r="N147" s="37" t="s">
        <v>1562</v>
      </c>
      <c r="O147" s="37"/>
      <c r="P147" s="36">
        <v>1</v>
      </c>
      <c r="Q147" s="36" t="s">
        <v>1964</v>
      </c>
      <c r="R147" s="36" t="s">
        <v>2044</v>
      </c>
      <c r="S147" s="36" t="s">
        <v>1880</v>
      </c>
      <c r="T147" s="36" t="s">
        <v>1889</v>
      </c>
      <c r="U147" s="38">
        <v>45567</v>
      </c>
      <c r="V147" s="39">
        <v>549204</v>
      </c>
      <c r="W147" s="39" t="s">
        <v>2363</v>
      </c>
      <c r="X147" s="39" t="s">
        <v>2363</v>
      </c>
      <c r="Y147" s="40">
        <f t="shared" si="47"/>
        <v>27460.2</v>
      </c>
      <c r="Z147" s="40">
        <f t="shared" si="48"/>
        <v>576664.19999999995</v>
      </c>
      <c r="AA147" s="41" t="str">
        <f t="shared" si="49"/>
        <v>0.0018</v>
      </c>
      <c r="AB147" s="41">
        <f t="shared" si="50"/>
        <v>0</v>
      </c>
      <c r="AC147" s="41">
        <f t="shared" si="51"/>
        <v>0</v>
      </c>
      <c r="AD147" s="41">
        <f t="shared" si="52"/>
        <v>0</v>
      </c>
      <c r="AE147" s="41">
        <f t="shared" si="53"/>
        <v>0</v>
      </c>
      <c r="AF147" s="41">
        <f t="shared" si="54"/>
        <v>0</v>
      </c>
      <c r="AG147" s="41">
        <f t="shared" si="55"/>
        <v>0</v>
      </c>
      <c r="AH147" s="41">
        <f t="shared" si="56"/>
        <v>0</v>
      </c>
      <c r="AI147" s="41">
        <f t="shared" si="57"/>
        <v>90</v>
      </c>
      <c r="AJ147" s="41">
        <f t="shared" si="58"/>
        <v>365</v>
      </c>
      <c r="AK147" s="41">
        <f t="shared" si="59"/>
        <v>181</v>
      </c>
      <c r="AL147" s="42">
        <f t="shared" si="60"/>
        <v>2.7084032876712327</v>
      </c>
      <c r="AM147" s="42">
        <f t="shared" si="61"/>
        <v>490.2209950684931</v>
      </c>
      <c r="AN147" s="43">
        <f t="shared" si="46"/>
        <v>521743.8</v>
      </c>
      <c r="AO147" s="43"/>
      <c r="AP147" s="42">
        <f t="shared" si="62"/>
        <v>54920.399999999965</v>
      </c>
      <c r="AQ147" s="43">
        <v>6</v>
      </c>
      <c r="AR147" s="44">
        <f t="shared" si="63"/>
        <v>0.90476190476190477</v>
      </c>
      <c r="AS147" s="45">
        <f t="shared" si="64"/>
        <v>1515.0455172413792</v>
      </c>
      <c r="AU147" s="1">
        <v>494283.6</v>
      </c>
      <c r="AV147" s="50">
        <v>27460.2</v>
      </c>
    </row>
    <row r="148" spans="1:48" s="1" customFormat="1" ht="37.200000000000003" thickTop="1" thickBot="1" x14ac:dyDescent="0.55000000000000004">
      <c r="A148" s="33">
        <v>141</v>
      </c>
      <c r="B148" s="34" t="s">
        <v>195</v>
      </c>
      <c r="C148" s="34" t="s">
        <v>965</v>
      </c>
      <c r="D148" s="35" t="s">
        <v>650</v>
      </c>
      <c r="E148" s="35" t="s">
        <v>966</v>
      </c>
      <c r="F148" s="36" t="s">
        <v>1105</v>
      </c>
      <c r="G148" s="36" t="s">
        <v>1420</v>
      </c>
      <c r="H148" s="36" t="s">
        <v>1421</v>
      </c>
      <c r="I148" s="36" t="s">
        <v>1421</v>
      </c>
      <c r="J148" s="36" t="s">
        <v>1421</v>
      </c>
      <c r="K148" s="36">
        <v>350</v>
      </c>
      <c r="L148" s="36" t="s">
        <v>1422</v>
      </c>
      <c r="M148" s="49">
        <v>4</v>
      </c>
      <c r="N148" s="37" t="s">
        <v>1563</v>
      </c>
      <c r="O148" s="37"/>
      <c r="P148" s="36">
        <v>1</v>
      </c>
      <c r="Q148" s="36" t="s">
        <v>1915</v>
      </c>
      <c r="R148" s="36" t="s">
        <v>2045</v>
      </c>
      <c r="S148" s="36" t="s">
        <v>1880</v>
      </c>
      <c r="T148" s="36" t="s">
        <v>1881</v>
      </c>
      <c r="U148" s="38">
        <v>45567</v>
      </c>
      <c r="V148" s="39">
        <v>549205</v>
      </c>
      <c r="W148" s="39" t="s">
        <v>2363</v>
      </c>
      <c r="X148" s="39" t="s">
        <v>2363</v>
      </c>
      <c r="Y148" s="40">
        <f t="shared" si="47"/>
        <v>27460.25</v>
      </c>
      <c r="Z148" s="40">
        <f t="shared" si="48"/>
        <v>576665.25</v>
      </c>
      <c r="AA148" s="41" t="str">
        <f t="shared" si="49"/>
        <v>0.0018</v>
      </c>
      <c r="AB148" s="41">
        <f t="shared" si="50"/>
        <v>0</v>
      </c>
      <c r="AC148" s="41">
        <f t="shared" si="51"/>
        <v>0</v>
      </c>
      <c r="AD148" s="41">
        <f t="shared" si="52"/>
        <v>0</v>
      </c>
      <c r="AE148" s="41">
        <f t="shared" si="53"/>
        <v>0</v>
      </c>
      <c r="AF148" s="41">
        <f t="shared" si="54"/>
        <v>0</v>
      </c>
      <c r="AG148" s="41">
        <f t="shared" si="55"/>
        <v>0</v>
      </c>
      <c r="AH148" s="41">
        <f t="shared" si="56"/>
        <v>0</v>
      </c>
      <c r="AI148" s="41">
        <f t="shared" si="57"/>
        <v>90</v>
      </c>
      <c r="AJ148" s="41">
        <f t="shared" si="58"/>
        <v>365</v>
      </c>
      <c r="AK148" s="41">
        <f t="shared" si="59"/>
        <v>181</v>
      </c>
      <c r="AL148" s="42">
        <f t="shared" si="60"/>
        <v>2.7084082191780823</v>
      </c>
      <c r="AM148" s="42">
        <f t="shared" si="61"/>
        <v>490.22188767123288</v>
      </c>
      <c r="AN148" s="43">
        <f t="shared" si="46"/>
        <v>521744.75</v>
      </c>
      <c r="AO148" s="43"/>
      <c r="AP148" s="42">
        <f t="shared" si="62"/>
        <v>54920.5</v>
      </c>
      <c r="AQ148" s="43">
        <v>6</v>
      </c>
      <c r="AR148" s="44">
        <f t="shared" si="63"/>
        <v>0.90476190476190477</v>
      </c>
      <c r="AS148" s="45">
        <f t="shared" si="64"/>
        <v>1569.1571428571428</v>
      </c>
      <c r="AU148" s="1">
        <v>494284.5</v>
      </c>
      <c r="AV148" s="50">
        <v>27460.25</v>
      </c>
    </row>
    <row r="149" spans="1:48" s="1" customFormat="1" ht="37.200000000000003" thickTop="1" thickBot="1" x14ac:dyDescent="0.55000000000000004">
      <c r="A149" s="33">
        <v>142</v>
      </c>
      <c r="B149" s="34" t="s">
        <v>196</v>
      </c>
      <c r="C149" s="34" t="s">
        <v>965</v>
      </c>
      <c r="D149" s="35" t="s">
        <v>651</v>
      </c>
      <c r="E149" s="35" t="s">
        <v>966</v>
      </c>
      <c r="F149" s="36" t="s">
        <v>1106</v>
      </c>
      <c r="G149" s="36" t="s">
        <v>1420</v>
      </c>
      <c r="H149" s="36" t="s">
        <v>1421</v>
      </c>
      <c r="I149" s="36" t="s">
        <v>1421</v>
      </c>
      <c r="J149" s="36" t="s">
        <v>1421</v>
      </c>
      <c r="K149" s="36">
        <v>375.93</v>
      </c>
      <c r="L149" s="36" t="s">
        <v>1422</v>
      </c>
      <c r="M149" s="49">
        <v>4</v>
      </c>
      <c r="N149" s="37" t="s">
        <v>1564</v>
      </c>
      <c r="O149" s="37"/>
      <c r="P149" s="36">
        <v>1</v>
      </c>
      <c r="Q149" s="36" t="s">
        <v>1956</v>
      </c>
      <c r="R149" s="36" t="s">
        <v>2046</v>
      </c>
      <c r="S149" s="36" t="s">
        <v>1880</v>
      </c>
      <c r="T149" s="36" t="s">
        <v>1889</v>
      </c>
      <c r="U149" s="38">
        <v>45568</v>
      </c>
      <c r="V149" s="39">
        <v>674441</v>
      </c>
      <c r="W149" s="39" t="s">
        <v>2363</v>
      </c>
      <c r="X149" s="39" t="s">
        <v>2363</v>
      </c>
      <c r="Y149" s="40">
        <f t="shared" si="47"/>
        <v>33722.050000000003</v>
      </c>
      <c r="Z149" s="40">
        <f t="shared" si="48"/>
        <v>708163.05</v>
      </c>
      <c r="AA149" s="41" t="str">
        <f t="shared" si="49"/>
        <v>0.0018</v>
      </c>
      <c r="AB149" s="41">
        <f t="shared" si="50"/>
        <v>0</v>
      </c>
      <c r="AC149" s="41">
        <f t="shared" si="51"/>
        <v>0</v>
      </c>
      <c r="AD149" s="41">
        <f t="shared" si="52"/>
        <v>0</v>
      </c>
      <c r="AE149" s="41">
        <f t="shared" si="53"/>
        <v>0</v>
      </c>
      <c r="AF149" s="41">
        <f t="shared" si="54"/>
        <v>0</v>
      </c>
      <c r="AG149" s="41">
        <f t="shared" si="55"/>
        <v>0</v>
      </c>
      <c r="AH149" s="41">
        <f t="shared" si="56"/>
        <v>0</v>
      </c>
      <c r="AI149" s="41">
        <f t="shared" si="57"/>
        <v>89</v>
      </c>
      <c r="AJ149" s="41">
        <f t="shared" si="58"/>
        <v>365</v>
      </c>
      <c r="AK149" s="41">
        <f t="shared" si="59"/>
        <v>181</v>
      </c>
      <c r="AL149" s="42">
        <f t="shared" si="60"/>
        <v>3.3260104109589039</v>
      </c>
      <c r="AM149" s="42">
        <f t="shared" si="61"/>
        <v>602.00788438356165</v>
      </c>
      <c r="AN149" s="43">
        <f t="shared" si="46"/>
        <v>606996.9</v>
      </c>
      <c r="AO149" s="43"/>
      <c r="AP149" s="42">
        <f t="shared" si="62"/>
        <v>101166.15000000002</v>
      </c>
      <c r="AQ149" s="43">
        <v>5</v>
      </c>
      <c r="AR149" s="44">
        <f t="shared" si="63"/>
        <v>0.8571428571428571</v>
      </c>
      <c r="AS149" s="45">
        <f t="shared" si="64"/>
        <v>1794.0600643736866</v>
      </c>
      <c r="AU149" s="1">
        <v>606996.9</v>
      </c>
      <c r="AV149" s="50">
        <v>0</v>
      </c>
    </row>
    <row r="150" spans="1:48" s="1" customFormat="1" ht="37.200000000000003" thickTop="1" thickBot="1" x14ac:dyDescent="0.55000000000000004">
      <c r="A150" s="33">
        <v>143</v>
      </c>
      <c r="B150" s="34" t="s">
        <v>197</v>
      </c>
      <c r="C150" s="34" t="s">
        <v>965</v>
      </c>
      <c r="D150" s="35" t="s">
        <v>652</v>
      </c>
      <c r="E150" s="35" t="s">
        <v>966</v>
      </c>
      <c r="F150" s="36" t="s">
        <v>1107</v>
      </c>
      <c r="G150" s="36" t="s">
        <v>1420</v>
      </c>
      <c r="H150" s="36" t="s">
        <v>1421</v>
      </c>
      <c r="I150" s="36" t="s">
        <v>1421</v>
      </c>
      <c r="J150" s="36" t="s">
        <v>1421</v>
      </c>
      <c r="K150" s="36">
        <v>375</v>
      </c>
      <c r="L150" s="36" t="s">
        <v>1422</v>
      </c>
      <c r="M150" s="49">
        <v>4</v>
      </c>
      <c r="N150" s="37" t="s">
        <v>1565</v>
      </c>
      <c r="O150" s="37"/>
      <c r="P150" s="36">
        <v>1</v>
      </c>
      <c r="Q150" s="36" t="s">
        <v>1956</v>
      </c>
      <c r="R150" s="36" t="s">
        <v>2047</v>
      </c>
      <c r="S150" s="36" t="s">
        <v>1880</v>
      </c>
      <c r="T150" s="36" t="s">
        <v>1881</v>
      </c>
      <c r="U150" s="38">
        <v>45568</v>
      </c>
      <c r="V150" s="39">
        <v>673974</v>
      </c>
      <c r="W150" s="39" t="s">
        <v>2363</v>
      </c>
      <c r="X150" s="39" t="s">
        <v>2363</v>
      </c>
      <c r="Y150" s="40">
        <f t="shared" si="47"/>
        <v>33698.699999999997</v>
      </c>
      <c r="Z150" s="40">
        <f t="shared" si="48"/>
        <v>707672.7</v>
      </c>
      <c r="AA150" s="41" t="str">
        <f t="shared" si="49"/>
        <v>0.0018</v>
      </c>
      <c r="AB150" s="41">
        <f t="shared" si="50"/>
        <v>0</v>
      </c>
      <c r="AC150" s="41">
        <f t="shared" si="51"/>
        <v>0</v>
      </c>
      <c r="AD150" s="41">
        <f t="shared" si="52"/>
        <v>0</v>
      </c>
      <c r="AE150" s="41">
        <f t="shared" si="53"/>
        <v>0</v>
      </c>
      <c r="AF150" s="41">
        <f t="shared" si="54"/>
        <v>0</v>
      </c>
      <c r="AG150" s="41">
        <f t="shared" si="55"/>
        <v>0</v>
      </c>
      <c r="AH150" s="41">
        <f t="shared" si="56"/>
        <v>0</v>
      </c>
      <c r="AI150" s="41">
        <f t="shared" si="57"/>
        <v>89</v>
      </c>
      <c r="AJ150" s="41">
        <f t="shared" si="58"/>
        <v>365</v>
      </c>
      <c r="AK150" s="41">
        <f t="shared" si="59"/>
        <v>181</v>
      </c>
      <c r="AL150" s="42">
        <f t="shared" si="60"/>
        <v>3.3237073972602738</v>
      </c>
      <c r="AM150" s="42">
        <f t="shared" si="61"/>
        <v>601.5910389041095</v>
      </c>
      <c r="AN150" s="43">
        <f t="shared" si="46"/>
        <v>640275.29999999993</v>
      </c>
      <c r="AO150" s="43"/>
      <c r="AP150" s="42">
        <f t="shared" si="62"/>
        <v>67397.400000000023</v>
      </c>
      <c r="AQ150" s="43">
        <v>6</v>
      </c>
      <c r="AR150" s="44">
        <f t="shared" si="63"/>
        <v>0.90476190476190477</v>
      </c>
      <c r="AS150" s="45">
        <f t="shared" si="64"/>
        <v>1797.2639999999999</v>
      </c>
      <c r="AU150" s="1">
        <v>606576.6</v>
      </c>
      <c r="AV150" s="50">
        <v>33698.699999999997</v>
      </c>
    </row>
    <row r="151" spans="1:48" s="1" customFormat="1" ht="37.200000000000003" thickTop="1" thickBot="1" x14ac:dyDescent="0.55000000000000004">
      <c r="A151" s="33">
        <v>144</v>
      </c>
      <c r="B151" s="34" t="s">
        <v>198</v>
      </c>
      <c r="C151" s="34" t="s">
        <v>965</v>
      </c>
      <c r="D151" s="35" t="s">
        <v>653</v>
      </c>
      <c r="E151" s="35" t="s">
        <v>966</v>
      </c>
      <c r="F151" s="36" t="s">
        <v>1108</v>
      </c>
      <c r="G151" s="36" t="s">
        <v>1420</v>
      </c>
      <c r="H151" s="36" t="s">
        <v>1421</v>
      </c>
      <c r="I151" s="36" t="s">
        <v>1421</v>
      </c>
      <c r="J151" s="36" t="s">
        <v>1421</v>
      </c>
      <c r="K151" s="36">
        <v>375</v>
      </c>
      <c r="L151" s="36" t="s">
        <v>1422</v>
      </c>
      <c r="M151" s="49">
        <v>4</v>
      </c>
      <c r="N151" s="37" t="s">
        <v>1566</v>
      </c>
      <c r="O151" s="37"/>
      <c r="P151" s="36">
        <v>1</v>
      </c>
      <c r="Q151" s="36" t="s">
        <v>1954</v>
      </c>
      <c r="R151" s="36" t="s">
        <v>2048</v>
      </c>
      <c r="S151" s="36" t="s">
        <v>1880</v>
      </c>
      <c r="T151" s="36" t="s">
        <v>1881</v>
      </c>
      <c r="U151" s="38">
        <v>45568</v>
      </c>
      <c r="V151" s="39">
        <v>678474</v>
      </c>
      <c r="W151" s="39" t="s">
        <v>2363</v>
      </c>
      <c r="X151" s="39" t="s">
        <v>2363</v>
      </c>
      <c r="Y151" s="40">
        <f t="shared" si="47"/>
        <v>33923.699999999997</v>
      </c>
      <c r="Z151" s="40">
        <f t="shared" si="48"/>
        <v>712397.7</v>
      </c>
      <c r="AA151" s="41" t="str">
        <f t="shared" si="49"/>
        <v>0.0018</v>
      </c>
      <c r="AB151" s="41">
        <f t="shared" si="50"/>
        <v>0</v>
      </c>
      <c r="AC151" s="41">
        <f t="shared" si="51"/>
        <v>0</v>
      </c>
      <c r="AD151" s="41">
        <f t="shared" si="52"/>
        <v>0</v>
      </c>
      <c r="AE151" s="41">
        <f t="shared" si="53"/>
        <v>0</v>
      </c>
      <c r="AF151" s="41">
        <f t="shared" si="54"/>
        <v>0</v>
      </c>
      <c r="AG151" s="41">
        <f t="shared" si="55"/>
        <v>0</v>
      </c>
      <c r="AH151" s="41">
        <f t="shared" si="56"/>
        <v>0</v>
      </c>
      <c r="AI151" s="41">
        <f t="shared" si="57"/>
        <v>89</v>
      </c>
      <c r="AJ151" s="41">
        <f t="shared" si="58"/>
        <v>365</v>
      </c>
      <c r="AK151" s="41">
        <f t="shared" si="59"/>
        <v>181</v>
      </c>
      <c r="AL151" s="42">
        <f t="shared" si="60"/>
        <v>3.3458991780821914</v>
      </c>
      <c r="AM151" s="42">
        <f t="shared" si="61"/>
        <v>605.60775123287669</v>
      </c>
      <c r="AN151" s="43">
        <f t="shared" si="46"/>
        <v>610626.6</v>
      </c>
      <c r="AO151" s="43"/>
      <c r="AP151" s="42">
        <f t="shared" si="62"/>
        <v>101771.09999999998</v>
      </c>
      <c r="AQ151" s="43">
        <v>5</v>
      </c>
      <c r="AR151" s="44">
        <f t="shared" si="63"/>
        <v>0.85714285714285721</v>
      </c>
      <c r="AS151" s="45">
        <f t="shared" si="64"/>
        <v>1809.2639999999999</v>
      </c>
      <c r="AU151" s="1">
        <v>508855.49999999994</v>
      </c>
      <c r="AV151" s="50">
        <v>101771.1</v>
      </c>
    </row>
    <row r="152" spans="1:48" s="1" customFormat="1" ht="37.200000000000003" thickTop="1" thickBot="1" x14ac:dyDescent="0.55000000000000004">
      <c r="A152" s="33">
        <v>145</v>
      </c>
      <c r="B152" s="34" t="s">
        <v>199</v>
      </c>
      <c r="C152" s="34" t="s">
        <v>965</v>
      </c>
      <c r="D152" s="35" t="s">
        <v>654</v>
      </c>
      <c r="E152" s="35" t="s">
        <v>966</v>
      </c>
      <c r="F152" s="36" t="s">
        <v>1109</v>
      </c>
      <c r="G152" s="36" t="s">
        <v>1420</v>
      </c>
      <c r="H152" s="36" t="s">
        <v>1421</v>
      </c>
      <c r="I152" s="36" t="s">
        <v>1421</v>
      </c>
      <c r="J152" s="36" t="s">
        <v>1421</v>
      </c>
      <c r="K152" s="36">
        <v>375.14</v>
      </c>
      <c r="L152" s="36" t="s">
        <v>1422</v>
      </c>
      <c r="M152" s="49">
        <v>4</v>
      </c>
      <c r="N152" s="37" t="s">
        <v>1567</v>
      </c>
      <c r="O152" s="37"/>
      <c r="P152" s="36">
        <v>1</v>
      </c>
      <c r="Q152" s="36" t="s">
        <v>1943</v>
      </c>
      <c r="R152" s="36" t="s">
        <v>2049</v>
      </c>
      <c r="S152" s="36" t="s">
        <v>1880</v>
      </c>
      <c r="T152" s="36" t="s">
        <v>1883</v>
      </c>
      <c r="U152" s="38">
        <v>45568</v>
      </c>
      <c r="V152" s="39">
        <v>674044</v>
      </c>
      <c r="W152" s="39" t="s">
        <v>2363</v>
      </c>
      <c r="X152" s="39" t="s">
        <v>2363</v>
      </c>
      <c r="Y152" s="40">
        <f t="shared" si="47"/>
        <v>33702.199999999997</v>
      </c>
      <c r="Z152" s="40">
        <f t="shared" si="48"/>
        <v>707746.2</v>
      </c>
      <c r="AA152" s="41" t="str">
        <f t="shared" si="49"/>
        <v>0.0018</v>
      </c>
      <c r="AB152" s="41">
        <f t="shared" si="50"/>
        <v>0</v>
      </c>
      <c r="AC152" s="41">
        <f t="shared" si="51"/>
        <v>0</v>
      </c>
      <c r="AD152" s="41">
        <f t="shared" si="52"/>
        <v>0</v>
      </c>
      <c r="AE152" s="41">
        <f t="shared" si="53"/>
        <v>0</v>
      </c>
      <c r="AF152" s="41">
        <f t="shared" si="54"/>
        <v>0</v>
      </c>
      <c r="AG152" s="41">
        <f t="shared" si="55"/>
        <v>0</v>
      </c>
      <c r="AH152" s="41">
        <f t="shared" si="56"/>
        <v>0</v>
      </c>
      <c r="AI152" s="41">
        <f t="shared" si="57"/>
        <v>89</v>
      </c>
      <c r="AJ152" s="41">
        <f t="shared" si="58"/>
        <v>365</v>
      </c>
      <c r="AK152" s="41">
        <f t="shared" si="59"/>
        <v>181</v>
      </c>
      <c r="AL152" s="42">
        <f t="shared" si="60"/>
        <v>3.3240526027397257</v>
      </c>
      <c r="AM152" s="42">
        <f t="shared" si="61"/>
        <v>601.65352109589037</v>
      </c>
      <c r="AN152" s="43">
        <f t="shared" si="46"/>
        <v>606639.6</v>
      </c>
      <c r="AO152" s="43"/>
      <c r="AP152" s="42">
        <f t="shared" si="62"/>
        <v>101106.59999999998</v>
      </c>
      <c r="AQ152" s="43">
        <v>5</v>
      </c>
      <c r="AR152" s="44">
        <f t="shared" si="63"/>
        <v>0.85714285714285721</v>
      </c>
      <c r="AS152" s="45">
        <f t="shared" si="64"/>
        <v>1796.7798688489631</v>
      </c>
      <c r="AU152" s="1">
        <v>606639.6</v>
      </c>
      <c r="AV152" s="50">
        <v>0</v>
      </c>
    </row>
    <row r="153" spans="1:48" s="1" customFormat="1" ht="37.200000000000003" thickTop="1" thickBot="1" x14ac:dyDescent="0.55000000000000004">
      <c r="A153" s="33">
        <v>146</v>
      </c>
      <c r="B153" s="34" t="s">
        <v>200</v>
      </c>
      <c r="C153" s="34" t="s">
        <v>965</v>
      </c>
      <c r="D153" s="35" t="s">
        <v>655</v>
      </c>
      <c r="E153" s="35" t="s">
        <v>966</v>
      </c>
      <c r="F153" s="36" t="s">
        <v>1110</v>
      </c>
      <c r="G153" s="36" t="s">
        <v>1420</v>
      </c>
      <c r="H153" s="36" t="s">
        <v>1421</v>
      </c>
      <c r="I153" s="36" t="s">
        <v>1421</v>
      </c>
      <c r="J153" s="36" t="s">
        <v>1421</v>
      </c>
      <c r="K153" s="36">
        <v>375</v>
      </c>
      <c r="L153" s="36" t="s">
        <v>1422</v>
      </c>
      <c r="M153" s="49">
        <v>4</v>
      </c>
      <c r="N153" s="37" t="s">
        <v>1568</v>
      </c>
      <c r="O153" s="37"/>
      <c r="P153" s="36">
        <v>1</v>
      </c>
      <c r="Q153" s="36" t="s">
        <v>1943</v>
      </c>
      <c r="R153" s="36" t="s">
        <v>2050</v>
      </c>
      <c r="S153" s="36" t="s">
        <v>1880</v>
      </c>
      <c r="T153" s="36" t="s">
        <v>1881</v>
      </c>
      <c r="U153" s="38">
        <v>45568</v>
      </c>
      <c r="V153" s="39">
        <v>685974</v>
      </c>
      <c r="W153" s="39" t="s">
        <v>2363</v>
      </c>
      <c r="X153" s="39" t="s">
        <v>2363</v>
      </c>
      <c r="Y153" s="40">
        <f t="shared" si="47"/>
        <v>34298.699999999997</v>
      </c>
      <c r="Z153" s="40">
        <f t="shared" si="48"/>
        <v>720272.7</v>
      </c>
      <c r="AA153" s="41" t="str">
        <f t="shared" si="49"/>
        <v>0.0018</v>
      </c>
      <c r="AB153" s="41">
        <f t="shared" si="50"/>
        <v>0</v>
      </c>
      <c r="AC153" s="41">
        <f t="shared" si="51"/>
        <v>0</v>
      </c>
      <c r="AD153" s="41">
        <f t="shared" si="52"/>
        <v>0</v>
      </c>
      <c r="AE153" s="41">
        <f t="shared" si="53"/>
        <v>0</v>
      </c>
      <c r="AF153" s="41">
        <f t="shared" si="54"/>
        <v>0</v>
      </c>
      <c r="AG153" s="41">
        <f t="shared" si="55"/>
        <v>0</v>
      </c>
      <c r="AH153" s="41">
        <f t="shared" si="56"/>
        <v>0</v>
      </c>
      <c r="AI153" s="41">
        <f t="shared" si="57"/>
        <v>89</v>
      </c>
      <c r="AJ153" s="41">
        <f t="shared" si="58"/>
        <v>365</v>
      </c>
      <c r="AK153" s="41">
        <f t="shared" si="59"/>
        <v>181</v>
      </c>
      <c r="AL153" s="42">
        <f t="shared" si="60"/>
        <v>3.3828854794520544</v>
      </c>
      <c r="AM153" s="42">
        <f t="shared" si="61"/>
        <v>612.3022717808218</v>
      </c>
      <c r="AN153" s="43">
        <f t="shared" si="46"/>
        <v>617376.6</v>
      </c>
      <c r="AO153" s="43"/>
      <c r="AP153" s="42">
        <f t="shared" si="62"/>
        <v>102896.09999999998</v>
      </c>
      <c r="AQ153" s="43">
        <v>5</v>
      </c>
      <c r="AR153" s="44">
        <f t="shared" si="63"/>
        <v>0.85714285714285721</v>
      </c>
      <c r="AS153" s="45">
        <f t="shared" si="64"/>
        <v>1829.2639999999999</v>
      </c>
      <c r="AU153" s="1">
        <v>617376.6</v>
      </c>
      <c r="AV153" s="50">
        <v>0</v>
      </c>
    </row>
    <row r="154" spans="1:48" s="1" customFormat="1" ht="37.200000000000003" thickTop="1" thickBot="1" x14ac:dyDescent="0.55000000000000004">
      <c r="A154" s="33">
        <v>147</v>
      </c>
      <c r="B154" s="34" t="s">
        <v>201</v>
      </c>
      <c r="C154" s="34" t="s">
        <v>965</v>
      </c>
      <c r="D154" s="35" t="s">
        <v>656</v>
      </c>
      <c r="E154" s="35" t="s">
        <v>966</v>
      </c>
      <c r="F154" s="36" t="s">
        <v>1111</v>
      </c>
      <c r="G154" s="36" t="s">
        <v>1420</v>
      </c>
      <c r="H154" s="36" t="s">
        <v>1421</v>
      </c>
      <c r="I154" s="36" t="s">
        <v>1421</v>
      </c>
      <c r="J154" s="36" t="s">
        <v>1421</v>
      </c>
      <c r="K154" s="36">
        <v>375</v>
      </c>
      <c r="L154" s="36" t="s">
        <v>1422</v>
      </c>
      <c r="M154" s="49">
        <v>4</v>
      </c>
      <c r="N154" s="37" t="s">
        <v>1569</v>
      </c>
      <c r="O154" s="37"/>
      <c r="P154" s="36">
        <v>1</v>
      </c>
      <c r="Q154" s="36" t="s">
        <v>1943</v>
      </c>
      <c r="R154" s="36" t="s">
        <v>2051</v>
      </c>
      <c r="S154" s="36" t="s">
        <v>1880</v>
      </c>
      <c r="T154" s="36" t="s">
        <v>1881</v>
      </c>
      <c r="U154" s="38">
        <v>45568</v>
      </c>
      <c r="V154" s="39">
        <v>673974</v>
      </c>
      <c r="W154" s="39" t="s">
        <v>2363</v>
      </c>
      <c r="X154" s="39" t="s">
        <v>2363</v>
      </c>
      <c r="Y154" s="40">
        <f t="shared" si="47"/>
        <v>33698.699999999997</v>
      </c>
      <c r="Z154" s="40">
        <f t="shared" si="48"/>
        <v>707672.7</v>
      </c>
      <c r="AA154" s="41" t="str">
        <f t="shared" si="49"/>
        <v>0.0018</v>
      </c>
      <c r="AB154" s="41">
        <f t="shared" si="50"/>
        <v>0</v>
      </c>
      <c r="AC154" s="41">
        <f t="shared" si="51"/>
        <v>0</v>
      </c>
      <c r="AD154" s="41">
        <f t="shared" si="52"/>
        <v>0</v>
      </c>
      <c r="AE154" s="41">
        <f t="shared" si="53"/>
        <v>0</v>
      </c>
      <c r="AF154" s="41">
        <f t="shared" si="54"/>
        <v>0</v>
      </c>
      <c r="AG154" s="41">
        <f t="shared" si="55"/>
        <v>0</v>
      </c>
      <c r="AH154" s="41">
        <f t="shared" si="56"/>
        <v>0</v>
      </c>
      <c r="AI154" s="41">
        <f t="shared" si="57"/>
        <v>89</v>
      </c>
      <c r="AJ154" s="41">
        <f t="shared" si="58"/>
        <v>365</v>
      </c>
      <c r="AK154" s="41">
        <f t="shared" si="59"/>
        <v>181</v>
      </c>
      <c r="AL154" s="42">
        <f t="shared" si="60"/>
        <v>3.3237073972602738</v>
      </c>
      <c r="AM154" s="42">
        <f t="shared" si="61"/>
        <v>601.5910389041095</v>
      </c>
      <c r="AN154" s="43">
        <f t="shared" si="46"/>
        <v>606576.6</v>
      </c>
      <c r="AO154" s="43"/>
      <c r="AP154" s="42">
        <f t="shared" si="62"/>
        <v>101096.09999999998</v>
      </c>
      <c r="AQ154" s="43">
        <v>5</v>
      </c>
      <c r="AR154" s="44">
        <f t="shared" si="63"/>
        <v>0.85714285714285721</v>
      </c>
      <c r="AS154" s="45">
        <f t="shared" si="64"/>
        <v>1797.2639999999999</v>
      </c>
      <c r="AU154" s="1">
        <v>606576.6</v>
      </c>
      <c r="AV154" s="50">
        <v>0</v>
      </c>
    </row>
    <row r="155" spans="1:48" s="1" customFormat="1" ht="37.200000000000003" thickTop="1" thickBot="1" x14ac:dyDescent="0.55000000000000004">
      <c r="A155" s="33">
        <v>148</v>
      </c>
      <c r="B155" s="34" t="s">
        <v>202</v>
      </c>
      <c r="C155" s="34" t="s">
        <v>965</v>
      </c>
      <c r="D155" s="35" t="s">
        <v>657</v>
      </c>
      <c r="E155" s="35" t="s">
        <v>966</v>
      </c>
      <c r="F155" s="36" t="s">
        <v>1112</v>
      </c>
      <c r="G155" s="36" t="s">
        <v>1420</v>
      </c>
      <c r="H155" s="36" t="s">
        <v>1421</v>
      </c>
      <c r="I155" s="36" t="s">
        <v>1421</v>
      </c>
      <c r="J155" s="36" t="s">
        <v>1421</v>
      </c>
      <c r="K155" s="36">
        <v>358.7</v>
      </c>
      <c r="L155" s="36" t="s">
        <v>1422</v>
      </c>
      <c r="M155" s="49">
        <v>4</v>
      </c>
      <c r="N155" s="37" t="s">
        <v>1570</v>
      </c>
      <c r="O155" s="37"/>
      <c r="P155" s="36">
        <v>1</v>
      </c>
      <c r="Q155" s="36" t="s">
        <v>1943</v>
      </c>
      <c r="R155" s="36" t="s">
        <v>2052</v>
      </c>
      <c r="S155" s="36" t="s">
        <v>1880</v>
      </c>
      <c r="T155" s="36" t="s">
        <v>1883</v>
      </c>
      <c r="U155" s="38">
        <v>45568</v>
      </c>
      <c r="V155" s="39">
        <v>677822</v>
      </c>
      <c r="W155" s="39" t="s">
        <v>2363</v>
      </c>
      <c r="X155" s="39" t="s">
        <v>2363</v>
      </c>
      <c r="Y155" s="40">
        <f t="shared" si="47"/>
        <v>33891.1</v>
      </c>
      <c r="Z155" s="40">
        <f t="shared" si="48"/>
        <v>711713.1</v>
      </c>
      <c r="AA155" s="41" t="str">
        <f t="shared" si="49"/>
        <v>0.0018</v>
      </c>
      <c r="AB155" s="41">
        <f t="shared" si="50"/>
        <v>0</v>
      </c>
      <c r="AC155" s="41">
        <f t="shared" si="51"/>
        <v>0</v>
      </c>
      <c r="AD155" s="41">
        <f t="shared" si="52"/>
        <v>0</v>
      </c>
      <c r="AE155" s="41">
        <f t="shared" si="53"/>
        <v>0</v>
      </c>
      <c r="AF155" s="41">
        <f t="shared" si="54"/>
        <v>0</v>
      </c>
      <c r="AG155" s="41">
        <f t="shared" si="55"/>
        <v>0</v>
      </c>
      <c r="AH155" s="41">
        <f t="shared" si="56"/>
        <v>0</v>
      </c>
      <c r="AI155" s="41">
        <f t="shared" si="57"/>
        <v>89</v>
      </c>
      <c r="AJ155" s="41">
        <f t="shared" si="58"/>
        <v>365</v>
      </c>
      <c r="AK155" s="41">
        <f t="shared" si="59"/>
        <v>181</v>
      </c>
      <c r="AL155" s="42">
        <f t="shared" si="60"/>
        <v>3.3426838356164383</v>
      </c>
      <c r="AM155" s="42">
        <f t="shared" si="61"/>
        <v>605.02577424657534</v>
      </c>
      <c r="AN155" s="43">
        <f t="shared" si="46"/>
        <v>643930.9</v>
      </c>
      <c r="AO155" s="43"/>
      <c r="AP155" s="42">
        <f t="shared" si="62"/>
        <v>67782.199999999953</v>
      </c>
      <c r="AQ155" s="43">
        <v>6</v>
      </c>
      <c r="AR155" s="44">
        <f t="shared" si="63"/>
        <v>0.90476190476190488</v>
      </c>
      <c r="AS155" s="45">
        <f t="shared" si="64"/>
        <v>1889.662670755506</v>
      </c>
      <c r="AU155" s="1">
        <v>610039.80000000005</v>
      </c>
      <c r="AV155" s="50">
        <v>33891.1</v>
      </c>
    </row>
    <row r="156" spans="1:48" s="1" customFormat="1" ht="37.200000000000003" thickTop="1" thickBot="1" x14ac:dyDescent="0.55000000000000004">
      <c r="A156" s="33">
        <v>149</v>
      </c>
      <c r="B156" s="34" t="s">
        <v>203</v>
      </c>
      <c r="C156" s="34" t="s">
        <v>965</v>
      </c>
      <c r="D156" s="35" t="s">
        <v>658</v>
      </c>
      <c r="E156" s="35" t="s">
        <v>966</v>
      </c>
      <c r="F156" s="36" t="s">
        <v>1113</v>
      </c>
      <c r="G156" s="36" t="s">
        <v>1420</v>
      </c>
      <c r="H156" s="36" t="s">
        <v>1421</v>
      </c>
      <c r="I156" s="36" t="s">
        <v>1421</v>
      </c>
      <c r="J156" s="36" t="s">
        <v>1421</v>
      </c>
      <c r="K156" s="36">
        <v>350</v>
      </c>
      <c r="L156" s="36" t="s">
        <v>1422</v>
      </c>
      <c r="M156" s="49">
        <v>4</v>
      </c>
      <c r="N156" s="37" t="s">
        <v>1571</v>
      </c>
      <c r="O156" s="37"/>
      <c r="P156" s="36">
        <v>1</v>
      </c>
      <c r="Q156" s="36" t="s">
        <v>1898</v>
      </c>
      <c r="R156" s="36" t="s">
        <v>2053</v>
      </c>
      <c r="S156" s="36" t="s">
        <v>1880</v>
      </c>
      <c r="T156" s="36" t="s">
        <v>1881</v>
      </c>
      <c r="U156" s="38">
        <v>45568</v>
      </c>
      <c r="V156" s="39">
        <v>761412</v>
      </c>
      <c r="W156" s="39" t="s">
        <v>2363</v>
      </c>
      <c r="X156" s="39" t="s">
        <v>2363</v>
      </c>
      <c r="Y156" s="40">
        <f t="shared" si="47"/>
        <v>38070.6</v>
      </c>
      <c r="Z156" s="40">
        <f t="shared" si="48"/>
        <v>799482.6</v>
      </c>
      <c r="AA156" s="41" t="str">
        <f t="shared" si="49"/>
        <v>0.0022</v>
      </c>
      <c r="AB156" s="41">
        <f t="shared" si="50"/>
        <v>0</v>
      </c>
      <c r="AC156" s="41">
        <f t="shared" si="51"/>
        <v>0</v>
      </c>
      <c r="AD156" s="41">
        <f t="shared" si="52"/>
        <v>0</v>
      </c>
      <c r="AE156" s="41">
        <f t="shared" si="53"/>
        <v>0</v>
      </c>
      <c r="AF156" s="41">
        <f t="shared" si="54"/>
        <v>0</v>
      </c>
      <c r="AG156" s="41">
        <f t="shared" si="55"/>
        <v>0</v>
      </c>
      <c r="AH156" s="41">
        <f t="shared" si="56"/>
        <v>0</v>
      </c>
      <c r="AI156" s="41">
        <f t="shared" si="57"/>
        <v>89</v>
      </c>
      <c r="AJ156" s="41">
        <f t="shared" si="58"/>
        <v>365</v>
      </c>
      <c r="AK156" s="41">
        <f t="shared" si="59"/>
        <v>181</v>
      </c>
      <c r="AL156" s="42">
        <f t="shared" si="60"/>
        <v>4.5893326027397263</v>
      </c>
      <c r="AM156" s="42">
        <f t="shared" si="61"/>
        <v>830.66920109589046</v>
      </c>
      <c r="AN156" s="43">
        <f t="shared" si="46"/>
        <v>723341.4</v>
      </c>
      <c r="AO156" s="43"/>
      <c r="AP156" s="42">
        <f t="shared" si="62"/>
        <v>76141.199999999953</v>
      </c>
      <c r="AQ156" s="43">
        <v>6</v>
      </c>
      <c r="AR156" s="44">
        <f t="shared" si="63"/>
        <v>0.90476190476190477</v>
      </c>
      <c r="AS156" s="45">
        <f t="shared" si="64"/>
        <v>2175.462857142857</v>
      </c>
      <c r="AU156" s="1">
        <v>685270.8</v>
      </c>
      <c r="AV156" s="50">
        <v>38070.6</v>
      </c>
    </row>
    <row r="157" spans="1:48" s="1" customFormat="1" ht="37.200000000000003" thickTop="1" thickBot="1" x14ac:dyDescent="0.55000000000000004">
      <c r="A157" s="33">
        <v>150</v>
      </c>
      <c r="B157" s="34" t="s">
        <v>204</v>
      </c>
      <c r="C157" s="34" t="s">
        <v>965</v>
      </c>
      <c r="D157" s="35" t="s">
        <v>659</v>
      </c>
      <c r="E157" s="35" t="s">
        <v>966</v>
      </c>
      <c r="F157" s="36" t="s">
        <v>1114</v>
      </c>
      <c r="G157" s="36" t="s">
        <v>1420</v>
      </c>
      <c r="H157" s="36" t="s">
        <v>1421</v>
      </c>
      <c r="I157" s="36" t="s">
        <v>1421</v>
      </c>
      <c r="J157" s="36" t="s">
        <v>1421</v>
      </c>
      <c r="K157" s="36">
        <v>375</v>
      </c>
      <c r="L157" s="36" t="s">
        <v>1422</v>
      </c>
      <c r="M157" s="49">
        <v>4</v>
      </c>
      <c r="N157" s="37" t="s">
        <v>1572</v>
      </c>
      <c r="O157" s="37"/>
      <c r="P157" s="36">
        <v>1</v>
      </c>
      <c r="Q157" s="36" t="s">
        <v>1941</v>
      </c>
      <c r="R157" s="36" t="s">
        <v>2054</v>
      </c>
      <c r="S157" s="36" t="s">
        <v>1880</v>
      </c>
      <c r="T157" s="36" t="s">
        <v>1881</v>
      </c>
      <c r="U157" s="38">
        <v>45568</v>
      </c>
      <c r="V157" s="39">
        <v>681474</v>
      </c>
      <c r="W157" s="39" t="s">
        <v>2363</v>
      </c>
      <c r="X157" s="39" t="s">
        <v>2363</v>
      </c>
      <c r="Y157" s="40">
        <f t="shared" si="47"/>
        <v>34073.699999999997</v>
      </c>
      <c r="Z157" s="40">
        <f t="shared" si="48"/>
        <v>715547.7</v>
      </c>
      <c r="AA157" s="41" t="str">
        <f t="shared" si="49"/>
        <v>0.0018</v>
      </c>
      <c r="AB157" s="41">
        <f t="shared" si="50"/>
        <v>0</v>
      </c>
      <c r="AC157" s="41">
        <f t="shared" si="51"/>
        <v>0</v>
      </c>
      <c r="AD157" s="41">
        <f t="shared" si="52"/>
        <v>0</v>
      </c>
      <c r="AE157" s="41">
        <f t="shared" si="53"/>
        <v>0</v>
      </c>
      <c r="AF157" s="41">
        <f t="shared" si="54"/>
        <v>0</v>
      </c>
      <c r="AG157" s="41">
        <f t="shared" si="55"/>
        <v>0</v>
      </c>
      <c r="AH157" s="41">
        <f t="shared" si="56"/>
        <v>0</v>
      </c>
      <c r="AI157" s="41">
        <f t="shared" si="57"/>
        <v>89</v>
      </c>
      <c r="AJ157" s="41">
        <f t="shared" si="58"/>
        <v>365</v>
      </c>
      <c r="AK157" s="41">
        <f t="shared" si="59"/>
        <v>181</v>
      </c>
      <c r="AL157" s="42">
        <f t="shared" si="60"/>
        <v>3.3606936986301368</v>
      </c>
      <c r="AM157" s="42">
        <f t="shared" si="61"/>
        <v>608.28555945205471</v>
      </c>
      <c r="AN157" s="43">
        <f t="shared" si="46"/>
        <v>613326.6</v>
      </c>
      <c r="AO157" s="43"/>
      <c r="AP157" s="42">
        <f t="shared" si="62"/>
        <v>102221.09999999998</v>
      </c>
      <c r="AQ157" s="43">
        <v>5</v>
      </c>
      <c r="AR157" s="44">
        <f t="shared" si="63"/>
        <v>0.85714285714285721</v>
      </c>
      <c r="AS157" s="45">
        <f t="shared" si="64"/>
        <v>1817.2639999999999</v>
      </c>
      <c r="AU157" s="1">
        <v>511105.49999999994</v>
      </c>
      <c r="AV157" s="50">
        <v>102221.1</v>
      </c>
    </row>
    <row r="158" spans="1:48" s="1" customFormat="1" ht="37.200000000000003" thickTop="1" thickBot="1" x14ac:dyDescent="0.55000000000000004">
      <c r="A158" s="33">
        <v>151</v>
      </c>
      <c r="B158" s="34" t="s">
        <v>205</v>
      </c>
      <c r="C158" s="34" t="s">
        <v>965</v>
      </c>
      <c r="D158" s="35" t="s">
        <v>660</v>
      </c>
      <c r="E158" s="35" t="s">
        <v>966</v>
      </c>
      <c r="F158" s="36" t="s">
        <v>1115</v>
      </c>
      <c r="G158" s="36" t="s">
        <v>1420</v>
      </c>
      <c r="H158" s="36" t="s">
        <v>1421</v>
      </c>
      <c r="I158" s="36" t="s">
        <v>1421</v>
      </c>
      <c r="J158" s="36" t="s">
        <v>1421</v>
      </c>
      <c r="K158" s="36">
        <v>350</v>
      </c>
      <c r="L158" s="36" t="s">
        <v>1422</v>
      </c>
      <c r="M158" s="49">
        <v>4</v>
      </c>
      <c r="N158" s="37" t="s">
        <v>1573</v>
      </c>
      <c r="O158" s="37"/>
      <c r="P158" s="36">
        <v>1</v>
      </c>
      <c r="Q158" s="36" t="s">
        <v>1941</v>
      </c>
      <c r="R158" s="36" t="s">
        <v>2055</v>
      </c>
      <c r="S158" s="36" t="s">
        <v>1880</v>
      </c>
      <c r="T158" s="36" t="s">
        <v>1883</v>
      </c>
      <c r="U158" s="38">
        <v>45568</v>
      </c>
      <c r="V158" s="39">
        <v>665974</v>
      </c>
      <c r="W158" s="39" t="s">
        <v>2363</v>
      </c>
      <c r="X158" s="39" t="s">
        <v>2363</v>
      </c>
      <c r="Y158" s="40">
        <f t="shared" si="47"/>
        <v>33298.699999999997</v>
      </c>
      <c r="Z158" s="40">
        <f t="shared" si="48"/>
        <v>699272.7</v>
      </c>
      <c r="AA158" s="41" t="str">
        <f t="shared" si="49"/>
        <v>0.0018</v>
      </c>
      <c r="AB158" s="41">
        <f t="shared" si="50"/>
        <v>0</v>
      </c>
      <c r="AC158" s="41">
        <f t="shared" si="51"/>
        <v>0</v>
      </c>
      <c r="AD158" s="41">
        <f t="shared" si="52"/>
        <v>0</v>
      </c>
      <c r="AE158" s="41">
        <f t="shared" si="53"/>
        <v>0</v>
      </c>
      <c r="AF158" s="41">
        <f t="shared" si="54"/>
        <v>0</v>
      </c>
      <c r="AG158" s="41">
        <f t="shared" si="55"/>
        <v>0</v>
      </c>
      <c r="AH158" s="41">
        <f t="shared" si="56"/>
        <v>0</v>
      </c>
      <c r="AI158" s="41">
        <f t="shared" si="57"/>
        <v>89</v>
      </c>
      <c r="AJ158" s="41">
        <f t="shared" si="58"/>
        <v>365</v>
      </c>
      <c r="AK158" s="41">
        <f t="shared" si="59"/>
        <v>181</v>
      </c>
      <c r="AL158" s="42">
        <f t="shared" si="60"/>
        <v>3.284255342465753</v>
      </c>
      <c r="AM158" s="42">
        <f t="shared" si="61"/>
        <v>594.45021698630126</v>
      </c>
      <c r="AN158" s="43">
        <f t="shared" si="46"/>
        <v>599376.6</v>
      </c>
      <c r="AO158" s="43"/>
      <c r="AP158" s="42">
        <f t="shared" si="62"/>
        <v>99896.099999999977</v>
      </c>
      <c r="AQ158" s="43">
        <v>5</v>
      </c>
      <c r="AR158" s="44">
        <f t="shared" si="63"/>
        <v>0.85714285714285721</v>
      </c>
      <c r="AS158" s="45">
        <f t="shared" si="64"/>
        <v>1902.7828571428572</v>
      </c>
      <c r="AU158" s="1">
        <v>399584.39999999997</v>
      </c>
      <c r="AV158" s="50">
        <v>199792.2</v>
      </c>
    </row>
    <row r="159" spans="1:48" s="1" customFormat="1" ht="37.200000000000003" thickTop="1" thickBot="1" x14ac:dyDescent="0.55000000000000004">
      <c r="A159" s="33">
        <v>152</v>
      </c>
      <c r="B159" s="34" t="s">
        <v>206</v>
      </c>
      <c r="C159" s="34" t="s">
        <v>965</v>
      </c>
      <c r="D159" s="35" t="s">
        <v>661</v>
      </c>
      <c r="E159" s="35" t="s">
        <v>966</v>
      </c>
      <c r="F159" s="36" t="s">
        <v>1116</v>
      </c>
      <c r="G159" s="36" t="s">
        <v>1420</v>
      </c>
      <c r="H159" s="36" t="s">
        <v>1421</v>
      </c>
      <c r="I159" s="36" t="s">
        <v>1421</v>
      </c>
      <c r="J159" s="36" t="s">
        <v>1421</v>
      </c>
      <c r="K159" s="36">
        <v>375</v>
      </c>
      <c r="L159" s="36" t="s">
        <v>1422</v>
      </c>
      <c r="M159" s="49">
        <v>4</v>
      </c>
      <c r="N159" s="37" t="s">
        <v>1574</v>
      </c>
      <c r="O159" s="37"/>
      <c r="P159" s="36">
        <v>1</v>
      </c>
      <c r="Q159" s="36" t="s">
        <v>1941</v>
      </c>
      <c r="R159" s="36" t="s">
        <v>2056</v>
      </c>
      <c r="S159" s="36" t="s">
        <v>1880</v>
      </c>
      <c r="T159" s="36" t="s">
        <v>1881</v>
      </c>
      <c r="U159" s="38">
        <v>45568</v>
      </c>
      <c r="V159" s="39">
        <v>682976</v>
      </c>
      <c r="W159" s="39" t="s">
        <v>2363</v>
      </c>
      <c r="X159" s="39" t="s">
        <v>2363</v>
      </c>
      <c r="Y159" s="40">
        <f t="shared" si="47"/>
        <v>34148.800000000003</v>
      </c>
      <c r="Z159" s="40">
        <f t="shared" si="48"/>
        <v>717124.8</v>
      </c>
      <c r="AA159" s="41" t="str">
        <f t="shared" si="49"/>
        <v>0.0018</v>
      </c>
      <c r="AB159" s="41">
        <f t="shared" si="50"/>
        <v>0</v>
      </c>
      <c r="AC159" s="41">
        <f t="shared" si="51"/>
        <v>0</v>
      </c>
      <c r="AD159" s="41">
        <f t="shared" si="52"/>
        <v>0</v>
      </c>
      <c r="AE159" s="41">
        <f t="shared" si="53"/>
        <v>0</v>
      </c>
      <c r="AF159" s="41">
        <f t="shared" si="54"/>
        <v>0</v>
      </c>
      <c r="AG159" s="41">
        <f t="shared" si="55"/>
        <v>0</v>
      </c>
      <c r="AH159" s="41">
        <f t="shared" si="56"/>
        <v>0</v>
      </c>
      <c r="AI159" s="41">
        <f t="shared" si="57"/>
        <v>89</v>
      </c>
      <c r="AJ159" s="41">
        <f t="shared" si="58"/>
        <v>365</v>
      </c>
      <c r="AK159" s="41">
        <f t="shared" si="59"/>
        <v>181</v>
      </c>
      <c r="AL159" s="42">
        <f t="shared" si="60"/>
        <v>3.3681008219178081</v>
      </c>
      <c r="AM159" s="42">
        <f t="shared" si="61"/>
        <v>609.62624876712323</v>
      </c>
      <c r="AN159" s="43">
        <f t="shared" si="46"/>
        <v>614678.4</v>
      </c>
      <c r="AO159" s="43"/>
      <c r="AP159" s="42">
        <f t="shared" si="62"/>
        <v>102446.40000000002</v>
      </c>
      <c r="AQ159" s="43">
        <v>5</v>
      </c>
      <c r="AR159" s="44">
        <f t="shared" si="63"/>
        <v>0.8571428571428571</v>
      </c>
      <c r="AS159" s="45">
        <f t="shared" si="64"/>
        <v>1821.2693333333334</v>
      </c>
      <c r="AU159" s="1">
        <v>512232.00000000006</v>
      </c>
      <c r="AV159" s="50">
        <v>102446.39999999999</v>
      </c>
    </row>
    <row r="160" spans="1:48" s="1" customFormat="1" ht="37.200000000000003" thickTop="1" thickBot="1" x14ac:dyDescent="0.55000000000000004">
      <c r="A160" s="33">
        <v>153</v>
      </c>
      <c r="B160" s="34" t="s">
        <v>207</v>
      </c>
      <c r="C160" s="34" t="s">
        <v>965</v>
      </c>
      <c r="D160" s="35" t="s">
        <v>662</v>
      </c>
      <c r="E160" s="35" t="s">
        <v>966</v>
      </c>
      <c r="F160" s="36" t="s">
        <v>1117</v>
      </c>
      <c r="G160" s="36" t="s">
        <v>1420</v>
      </c>
      <c r="H160" s="36" t="s">
        <v>1421</v>
      </c>
      <c r="I160" s="36" t="s">
        <v>1421</v>
      </c>
      <c r="J160" s="36" t="s">
        <v>1421</v>
      </c>
      <c r="K160" s="36">
        <v>375</v>
      </c>
      <c r="L160" s="36" t="s">
        <v>1422</v>
      </c>
      <c r="M160" s="49">
        <v>4</v>
      </c>
      <c r="N160" s="37" t="s">
        <v>1575</v>
      </c>
      <c r="O160" s="37"/>
      <c r="P160" s="36">
        <v>1</v>
      </c>
      <c r="Q160" s="36" t="s">
        <v>1941</v>
      </c>
      <c r="R160" s="36" t="s">
        <v>2057</v>
      </c>
      <c r="S160" s="36" t="s">
        <v>1880</v>
      </c>
      <c r="T160" s="36" t="s">
        <v>1883</v>
      </c>
      <c r="U160" s="38">
        <v>45568</v>
      </c>
      <c r="V160" s="39">
        <v>681474</v>
      </c>
      <c r="W160" s="39" t="s">
        <v>2363</v>
      </c>
      <c r="X160" s="39" t="s">
        <v>2363</v>
      </c>
      <c r="Y160" s="40">
        <f t="shared" si="47"/>
        <v>34073.699999999997</v>
      </c>
      <c r="Z160" s="40">
        <f t="shared" si="48"/>
        <v>715547.7</v>
      </c>
      <c r="AA160" s="41" t="str">
        <f t="shared" si="49"/>
        <v>0.0018</v>
      </c>
      <c r="AB160" s="41">
        <f t="shared" si="50"/>
        <v>0</v>
      </c>
      <c r="AC160" s="41">
        <f t="shared" si="51"/>
        <v>0</v>
      </c>
      <c r="AD160" s="41">
        <f t="shared" si="52"/>
        <v>0</v>
      </c>
      <c r="AE160" s="41">
        <f t="shared" si="53"/>
        <v>0</v>
      </c>
      <c r="AF160" s="41">
        <f t="shared" si="54"/>
        <v>0</v>
      </c>
      <c r="AG160" s="41">
        <f t="shared" si="55"/>
        <v>0</v>
      </c>
      <c r="AH160" s="41">
        <f t="shared" si="56"/>
        <v>0</v>
      </c>
      <c r="AI160" s="41">
        <f t="shared" si="57"/>
        <v>89</v>
      </c>
      <c r="AJ160" s="41">
        <f t="shared" si="58"/>
        <v>365</v>
      </c>
      <c r="AK160" s="41">
        <f t="shared" si="59"/>
        <v>181</v>
      </c>
      <c r="AL160" s="42">
        <f t="shared" si="60"/>
        <v>3.3606936986301368</v>
      </c>
      <c r="AM160" s="42">
        <f t="shared" si="61"/>
        <v>608.28555945205471</v>
      </c>
      <c r="AN160" s="43">
        <f t="shared" si="46"/>
        <v>613326.6</v>
      </c>
      <c r="AO160" s="43"/>
      <c r="AP160" s="42">
        <f t="shared" si="62"/>
        <v>102221.09999999998</v>
      </c>
      <c r="AQ160" s="43">
        <v>5</v>
      </c>
      <c r="AR160" s="44">
        <f t="shared" si="63"/>
        <v>0.85714285714285721</v>
      </c>
      <c r="AS160" s="45">
        <f t="shared" si="64"/>
        <v>1817.2639999999999</v>
      </c>
      <c r="AU160" s="1">
        <v>511105.49999999994</v>
      </c>
      <c r="AV160" s="50">
        <v>102221.1</v>
      </c>
    </row>
    <row r="161" spans="1:48" s="1" customFormat="1" ht="37.200000000000003" thickTop="1" thickBot="1" x14ac:dyDescent="0.55000000000000004">
      <c r="A161" s="33">
        <v>154</v>
      </c>
      <c r="B161" s="34" t="s">
        <v>208</v>
      </c>
      <c r="C161" s="34" t="s">
        <v>965</v>
      </c>
      <c r="D161" s="35" t="s">
        <v>663</v>
      </c>
      <c r="E161" s="35" t="s">
        <v>966</v>
      </c>
      <c r="F161" s="36" t="s">
        <v>1118</v>
      </c>
      <c r="G161" s="36" t="s">
        <v>1420</v>
      </c>
      <c r="H161" s="36" t="s">
        <v>1421</v>
      </c>
      <c r="I161" s="36" t="s">
        <v>1421</v>
      </c>
      <c r="J161" s="36" t="s">
        <v>1421</v>
      </c>
      <c r="K161" s="36">
        <v>375</v>
      </c>
      <c r="L161" s="36" t="s">
        <v>1422</v>
      </c>
      <c r="M161" s="49">
        <v>4</v>
      </c>
      <c r="N161" s="37" t="s">
        <v>1576</v>
      </c>
      <c r="O161" s="37"/>
      <c r="P161" s="36">
        <v>1</v>
      </c>
      <c r="Q161" s="36" t="s">
        <v>1933</v>
      </c>
      <c r="R161" s="36" t="s">
        <v>2058</v>
      </c>
      <c r="S161" s="36" t="s">
        <v>1880</v>
      </c>
      <c r="T161" s="36" t="s">
        <v>1881</v>
      </c>
      <c r="U161" s="38">
        <v>45568</v>
      </c>
      <c r="V161" s="39">
        <v>682974</v>
      </c>
      <c r="W161" s="39" t="s">
        <v>2363</v>
      </c>
      <c r="X161" s="39" t="s">
        <v>2363</v>
      </c>
      <c r="Y161" s="40">
        <f t="shared" si="47"/>
        <v>34148.699999999997</v>
      </c>
      <c r="Z161" s="40">
        <f t="shared" si="48"/>
        <v>717122.7</v>
      </c>
      <c r="AA161" s="41" t="str">
        <f t="shared" si="49"/>
        <v>0.0018</v>
      </c>
      <c r="AB161" s="41">
        <f t="shared" si="50"/>
        <v>0</v>
      </c>
      <c r="AC161" s="41">
        <f t="shared" si="51"/>
        <v>0</v>
      </c>
      <c r="AD161" s="41">
        <f t="shared" si="52"/>
        <v>0</v>
      </c>
      <c r="AE161" s="41">
        <f t="shared" si="53"/>
        <v>0</v>
      </c>
      <c r="AF161" s="41">
        <f t="shared" si="54"/>
        <v>0</v>
      </c>
      <c r="AG161" s="41">
        <f t="shared" si="55"/>
        <v>0</v>
      </c>
      <c r="AH161" s="41">
        <f t="shared" si="56"/>
        <v>0</v>
      </c>
      <c r="AI161" s="41">
        <f t="shared" si="57"/>
        <v>89</v>
      </c>
      <c r="AJ161" s="41">
        <f t="shared" si="58"/>
        <v>365</v>
      </c>
      <c r="AK161" s="41">
        <f t="shared" si="59"/>
        <v>181</v>
      </c>
      <c r="AL161" s="42">
        <f t="shared" si="60"/>
        <v>3.3680909589041095</v>
      </c>
      <c r="AM161" s="42">
        <f t="shared" si="61"/>
        <v>609.62446356164378</v>
      </c>
      <c r="AN161" s="43">
        <f t="shared" si="46"/>
        <v>614676.6</v>
      </c>
      <c r="AO161" s="43"/>
      <c r="AP161" s="42">
        <f t="shared" si="62"/>
        <v>102446.09999999998</v>
      </c>
      <c r="AQ161" s="43">
        <v>5</v>
      </c>
      <c r="AR161" s="44">
        <f t="shared" si="63"/>
        <v>0.85714285714285721</v>
      </c>
      <c r="AS161" s="45">
        <f t="shared" si="64"/>
        <v>1821.2639999999999</v>
      </c>
      <c r="AU161" s="1">
        <v>512230.49999999994</v>
      </c>
      <c r="AV161" s="50">
        <v>102446.1</v>
      </c>
    </row>
    <row r="162" spans="1:48" s="1" customFormat="1" ht="37.200000000000003" thickTop="1" thickBot="1" x14ac:dyDescent="0.55000000000000004">
      <c r="A162" s="33">
        <v>155</v>
      </c>
      <c r="B162" s="34" t="s">
        <v>209</v>
      </c>
      <c r="C162" s="34" t="s">
        <v>965</v>
      </c>
      <c r="D162" s="35" t="s">
        <v>664</v>
      </c>
      <c r="E162" s="35" t="s">
        <v>966</v>
      </c>
      <c r="F162" s="36" t="s">
        <v>1119</v>
      </c>
      <c r="G162" s="36" t="s">
        <v>1420</v>
      </c>
      <c r="H162" s="36" t="s">
        <v>1421</v>
      </c>
      <c r="I162" s="36" t="s">
        <v>1421</v>
      </c>
      <c r="J162" s="36" t="s">
        <v>1421</v>
      </c>
      <c r="K162" s="36">
        <v>375</v>
      </c>
      <c r="L162" s="36" t="s">
        <v>1422</v>
      </c>
      <c r="M162" s="49">
        <v>4</v>
      </c>
      <c r="N162" s="37" t="s">
        <v>1577</v>
      </c>
      <c r="O162" s="37"/>
      <c r="P162" s="36">
        <v>1</v>
      </c>
      <c r="Q162" s="36" t="s">
        <v>1931</v>
      </c>
      <c r="R162" s="36" t="s">
        <v>2059</v>
      </c>
      <c r="S162" s="36" t="s">
        <v>1880</v>
      </c>
      <c r="T162" s="36" t="s">
        <v>1881</v>
      </c>
      <c r="U162" s="38">
        <v>45568</v>
      </c>
      <c r="V162" s="39">
        <v>685974</v>
      </c>
      <c r="W162" s="39" t="s">
        <v>2363</v>
      </c>
      <c r="X162" s="39" t="s">
        <v>2363</v>
      </c>
      <c r="Y162" s="40">
        <f t="shared" si="47"/>
        <v>34298.699999999997</v>
      </c>
      <c r="Z162" s="40">
        <f t="shared" si="48"/>
        <v>720272.7</v>
      </c>
      <c r="AA162" s="41" t="str">
        <f t="shared" si="49"/>
        <v>0.0018</v>
      </c>
      <c r="AB162" s="41">
        <f t="shared" si="50"/>
        <v>0</v>
      </c>
      <c r="AC162" s="41">
        <f t="shared" si="51"/>
        <v>0</v>
      </c>
      <c r="AD162" s="41">
        <f t="shared" si="52"/>
        <v>0</v>
      </c>
      <c r="AE162" s="41">
        <f t="shared" si="53"/>
        <v>0</v>
      </c>
      <c r="AF162" s="41">
        <f t="shared" si="54"/>
        <v>0</v>
      </c>
      <c r="AG162" s="41">
        <f t="shared" si="55"/>
        <v>0</v>
      </c>
      <c r="AH162" s="41">
        <f t="shared" si="56"/>
        <v>0</v>
      </c>
      <c r="AI162" s="41">
        <f t="shared" si="57"/>
        <v>89</v>
      </c>
      <c r="AJ162" s="41">
        <f t="shared" si="58"/>
        <v>365</v>
      </c>
      <c r="AK162" s="41">
        <f t="shared" si="59"/>
        <v>181</v>
      </c>
      <c r="AL162" s="42">
        <f t="shared" si="60"/>
        <v>3.3828854794520544</v>
      </c>
      <c r="AM162" s="42">
        <f t="shared" si="61"/>
        <v>612.3022717808218</v>
      </c>
      <c r="AN162" s="43">
        <f t="shared" si="46"/>
        <v>651675.29999999993</v>
      </c>
      <c r="AO162" s="43"/>
      <c r="AP162" s="42">
        <f t="shared" si="62"/>
        <v>68597.400000000023</v>
      </c>
      <c r="AQ162" s="43">
        <v>5</v>
      </c>
      <c r="AR162" s="44">
        <f t="shared" si="63"/>
        <v>0.90476190476190477</v>
      </c>
      <c r="AS162" s="45">
        <f t="shared" si="64"/>
        <v>1829.2639999999999</v>
      </c>
      <c r="AU162" s="1">
        <v>651675.29999999993</v>
      </c>
      <c r="AV162" s="50">
        <v>0</v>
      </c>
    </row>
    <row r="163" spans="1:48" s="1" customFormat="1" ht="37.200000000000003" thickTop="1" thickBot="1" x14ac:dyDescent="0.55000000000000004">
      <c r="A163" s="33">
        <v>156</v>
      </c>
      <c r="B163" s="34" t="s">
        <v>210</v>
      </c>
      <c r="C163" s="34" t="s">
        <v>965</v>
      </c>
      <c r="D163" s="35" t="s">
        <v>665</v>
      </c>
      <c r="E163" s="35" t="s">
        <v>966</v>
      </c>
      <c r="F163" s="36" t="s">
        <v>1120</v>
      </c>
      <c r="G163" s="36" t="s">
        <v>1420</v>
      </c>
      <c r="H163" s="36" t="s">
        <v>1421</v>
      </c>
      <c r="I163" s="36" t="s">
        <v>1421</v>
      </c>
      <c r="J163" s="36" t="s">
        <v>1421</v>
      </c>
      <c r="K163" s="36">
        <v>375</v>
      </c>
      <c r="L163" s="36" t="s">
        <v>1422</v>
      </c>
      <c r="M163" s="49">
        <v>4</v>
      </c>
      <c r="N163" s="37" t="s">
        <v>1578</v>
      </c>
      <c r="O163" s="37"/>
      <c r="P163" s="36">
        <v>1</v>
      </c>
      <c r="Q163" s="36" t="s">
        <v>1929</v>
      </c>
      <c r="R163" s="36" t="s">
        <v>2060</v>
      </c>
      <c r="S163" s="36" t="s">
        <v>1880</v>
      </c>
      <c r="T163" s="36" t="s">
        <v>1881</v>
      </c>
      <c r="U163" s="38">
        <v>45568</v>
      </c>
      <c r="V163" s="39">
        <v>664270</v>
      </c>
      <c r="W163" s="39" t="s">
        <v>2363</v>
      </c>
      <c r="X163" s="39" t="s">
        <v>2363</v>
      </c>
      <c r="Y163" s="40">
        <f t="shared" si="47"/>
        <v>33213.5</v>
      </c>
      <c r="Z163" s="40">
        <f t="shared" si="48"/>
        <v>697483.5</v>
      </c>
      <c r="AA163" s="41" t="str">
        <f t="shared" si="49"/>
        <v>0.0018</v>
      </c>
      <c r="AB163" s="41">
        <f t="shared" si="50"/>
        <v>0</v>
      </c>
      <c r="AC163" s="41">
        <f t="shared" si="51"/>
        <v>0</v>
      </c>
      <c r="AD163" s="41">
        <f t="shared" si="52"/>
        <v>0</v>
      </c>
      <c r="AE163" s="41">
        <f t="shared" si="53"/>
        <v>0</v>
      </c>
      <c r="AF163" s="41">
        <f t="shared" si="54"/>
        <v>0</v>
      </c>
      <c r="AG163" s="41">
        <f t="shared" si="55"/>
        <v>0</v>
      </c>
      <c r="AH163" s="41">
        <f t="shared" si="56"/>
        <v>0</v>
      </c>
      <c r="AI163" s="41">
        <f t="shared" si="57"/>
        <v>89</v>
      </c>
      <c r="AJ163" s="41">
        <f t="shared" si="58"/>
        <v>365</v>
      </c>
      <c r="AK163" s="41">
        <f t="shared" si="59"/>
        <v>181</v>
      </c>
      <c r="AL163" s="42">
        <f t="shared" si="60"/>
        <v>3.2758520547945205</v>
      </c>
      <c r="AM163" s="42">
        <f t="shared" si="61"/>
        <v>592.92922191780815</v>
      </c>
      <c r="AN163" s="43">
        <f t="shared" si="46"/>
        <v>631056.5</v>
      </c>
      <c r="AO163" s="43"/>
      <c r="AP163" s="42">
        <f t="shared" si="62"/>
        <v>66427</v>
      </c>
      <c r="AQ163" s="43">
        <v>6</v>
      </c>
      <c r="AR163" s="44">
        <f t="shared" si="63"/>
        <v>0.90476190476190477</v>
      </c>
      <c r="AS163" s="45">
        <f t="shared" si="64"/>
        <v>1771.3866666666668</v>
      </c>
      <c r="AU163" s="1">
        <v>597843</v>
      </c>
      <c r="AV163" s="50">
        <v>33213.5</v>
      </c>
    </row>
    <row r="164" spans="1:48" s="1" customFormat="1" ht="37.200000000000003" thickTop="1" thickBot="1" x14ac:dyDescent="0.55000000000000004">
      <c r="A164" s="33">
        <v>157</v>
      </c>
      <c r="B164" s="34" t="s">
        <v>211</v>
      </c>
      <c r="C164" s="34" t="s">
        <v>965</v>
      </c>
      <c r="D164" s="35" t="s">
        <v>666</v>
      </c>
      <c r="E164" s="35" t="s">
        <v>966</v>
      </c>
      <c r="F164" s="36" t="s">
        <v>1121</v>
      </c>
      <c r="G164" s="36" t="s">
        <v>1420</v>
      </c>
      <c r="H164" s="36" t="s">
        <v>1421</v>
      </c>
      <c r="I164" s="36" t="s">
        <v>1421</v>
      </c>
      <c r="J164" s="36" t="s">
        <v>1421</v>
      </c>
      <c r="K164" s="36">
        <v>350</v>
      </c>
      <c r="L164" s="36" t="s">
        <v>1422</v>
      </c>
      <c r="M164" s="49">
        <v>4</v>
      </c>
      <c r="N164" s="37" t="s">
        <v>1579</v>
      </c>
      <c r="O164" s="37"/>
      <c r="P164" s="36">
        <v>1</v>
      </c>
      <c r="Q164" s="36" t="s">
        <v>1941</v>
      </c>
      <c r="R164" s="36" t="s">
        <v>2061</v>
      </c>
      <c r="S164" s="36" t="s">
        <v>1880</v>
      </c>
      <c r="T164" s="36" t="s">
        <v>1881</v>
      </c>
      <c r="U164" s="38">
        <v>45568</v>
      </c>
      <c r="V164" s="39">
        <v>665974</v>
      </c>
      <c r="W164" s="39" t="s">
        <v>2363</v>
      </c>
      <c r="X164" s="39" t="s">
        <v>2363</v>
      </c>
      <c r="Y164" s="40">
        <f t="shared" si="47"/>
        <v>33298.699999999997</v>
      </c>
      <c r="Z164" s="40">
        <f t="shared" si="48"/>
        <v>699272.7</v>
      </c>
      <c r="AA164" s="41" t="str">
        <f t="shared" si="49"/>
        <v>0.0018</v>
      </c>
      <c r="AB164" s="41">
        <f t="shared" si="50"/>
        <v>0</v>
      </c>
      <c r="AC164" s="41">
        <f t="shared" si="51"/>
        <v>0</v>
      </c>
      <c r="AD164" s="41">
        <f t="shared" si="52"/>
        <v>0</v>
      </c>
      <c r="AE164" s="41">
        <f t="shared" si="53"/>
        <v>0</v>
      </c>
      <c r="AF164" s="41">
        <f t="shared" si="54"/>
        <v>0</v>
      </c>
      <c r="AG164" s="41">
        <f t="shared" si="55"/>
        <v>0</v>
      </c>
      <c r="AH164" s="41">
        <f t="shared" si="56"/>
        <v>0</v>
      </c>
      <c r="AI164" s="41">
        <f t="shared" si="57"/>
        <v>89</v>
      </c>
      <c r="AJ164" s="41">
        <f t="shared" si="58"/>
        <v>365</v>
      </c>
      <c r="AK164" s="41">
        <f t="shared" si="59"/>
        <v>181</v>
      </c>
      <c r="AL164" s="42">
        <f t="shared" si="60"/>
        <v>3.284255342465753</v>
      </c>
      <c r="AM164" s="42">
        <f t="shared" si="61"/>
        <v>594.45021698630126</v>
      </c>
      <c r="AN164" s="43">
        <f t="shared" si="46"/>
        <v>599376.6</v>
      </c>
      <c r="AO164" s="43"/>
      <c r="AP164" s="42">
        <f t="shared" si="62"/>
        <v>99896.099999999977</v>
      </c>
      <c r="AQ164" s="43">
        <v>5</v>
      </c>
      <c r="AR164" s="44">
        <f t="shared" si="63"/>
        <v>0.85714285714285721</v>
      </c>
      <c r="AS164" s="45">
        <f t="shared" si="64"/>
        <v>1902.7828571428572</v>
      </c>
      <c r="AU164" s="1">
        <v>399584.39999999997</v>
      </c>
      <c r="AV164" s="50">
        <v>199792.2</v>
      </c>
    </row>
    <row r="165" spans="1:48" s="1" customFormat="1" ht="37.200000000000003" thickTop="1" thickBot="1" x14ac:dyDescent="0.55000000000000004">
      <c r="A165" s="33">
        <v>158</v>
      </c>
      <c r="B165" s="34" t="s">
        <v>212</v>
      </c>
      <c r="C165" s="34" t="s">
        <v>965</v>
      </c>
      <c r="D165" s="35" t="s">
        <v>667</v>
      </c>
      <c r="E165" s="35" t="s">
        <v>966</v>
      </c>
      <c r="F165" s="36" t="s">
        <v>1122</v>
      </c>
      <c r="G165" s="36" t="s">
        <v>1420</v>
      </c>
      <c r="H165" s="36" t="s">
        <v>1421</v>
      </c>
      <c r="I165" s="36" t="s">
        <v>1421</v>
      </c>
      <c r="J165" s="36" t="s">
        <v>1421</v>
      </c>
      <c r="K165" s="36">
        <v>375</v>
      </c>
      <c r="L165" s="36" t="s">
        <v>1422</v>
      </c>
      <c r="M165" s="49">
        <v>4</v>
      </c>
      <c r="N165" s="37" t="s">
        <v>1580</v>
      </c>
      <c r="O165" s="37"/>
      <c r="P165" s="36">
        <v>1</v>
      </c>
      <c r="Q165" s="36" t="s">
        <v>1933</v>
      </c>
      <c r="R165" s="36" t="s">
        <v>2062</v>
      </c>
      <c r="S165" s="36" t="s">
        <v>1880</v>
      </c>
      <c r="T165" s="36" t="s">
        <v>2004</v>
      </c>
      <c r="U165" s="38">
        <v>45568</v>
      </c>
      <c r="V165" s="39">
        <v>682974</v>
      </c>
      <c r="W165" s="39" t="s">
        <v>2363</v>
      </c>
      <c r="X165" s="39" t="s">
        <v>2363</v>
      </c>
      <c r="Y165" s="40">
        <f t="shared" si="47"/>
        <v>34148.699999999997</v>
      </c>
      <c r="Z165" s="40">
        <f t="shared" si="48"/>
        <v>717122.7</v>
      </c>
      <c r="AA165" s="41" t="str">
        <f t="shared" si="49"/>
        <v>0.0018</v>
      </c>
      <c r="AB165" s="41">
        <f t="shared" si="50"/>
        <v>0</v>
      </c>
      <c r="AC165" s="41">
        <f t="shared" si="51"/>
        <v>0</v>
      </c>
      <c r="AD165" s="41">
        <f t="shared" si="52"/>
        <v>0</v>
      </c>
      <c r="AE165" s="41">
        <f t="shared" si="53"/>
        <v>0</v>
      </c>
      <c r="AF165" s="41">
        <f t="shared" si="54"/>
        <v>0</v>
      </c>
      <c r="AG165" s="41">
        <f t="shared" si="55"/>
        <v>0</v>
      </c>
      <c r="AH165" s="41">
        <f t="shared" si="56"/>
        <v>0</v>
      </c>
      <c r="AI165" s="41">
        <f t="shared" si="57"/>
        <v>89</v>
      </c>
      <c r="AJ165" s="41">
        <f t="shared" si="58"/>
        <v>365</v>
      </c>
      <c r="AK165" s="41">
        <f t="shared" si="59"/>
        <v>181</v>
      </c>
      <c r="AL165" s="42">
        <f t="shared" si="60"/>
        <v>3.3680909589041095</v>
      </c>
      <c r="AM165" s="42">
        <f t="shared" si="61"/>
        <v>609.62446356164378</v>
      </c>
      <c r="AN165" s="43">
        <f t="shared" si="46"/>
        <v>614676.6</v>
      </c>
      <c r="AO165" s="43"/>
      <c r="AP165" s="42">
        <f t="shared" si="62"/>
        <v>102446.09999999998</v>
      </c>
      <c r="AQ165" s="43">
        <v>5</v>
      </c>
      <c r="AR165" s="44">
        <f t="shared" si="63"/>
        <v>0.85714285714285721</v>
      </c>
      <c r="AS165" s="45">
        <f t="shared" si="64"/>
        <v>1821.2639999999999</v>
      </c>
      <c r="AU165" s="1">
        <v>409784.39999999997</v>
      </c>
      <c r="AV165" s="50">
        <v>204892.2</v>
      </c>
    </row>
    <row r="166" spans="1:48" s="1" customFormat="1" ht="37.200000000000003" thickTop="1" thickBot="1" x14ac:dyDescent="0.55000000000000004">
      <c r="A166" s="33">
        <v>159</v>
      </c>
      <c r="B166" s="34" t="s">
        <v>213</v>
      </c>
      <c r="C166" s="34" t="s">
        <v>965</v>
      </c>
      <c r="D166" s="35" t="s">
        <v>668</v>
      </c>
      <c r="E166" s="35" t="s">
        <v>966</v>
      </c>
      <c r="F166" s="36" t="s">
        <v>1123</v>
      </c>
      <c r="G166" s="36" t="s">
        <v>1420</v>
      </c>
      <c r="H166" s="36" t="s">
        <v>1421</v>
      </c>
      <c r="I166" s="36" t="s">
        <v>1421</v>
      </c>
      <c r="J166" s="36" t="s">
        <v>1421</v>
      </c>
      <c r="K166" s="36">
        <v>375</v>
      </c>
      <c r="L166" s="36" t="s">
        <v>1422</v>
      </c>
      <c r="M166" s="49">
        <v>4</v>
      </c>
      <c r="N166" s="37" t="s">
        <v>1581</v>
      </c>
      <c r="O166" s="37"/>
      <c r="P166" s="36">
        <v>1</v>
      </c>
      <c r="Q166" s="36" t="s">
        <v>1941</v>
      </c>
      <c r="R166" s="36" t="s">
        <v>2063</v>
      </c>
      <c r="S166" s="36" t="s">
        <v>1880</v>
      </c>
      <c r="T166" s="36" t="s">
        <v>1881</v>
      </c>
      <c r="U166" s="38">
        <v>45568</v>
      </c>
      <c r="V166" s="39">
        <v>678474</v>
      </c>
      <c r="W166" s="39" t="s">
        <v>2363</v>
      </c>
      <c r="X166" s="39" t="s">
        <v>2363</v>
      </c>
      <c r="Y166" s="40">
        <f t="shared" si="47"/>
        <v>33923.699999999997</v>
      </c>
      <c r="Z166" s="40">
        <f t="shared" si="48"/>
        <v>712397.7</v>
      </c>
      <c r="AA166" s="41" t="str">
        <f t="shared" si="49"/>
        <v>0.0018</v>
      </c>
      <c r="AB166" s="41">
        <f t="shared" si="50"/>
        <v>0</v>
      </c>
      <c r="AC166" s="41">
        <f t="shared" si="51"/>
        <v>0</v>
      </c>
      <c r="AD166" s="41">
        <f t="shared" si="52"/>
        <v>0</v>
      </c>
      <c r="AE166" s="41">
        <f t="shared" si="53"/>
        <v>0</v>
      </c>
      <c r="AF166" s="41">
        <f t="shared" si="54"/>
        <v>0</v>
      </c>
      <c r="AG166" s="41">
        <f t="shared" si="55"/>
        <v>0</v>
      </c>
      <c r="AH166" s="41">
        <f t="shared" si="56"/>
        <v>0</v>
      </c>
      <c r="AI166" s="41">
        <f t="shared" si="57"/>
        <v>89</v>
      </c>
      <c r="AJ166" s="41">
        <f t="shared" si="58"/>
        <v>365</v>
      </c>
      <c r="AK166" s="41">
        <f t="shared" si="59"/>
        <v>181</v>
      </c>
      <c r="AL166" s="42">
        <f t="shared" si="60"/>
        <v>3.3458991780821914</v>
      </c>
      <c r="AM166" s="42">
        <f t="shared" si="61"/>
        <v>605.60775123287669</v>
      </c>
      <c r="AN166" s="43">
        <f t="shared" si="46"/>
        <v>610626.6</v>
      </c>
      <c r="AO166" s="43"/>
      <c r="AP166" s="42">
        <f t="shared" si="62"/>
        <v>101771.09999999998</v>
      </c>
      <c r="AQ166" s="43">
        <v>5</v>
      </c>
      <c r="AR166" s="44">
        <f t="shared" si="63"/>
        <v>0.85714285714285721</v>
      </c>
      <c r="AS166" s="45">
        <f t="shared" si="64"/>
        <v>1809.2639999999999</v>
      </c>
      <c r="AU166" s="1">
        <v>407084.39999999997</v>
      </c>
      <c r="AV166" s="50">
        <v>203542.2</v>
      </c>
    </row>
    <row r="167" spans="1:48" s="1" customFormat="1" ht="37.200000000000003" thickTop="1" thickBot="1" x14ac:dyDescent="0.55000000000000004">
      <c r="A167" s="33">
        <v>160</v>
      </c>
      <c r="B167" s="34" t="s">
        <v>214</v>
      </c>
      <c r="C167" s="34" t="s">
        <v>965</v>
      </c>
      <c r="D167" s="35" t="s">
        <v>669</v>
      </c>
      <c r="E167" s="35" t="s">
        <v>966</v>
      </c>
      <c r="F167" s="36" t="s">
        <v>1124</v>
      </c>
      <c r="G167" s="36" t="s">
        <v>1420</v>
      </c>
      <c r="H167" s="36" t="s">
        <v>1421</v>
      </c>
      <c r="I167" s="36" t="s">
        <v>1421</v>
      </c>
      <c r="J167" s="36" t="s">
        <v>1421</v>
      </c>
      <c r="K167" s="36">
        <v>400</v>
      </c>
      <c r="L167" s="36" t="s">
        <v>1422</v>
      </c>
      <c r="M167" s="49">
        <v>4</v>
      </c>
      <c r="N167" s="37" t="s">
        <v>1582</v>
      </c>
      <c r="O167" s="37"/>
      <c r="P167" s="36">
        <v>1</v>
      </c>
      <c r="Q167" s="36" t="s">
        <v>1962</v>
      </c>
      <c r="R167" s="36" t="s">
        <v>2064</v>
      </c>
      <c r="S167" s="36" t="s">
        <v>1880</v>
      </c>
      <c r="T167" s="36" t="s">
        <v>1881</v>
      </c>
      <c r="U167" s="38">
        <v>45575</v>
      </c>
      <c r="V167" s="39">
        <v>689474</v>
      </c>
      <c r="W167" s="39" t="s">
        <v>2363</v>
      </c>
      <c r="X167" s="39" t="s">
        <v>2363</v>
      </c>
      <c r="Y167" s="40">
        <f t="shared" si="47"/>
        <v>34473.699999999997</v>
      </c>
      <c r="Z167" s="40">
        <f t="shared" si="48"/>
        <v>723947.7</v>
      </c>
      <c r="AA167" s="41" t="str">
        <f t="shared" si="49"/>
        <v>0.0018</v>
      </c>
      <c r="AB167" s="41">
        <f t="shared" si="50"/>
        <v>0</v>
      </c>
      <c r="AC167" s="41">
        <f t="shared" si="51"/>
        <v>0</v>
      </c>
      <c r="AD167" s="41">
        <f t="shared" si="52"/>
        <v>0</v>
      </c>
      <c r="AE167" s="41">
        <f t="shared" si="53"/>
        <v>0</v>
      </c>
      <c r="AF167" s="41">
        <f t="shared" si="54"/>
        <v>0</v>
      </c>
      <c r="AG167" s="41">
        <f t="shared" si="55"/>
        <v>0</v>
      </c>
      <c r="AH167" s="41">
        <f t="shared" si="56"/>
        <v>0</v>
      </c>
      <c r="AI167" s="41">
        <f t="shared" si="57"/>
        <v>82</v>
      </c>
      <c r="AJ167" s="41">
        <f t="shared" si="58"/>
        <v>365</v>
      </c>
      <c r="AK167" s="41">
        <f t="shared" si="59"/>
        <v>181</v>
      </c>
      <c r="AL167" s="42">
        <f t="shared" si="60"/>
        <v>3.4001457534246575</v>
      </c>
      <c r="AM167" s="42">
        <f t="shared" si="61"/>
        <v>615.42638136986307</v>
      </c>
      <c r="AN167" s="43">
        <f t="shared" si="46"/>
        <v>655000.29999999993</v>
      </c>
      <c r="AO167" s="43"/>
      <c r="AP167" s="42">
        <f t="shared" si="62"/>
        <v>68947.400000000023</v>
      </c>
      <c r="AQ167" s="43">
        <v>6</v>
      </c>
      <c r="AR167" s="44">
        <f t="shared" si="63"/>
        <v>0.90476190476190477</v>
      </c>
      <c r="AS167" s="45">
        <f t="shared" si="64"/>
        <v>1723.6849999999999</v>
      </c>
      <c r="AU167" s="1">
        <v>620526.6</v>
      </c>
      <c r="AV167" s="50">
        <v>34473.699999999997</v>
      </c>
    </row>
    <row r="168" spans="1:48" s="1" customFormat="1" ht="37.200000000000003" thickTop="1" thickBot="1" x14ac:dyDescent="0.55000000000000004">
      <c r="A168" s="33">
        <v>161</v>
      </c>
      <c r="B168" s="34" t="s">
        <v>215</v>
      </c>
      <c r="C168" s="34" t="s">
        <v>965</v>
      </c>
      <c r="D168" s="35" t="s">
        <v>670</v>
      </c>
      <c r="E168" s="35" t="s">
        <v>966</v>
      </c>
      <c r="F168" s="36" t="s">
        <v>1125</v>
      </c>
      <c r="G168" s="36" t="s">
        <v>1420</v>
      </c>
      <c r="H168" s="36" t="s">
        <v>1421</v>
      </c>
      <c r="I168" s="36" t="s">
        <v>1421</v>
      </c>
      <c r="J168" s="36" t="s">
        <v>1421</v>
      </c>
      <c r="K168" s="36">
        <v>350</v>
      </c>
      <c r="L168" s="36" t="s">
        <v>1422</v>
      </c>
      <c r="M168" s="49">
        <v>4</v>
      </c>
      <c r="N168" s="37" t="s">
        <v>1583</v>
      </c>
      <c r="O168" s="37"/>
      <c r="P168" s="36">
        <v>1</v>
      </c>
      <c r="Q168" s="36" t="s">
        <v>1941</v>
      </c>
      <c r="R168" s="36" t="s">
        <v>2065</v>
      </c>
      <c r="S168" s="36" t="s">
        <v>1880</v>
      </c>
      <c r="T168" s="36" t="s">
        <v>1901</v>
      </c>
      <c r="U168" s="38">
        <v>45575</v>
      </c>
      <c r="V168" s="39">
        <v>670476</v>
      </c>
      <c r="W168" s="39" t="s">
        <v>2363</v>
      </c>
      <c r="X168" s="39" t="s">
        <v>2363</v>
      </c>
      <c r="Y168" s="40">
        <f t="shared" si="47"/>
        <v>33523.800000000003</v>
      </c>
      <c r="Z168" s="40">
        <f t="shared" si="48"/>
        <v>703999.8</v>
      </c>
      <c r="AA168" s="41" t="str">
        <f t="shared" si="49"/>
        <v>0.0018</v>
      </c>
      <c r="AB168" s="41">
        <f t="shared" si="50"/>
        <v>0</v>
      </c>
      <c r="AC168" s="41">
        <f t="shared" si="51"/>
        <v>0</v>
      </c>
      <c r="AD168" s="41">
        <f t="shared" si="52"/>
        <v>0</v>
      </c>
      <c r="AE168" s="41">
        <f t="shared" si="53"/>
        <v>0</v>
      </c>
      <c r="AF168" s="41">
        <f t="shared" si="54"/>
        <v>0</v>
      </c>
      <c r="AG168" s="41">
        <f t="shared" si="55"/>
        <v>0</v>
      </c>
      <c r="AH168" s="41">
        <f t="shared" si="56"/>
        <v>0</v>
      </c>
      <c r="AI168" s="41">
        <f t="shared" si="57"/>
        <v>82</v>
      </c>
      <c r="AJ168" s="41">
        <f t="shared" si="58"/>
        <v>365</v>
      </c>
      <c r="AK168" s="41">
        <f t="shared" si="59"/>
        <v>181</v>
      </c>
      <c r="AL168" s="42">
        <f t="shared" si="60"/>
        <v>3.3064569863013697</v>
      </c>
      <c r="AM168" s="42">
        <f t="shared" si="61"/>
        <v>598.46871452054791</v>
      </c>
      <c r="AN168" s="43">
        <f t="shared" si="46"/>
        <v>603428.4</v>
      </c>
      <c r="AO168" s="43"/>
      <c r="AP168" s="42">
        <f t="shared" si="62"/>
        <v>100571.40000000002</v>
      </c>
      <c r="AQ168" s="43">
        <v>5</v>
      </c>
      <c r="AR168" s="44">
        <f t="shared" si="63"/>
        <v>0.8571428571428571</v>
      </c>
      <c r="AS168" s="45">
        <f t="shared" si="64"/>
        <v>1915.6457142857143</v>
      </c>
      <c r="AU168" s="1">
        <v>402285.60000000003</v>
      </c>
      <c r="AV168" s="50">
        <v>201142.8</v>
      </c>
    </row>
    <row r="169" spans="1:48" s="1" customFormat="1" ht="37.200000000000003" thickTop="1" thickBot="1" x14ac:dyDescent="0.55000000000000004">
      <c r="A169" s="33">
        <v>162</v>
      </c>
      <c r="B169" s="34" t="s">
        <v>216</v>
      </c>
      <c r="C169" s="34" t="s">
        <v>965</v>
      </c>
      <c r="D169" s="35" t="s">
        <v>671</v>
      </c>
      <c r="E169" s="35" t="s">
        <v>966</v>
      </c>
      <c r="F169" s="36" t="s">
        <v>1126</v>
      </c>
      <c r="G169" s="36" t="s">
        <v>1420</v>
      </c>
      <c r="H169" s="36" t="s">
        <v>1421</v>
      </c>
      <c r="I169" s="36" t="s">
        <v>1421</v>
      </c>
      <c r="J169" s="36" t="s">
        <v>1421</v>
      </c>
      <c r="K169" s="36">
        <v>350</v>
      </c>
      <c r="L169" s="36" t="s">
        <v>1422</v>
      </c>
      <c r="M169" s="49">
        <v>4</v>
      </c>
      <c r="N169" s="37" t="s">
        <v>1584</v>
      </c>
      <c r="O169" s="37"/>
      <c r="P169" s="36">
        <v>1</v>
      </c>
      <c r="Q169" s="36" t="s">
        <v>1995</v>
      </c>
      <c r="R169" s="36" t="s">
        <v>2066</v>
      </c>
      <c r="S169" s="36" t="s">
        <v>1880</v>
      </c>
      <c r="T169" s="36" t="s">
        <v>1881</v>
      </c>
      <c r="U169" s="38">
        <v>45803</v>
      </c>
      <c r="V169" s="39">
        <v>673474</v>
      </c>
      <c r="W169" s="39" t="s">
        <v>2363</v>
      </c>
      <c r="X169" s="39" t="s">
        <v>2363</v>
      </c>
      <c r="Y169" s="40">
        <f t="shared" si="47"/>
        <v>33673.699999999997</v>
      </c>
      <c r="Z169" s="40">
        <f t="shared" si="48"/>
        <v>707147.7</v>
      </c>
      <c r="AA169" s="41" t="str">
        <f t="shared" si="49"/>
        <v>0.0018</v>
      </c>
      <c r="AB169" s="41">
        <f t="shared" si="50"/>
        <v>0</v>
      </c>
      <c r="AC169" s="41">
        <f t="shared" si="51"/>
        <v>0</v>
      </c>
      <c r="AD169" s="41">
        <f t="shared" si="52"/>
        <v>0</v>
      </c>
      <c r="AE169" s="41">
        <f t="shared" si="53"/>
        <v>0</v>
      </c>
      <c r="AF169" s="41">
        <f t="shared" si="54"/>
        <v>0</v>
      </c>
      <c r="AG169" s="41">
        <f t="shared" si="55"/>
        <v>0</v>
      </c>
      <c r="AH169" s="41">
        <f t="shared" si="56"/>
        <v>0</v>
      </c>
      <c r="AI169" s="41">
        <f t="shared" si="57"/>
        <v>0</v>
      </c>
      <c r="AJ169" s="41">
        <f t="shared" si="58"/>
        <v>219</v>
      </c>
      <c r="AK169" s="41">
        <f t="shared" si="59"/>
        <v>181</v>
      </c>
      <c r="AL169" s="42">
        <f t="shared" si="60"/>
        <v>3.321241643835616</v>
      </c>
      <c r="AM169" s="42">
        <f t="shared" si="61"/>
        <v>601.14473753424647</v>
      </c>
      <c r="AN169" s="43">
        <f t="shared" si="46"/>
        <v>639800.30000000005</v>
      </c>
      <c r="AO169" s="43"/>
      <c r="AP169" s="42">
        <f t="shared" si="62"/>
        <v>67347.399999999907</v>
      </c>
      <c r="AQ169" s="43">
        <v>6</v>
      </c>
      <c r="AR169" s="44">
        <f t="shared" si="63"/>
        <v>0.90476190476190488</v>
      </c>
      <c r="AS169" s="45">
        <f t="shared" si="64"/>
        <v>1924.2114285714285</v>
      </c>
      <c r="AU169" s="1">
        <v>606126.60000000009</v>
      </c>
      <c r="AV169" s="50">
        <v>33673.699999999997</v>
      </c>
    </row>
    <row r="170" spans="1:48" s="1" customFormat="1" ht="37.200000000000003" thickTop="1" thickBot="1" x14ac:dyDescent="0.55000000000000004">
      <c r="A170" s="33">
        <v>163</v>
      </c>
      <c r="B170" s="34" t="s">
        <v>217</v>
      </c>
      <c r="C170" s="34" t="s">
        <v>965</v>
      </c>
      <c r="D170" s="35" t="s">
        <v>672</v>
      </c>
      <c r="E170" s="35" t="s">
        <v>966</v>
      </c>
      <c r="F170" s="36" t="s">
        <v>1127</v>
      </c>
      <c r="G170" s="36" t="s">
        <v>1420</v>
      </c>
      <c r="H170" s="36" t="s">
        <v>1421</v>
      </c>
      <c r="I170" s="36" t="s">
        <v>1421</v>
      </c>
      <c r="J170" s="36" t="s">
        <v>1421</v>
      </c>
      <c r="K170" s="36">
        <v>350</v>
      </c>
      <c r="L170" s="36" t="s">
        <v>1422</v>
      </c>
      <c r="M170" s="49">
        <v>4</v>
      </c>
      <c r="N170" s="37" t="s">
        <v>1585</v>
      </c>
      <c r="O170" s="37"/>
      <c r="P170" s="36">
        <v>1</v>
      </c>
      <c r="Q170" s="36" t="s">
        <v>2039</v>
      </c>
      <c r="R170" s="36" t="s">
        <v>2067</v>
      </c>
      <c r="S170" s="36" t="s">
        <v>1880</v>
      </c>
      <c r="T170" s="36" t="s">
        <v>1883</v>
      </c>
      <c r="U170" s="38">
        <v>45581</v>
      </c>
      <c r="V170" s="39">
        <v>711474</v>
      </c>
      <c r="W170" s="39" t="s">
        <v>2363</v>
      </c>
      <c r="X170" s="39" t="s">
        <v>2363</v>
      </c>
      <c r="Y170" s="40">
        <f t="shared" si="47"/>
        <v>35573.699999999997</v>
      </c>
      <c r="Z170" s="40">
        <f t="shared" si="48"/>
        <v>747047.7</v>
      </c>
      <c r="AA170" s="41" t="str">
        <f t="shared" si="49"/>
        <v>0.0022</v>
      </c>
      <c r="AB170" s="41">
        <f t="shared" si="50"/>
        <v>0</v>
      </c>
      <c r="AC170" s="41">
        <f t="shared" si="51"/>
        <v>0</v>
      </c>
      <c r="AD170" s="41">
        <f t="shared" si="52"/>
        <v>0</v>
      </c>
      <c r="AE170" s="41">
        <f t="shared" si="53"/>
        <v>0</v>
      </c>
      <c r="AF170" s="41">
        <f t="shared" si="54"/>
        <v>0</v>
      </c>
      <c r="AG170" s="41">
        <f t="shared" si="55"/>
        <v>0</v>
      </c>
      <c r="AH170" s="41">
        <f t="shared" si="56"/>
        <v>0</v>
      </c>
      <c r="AI170" s="41">
        <f t="shared" si="57"/>
        <v>76</v>
      </c>
      <c r="AJ170" s="41">
        <f t="shared" si="58"/>
        <v>365</v>
      </c>
      <c r="AK170" s="41">
        <f t="shared" si="59"/>
        <v>181</v>
      </c>
      <c r="AL170" s="42">
        <f t="shared" si="60"/>
        <v>4.288336438356164</v>
      </c>
      <c r="AM170" s="42">
        <f t="shared" si="61"/>
        <v>776.18889534246568</v>
      </c>
      <c r="AN170" s="43">
        <f t="shared" si="46"/>
        <v>675900.29999999993</v>
      </c>
      <c r="AO170" s="43"/>
      <c r="AP170" s="42">
        <f t="shared" si="62"/>
        <v>71147.400000000023</v>
      </c>
      <c r="AQ170" s="43">
        <v>6</v>
      </c>
      <c r="AR170" s="44">
        <f t="shared" si="63"/>
        <v>0.90476190476190477</v>
      </c>
      <c r="AS170" s="45">
        <f t="shared" si="64"/>
        <v>2032.7828571428572</v>
      </c>
      <c r="AU170" s="1">
        <v>640326.6</v>
      </c>
      <c r="AV170" s="50">
        <v>35573.699999999997</v>
      </c>
    </row>
    <row r="171" spans="1:48" s="1" customFormat="1" ht="37.200000000000003" thickTop="1" thickBot="1" x14ac:dyDescent="0.55000000000000004">
      <c r="A171" s="33">
        <v>164</v>
      </c>
      <c r="B171" s="34" t="s">
        <v>218</v>
      </c>
      <c r="C171" s="34" t="s">
        <v>965</v>
      </c>
      <c r="D171" s="35" t="s">
        <v>673</v>
      </c>
      <c r="E171" s="35" t="s">
        <v>966</v>
      </c>
      <c r="F171" s="36" t="s">
        <v>1128</v>
      </c>
      <c r="G171" s="36" t="s">
        <v>1420</v>
      </c>
      <c r="H171" s="36" t="s">
        <v>1421</v>
      </c>
      <c r="I171" s="36" t="s">
        <v>1421</v>
      </c>
      <c r="J171" s="36" t="s">
        <v>1421</v>
      </c>
      <c r="K171" s="36">
        <v>350</v>
      </c>
      <c r="L171" s="36" t="s">
        <v>1422</v>
      </c>
      <c r="M171" s="49">
        <v>4</v>
      </c>
      <c r="N171" s="37" t="s">
        <v>1586</v>
      </c>
      <c r="O171" s="37"/>
      <c r="P171" s="36">
        <v>1</v>
      </c>
      <c r="Q171" s="36" t="s">
        <v>1933</v>
      </c>
      <c r="R171" s="36" t="s">
        <v>2068</v>
      </c>
      <c r="S171" s="36" t="s">
        <v>1880</v>
      </c>
      <c r="T171" s="36" t="s">
        <v>1883</v>
      </c>
      <c r="U171" s="38">
        <v>45581</v>
      </c>
      <c r="V171" s="39">
        <v>670474</v>
      </c>
      <c r="W171" s="39" t="s">
        <v>2363</v>
      </c>
      <c r="X171" s="39" t="s">
        <v>2363</v>
      </c>
      <c r="Y171" s="40">
        <f t="shared" si="47"/>
        <v>33523.699999999997</v>
      </c>
      <c r="Z171" s="40">
        <f t="shared" si="48"/>
        <v>703997.7</v>
      </c>
      <c r="AA171" s="41" t="str">
        <f t="shared" si="49"/>
        <v>0.0018</v>
      </c>
      <c r="AB171" s="41">
        <f t="shared" si="50"/>
        <v>0</v>
      </c>
      <c r="AC171" s="41">
        <f t="shared" si="51"/>
        <v>0</v>
      </c>
      <c r="AD171" s="41">
        <f t="shared" si="52"/>
        <v>0</v>
      </c>
      <c r="AE171" s="41">
        <f t="shared" si="53"/>
        <v>0</v>
      </c>
      <c r="AF171" s="41">
        <f t="shared" si="54"/>
        <v>0</v>
      </c>
      <c r="AG171" s="41">
        <f t="shared" si="55"/>
        <v>0</v>
      </c>
      <c r="AH171" s="41">
        <f t="shared" si="56"/>
        <v>0</v>
      </c>
      <c r="AI171" s="41">
        <f t="shared" si="57"/>
        <v>76</v>
      </c>
      <c r="AJ171" s="41">
        <f t="shared" si="58"/>
        <v>365</v>
      </c>
      <c r="AK171" s="41">
        <f t="shared" si="59"/>
        <v>181</v>
      </c>
      <c r="AL171" s="42">
        <f t="shared" si="60"/>
        <v>3.3064471232876711</v>
      </c>
      <c r="AM171" s="42">
        <f t="shared" si="61"/>
        <v>598.46692931506846</v>
      </c>
      <c r="AN171" s="43">
        <f t="shared" si="46"/>
        <v>603426.6</v>
      </c>
      <c r="AO171" s="43"/>
      <c r="AP171" s="42">
        <f t="shared" si="62"/>
        <v>100571.09999999998</v>
      </c>
      <c r="AQ171" s="43">
        <v>5</v>
      </c>
      <c r="AR171" s="44">
        <f t="shared" si="63"/>
        <v>0.85714285714285721</v>
      </c>
      <c r="AS171" s="45">
        <f t="shared" si="64"/>
        <v>1915.64</v>
      </c>
      <c r="AU171" s="1">
        <v>502855.49999999994</v>
      </c>
      <c r="AV171" s="50">
        <v>100571.1</v>
      </c>
    </row>
    <row r="172" spans="1:48" s="1" customFormat="1" ht="37.200000000000003" thickTop="1" thickBot="1" x14ac:dyDescent="0.55000000000000004">
      <c r="A172" s="33">
        <v>165</v>
      </c>
      <c r="B172" s="34" t="s">
        <v>219</v>
      </c>
      <c r="C172" s="34" t="s">
        <v>965</v>
      </c>
      <c r="D172" s="35" t="s">
        <v>674</v>
      </c>
      <c r="E172" s="35" t="s">
        <v>966</v>
      </c>
      <c r="F172" s="36" t="s">
        <v>1129</v>
      </c>
      <c r="G172" s="36" t="s">
        <v>1420</v>
      </c>
      <c r="H172" s="36" t="s">
        <v>1421</v>
      </c>
      <c r="I172" s="36" t="s">
        <v>1421</v>
      </c>
      <c r="J172" s="36" t="s">
        <v>1421</v>
      </c>
      <c r="K172" s="36">
        <v>350</v>
      </c>
      <c r="L172" s="36" t="s">
        <v>1422</v>
      </c>
      <c r="M172" s="49">
        <v>4</v>
      </c>
      <c r="N172" s="37" t="s">
        <v>1587</v>
      </c>
      <c r="O172" s="37"/>
      <c r="P172" s="36">
        <v>1</v>
      </c>
      <c r="Q172" s="36" t="s">
        <v>1915</v>
      </c>
      <c r="R172" s="36" t="s">
        <v>2069</v>
      </c>
      <c r="S172" s="36" t="s">
        <v>1880</v>
      </c>
      <c r="T172" s="36" t="s">
        <v>1901</v>
      </c>
      <c r="U172" s="38">
        <v>45581</v>
      </c>
      <c r="V172" s="39">
        <v>752412</v>
      </c>
      <c r="W172" s="39" t="s">
        <v>2363</v>
      </c>
      <c r="X172" s="39" t="s">
        <v>2363</v>
      </c>
      <c r="Y172" s="40">
        <f t="shared" si="47"/>
        <v>37620.6</v>
      </c>
      <c r="Z172" s="40">
        <f t="shared" si="48"/>
        <v>790032.6</v>
      </c>
      <c r="AA172" s="41" t="str">
        <f t="shared" si="49"/>
        <v>0.0022</v>
      </c>
      <c r="AB172" s="41">
        <f t="shared" si="50"/>
        <v>0</v>
      </c>
      <c r="AC172" s="41">
        <f t="shared" si="51"/>
        <v>0</v>
      </c>
      <c r="AD172" s="41">
        <f t="shared" si="52"/>
        <v>0</v>
      </c>
      <c r="AE172" s="41">
        <f t="shared" si="53"/>
        <v>0</v>
      </c>
      <c r="AF172" s="41">
        <f t="shared" si="54"/>
        <v>0</v>
      </c>
      <c r="AG172" s="41">
        <f t="shared" si="55"/>
        <v>0</v>
      </c>
      <c r="AH172" s="41">
        <f t="shared" si="56"/>
        <v>0</v>
      </c>
      <c r="AI172" s="41">
        <f t="shared" si="57"/>
        <v>76</v>
      </c>
      <c r="AJ172" s="41">
        <f t="shared" si="58"/>
        <v>365</v>
      </c>
      <c r="AK172" s="41">
        <f t="shared" si="59"/>
        <v>181</v>
      </c>
      <c r="AL172" s="42">
        <f t="shared" si="60"/>
        <v>4.5350860273972611</v>
      </c>
      <c r="AM172" s="42">
        <f t="shared" si="61"/>
        <v>820.8505709589042</v>
      </c>
      <c r="AN172" s="43">
        <f t="shared" si="46"/>
        <v>714791.4</v>
      </c>
      <c r="AO172" s="43"/>
      <c r="AP172" s="42">
        <f t="shared" si="62"/>
        <v>75241.199999999953</v>
      </c>
      <c r="AQ172" s="43">
        <v>6</v>
      </c>
      <c r="AR172" s="44">
        <f t="shared" si="63"/>
        <v>0.90476190476190477</v>
      </c>
      <c r="AS172" s="45">
        <f t="shared" si="64"/>
        <v>2149.7485714285713</v>
      </c>
      <c r="AU172" s="1">
        <v>677170.8</v>
      </c>
      <c r="AV172" s="50">
        <v>37620.6</v>
      </c>
    </row>
    <row r="173" spans="1:48" s="1" customFormat="1" ht="37.200000000000003" thickTop="1" thickBot="1" x14ac:dyDescent="0.55000000000000004">
      <c r="A173" s="33">
        <v>166</v>
      </c>
      <c r="B173" s="34" t="s">
        <v>220</v>
      </c>
      <c r="C173" s="34" t="s">
        <v>965</v>
      </c>
      <c r="D173" s="35" t="s">
        <v>675</v>
      </c>
      <c r="E173" s="35" t="s">
        <v>966</v>
      </c>
      <c r="F173" s="36" t="s">
        <v>1130</v>
      </c>
      <c r="G173" s="36" t="s">
        <v>1420</v>
      </c>
      <c r="H173" s="36" t="s">
        <v>1421</v>
      </c>
      <c r="I173" s="36" t="s">
        <v>1421</v>
      </c>
      <c r="J173" s="36" t="s">
        <v>1421</v>
      </c>
      <c r="K173" s="36">
        <v>358</v>
      </c>
      <c r="L173" s="36" t="s">
        <v>1422</v>
      </c>
      <c r="M173" s="49">
        <v>4</v>
      </c>
      <c r="N173" s="37" t="s">
        <v>1588</v>
      </c>
      <c r="O173" s="37"/>
      <c r="P173" s="36">
        <v>1</v>
      </c>
      <c r="Q173" s="36" t="s">
        <v>1933</v>
      </c>
      <c r="R173" s="36" t="s">
        <v>2070</v>
      </c>
      <c r="S173" s="36" t="s">
        <v>1880</v>
      </c>
      <c r="T173" s="36" t="s">
        <v>2071</v>
      </c>
      <c r="U173" s="38">
        <v>45581</v>
      </c>
      <c r="V173" s="39">
        <v>775414</v>
      </c>
      <c r="W173" s="39" t="s">
        <v>2363</v>
      </c>
      <c r="X173" s="39" t="s">
        <v>2363</v>
      </c>
      <c r="Y173" s="40">
        <f t="shared" si="47"/>
        <v>38770.699999999997</v>
      </c>
      <c r="Z173" s="40">
        <f t="shared" si="48"/>
        <v>814184.7</v>
      </c>
      <c r="AA173" s="41" t="str">
        <f t="shared" si="49"/>
        <v>0.0022</v>
      </c>
      <c r="AB173" s="41">
        <f t="shared" si="50"/>
        <v>0</v>
      </c>
      <c r="AC173" s="41">
        <f t="shared" si="51"/>
        <v>0</v>
      </c>
      <c r="AD173" s="41">
        <f t="shared" si="52"/>
        <v>0</v>
      </c>
      <c r="AE173" s="41">
        <f t="shared" si="53"/>
        <v>0</v>
      </c>
      <c r="AF173" s="41">
        <f t="shared" si="54"/>
        <v>0</v>
      </c>
      <c r="AG173" s="41">
        <f t="shared" si="55"/>
        <v>0</v>
      </c>
      <c r="AH173" s="41">
        <f t="shared" si="56"/>
        <v>0</v>
      </c>
      <c r="AI173" s="41">
        <f t="shared" si="57"/>
        <v>76</v>
      </c>
      <c r="AJ173" s="41">
        <f t="shared" si="58"/>
        <v>365</v>
      </c>
      <c r="AK173" s="41">
        <f t="shared" si="59"/>
        <v>181</v>
      </c>
      <c r="AL173" s="42">
        <f t="shared" si="60"/>
        <v>4.6737282191780825</v>
      </c>
      <c r="AM173" s="42">
        <f t="shared" si="61"/>
        <v>845.94480767123298</v>
      </c>
      <c r="AN173" s="43">
        <f t="shared" si="46"/>
        <v>697872.6</v>
      </c>
      <c r="AO173" s="43"/>
      <c r="AP173" s="42">
        <f t="shared" si="62"/>
        <v>116312.09999999998</v>
      </c>
      <c r="AQ173" s="43">
        <v>5</v>
      </c>
      <c r="AR173" s="44">
        <f t="shared" si="63"/>
        <v>0.85714285714285721</v>
      </c>
      <c r="AS173" s="45">
        <f t="shared" si="64"/>
        <v>2165.9608938547485</v>
      </c>
      <c r="AU173" s="1">
        <v>465248.39999999997</v>
      </c>
      <c r="AV173" s="50">
        <v>232624.2</v>
      </c>
    </row>
    <row r="174" spans="1:48" s="1" customFormat="1" ht="37.200000000000003" thickTop="1" thickBot="1" x14ac:dyDescent="0.55000000000000004">
      <c r="A174" s="33">
        <v>167</v>
      </c>
      <c r="B174" s="34" t="s">
        <v>221</v>
      </c>
      <c r="C174" s="34" t="s">
        <v>965</v>
      </c>
      <c r="D174" s="35" t="s">
        <v>676</v>
      </c>
      <c r="E174" s="35" t="s">
        <v>966</v>
      </c>
      <c r="F174" s="36" t="s">
        <v>1131</v>
      </c>
      <c r="G174" s="36" t="s">
        <v>1420</v>
      </c>
      <c r="H174" s="36" t="s">
        <v>1421</v>
      </c>
      <c r="I174" s="36" t="s">
        <v>1421</v>
      </c>
      <c r="J174" s="36" t="s">
        <v>1421</v>
      </c>
      <c r="K174" s="36">
        <v>375</v>
      </c>
      <c r="L174" s="36" t="s">
        <v>1422</v>
      </c>
      <c r="M174" s="49">
        <v>4</v>
      </c>
      <c r="N174" s="37" t="s">
        <v>1589</v>
      </c>
      <c r="O174" s="37"/>
      <c r="P174" s="36">
        <v>1</v>
      </c>
      <c r="Q174" s="36" t="s">
        <v>1956</v>
      </c>
      <c r="R174" s="36" t="s">
        <v>2072</v>
      </c>
      <c r="S174" s="36" t="s">
        <v>1880</v>
      </c>
      <c r="T174" s="36" t="s">
        <v>1883</v>
      </c>
      <c r="U174" s="38">
        <v>45581</v>
      </c>
      <c r="V174" s="39">
        <v>554203</v>
      </c>
      <c r="W174" s="39" t="s">
        <v>2363</v>
      </c>
      <c r="X174" s="39" t="s">
        <v>2363</v>
      </c>
      <c r="Y174" s="40">
        <f t="shared" si="47"/>
        <v>27710.15</v>
      </c>
      <c r="Z174" s="40">
        <f t="shared" si="48"/>
        <v>581913.15</v>
      </c>
      <c r="AA174" s="41" t="str">
        <f t="shared" si="49"/>
        <v>0.0018</v>
      </c>
      <c r="AB174" s="41">
        <f t="shared" si="50"/>
        <v>0</v>
      </c>
      <c r="AC174" s="41">
        <f t="shared" si="51"/>
        <v>0</v>
      </c>
      <c r="AD174" s="41">
        <f t="shared" si="52"/>
        <v>0</v>
      </c>
      <c r="AE174" s="41">
        <f t="shared" si="53"/>
        <v>0</v>
      </c>
      <c r="AF174" s="41">
        <f t="shared" si="54"/>
        <v>0</v>
      </c>
      <c r="AG174" s="41">
        <f t="shared" si="55"/>
        <v>0</v>
      </c>
      <c r="AH174" s="41">
        <f t="shared" si="56"/>
        <v>0</v>
      </c>
      <c r="AI174" s="41">
        <f t="shared" si="57"/>
        <v>76</v>
      </c>
      <c r="AJ174" s="41">
        <f t="shared" si="58"/>
        <v>365</v>
      </c>
      <c r="AK174" s="41">
        <f t="shared" si="59"/>
        <v>181</v>
      </c>
      <c r="AL174" s="42">
        <f t="shared" si="60"/>
        <v>2.733055890410959</v>
      </c>
      <c r="AM174" s="42">
        <f t="shared" si="61"/>
        <v>494.68311616438359</v>
      </c>
      <c r="AN174" s="43">
        <f t="shared" si="46"/>
        <v>526492.85</v>
      </c>
      <c r="AO174" s="43"/>
      <c r="AP174" s="42">
        <f t="shared" si="62"/>
        <v>55420.300000000047</v>
      </c>
      <c r="AQ174" s="43">
        <v>6</v>
      </c>
      <c r="AR174" s="44">
        <f t="shared" si="63"/>
        <v>0.90476190476190466</v>
      </c>
      <c r="AS174" s="45">
        <f t="shared" si="64"/>
        <v>1477.8746666666666</v>
      </c>
      <c r="AU174" s="1">
        <v>498782.69999999995</v>
      </c>
      <c r="AV174" s="50">
        <v>27710.15</v>
      </c>
    </row>
    <row r="175" spans="1:48" s="1" customFormat="1" ht="37.200000000000003" thickTop="1" thickBot="1" x14ac:dyDescent="0.55000000000000004">
      <c r="A175" s="33">
        <v>168</v>
      </c>
      <c r="B175" s="34" t="s">
        <v>222</v>
      </c>
      <c r="C175" s="34" t="s">
        <v>965</v>
      </c>
      <c r="D175" s="35" t="s">
        <v>677</v>
      </c>
      <c r="E175" s="35" t="s">
        <v>966</v>
      </c>
      <c r="F175" s="36" t="s">
        <v>1132</v>
      </c>
      <c r="G175" s="36" t="s">
        <v>1420</v>
      </c>
      <c r="H175" s="36" t="s">
        <v>1421</v>
      </c>
      <c r="I175" s="36" t="s">
        <v>1421</v>
      </c>
      <c r="J175" s="36" t="s">
        <v>1421</v>
      </c>
      <c r="K175" s="36">
        <v>375</v>
      </c>
      <c r="L175" s="36" t="s">
        <v>1422</v>
      </c>
      <c r="M175" s="49">
        <v>4</v>
      </c>
      <c r="N175" s="37" t="s">
        <v>1590</v>
      </c>
      <c r="O175" s="37"/>
      <c r="P175" s="36">
        <v>1</v>
      </c>
      <c r="Q175" s="36" t="s">
        <v>1941</v>
      </c>
      <c r="R175" s="36" t="s">
        <v>2073</v>
      </c>
      <c r="S175" s="36" t="s">
        <v>1880</v>
      </c>
      <c r="T175" s="36" t="s">
        <v>1881</v>
      </c>
      <c r="U175" s="38">
        <v>45581</v>
      </c>
      <c r="V175" s="39">
        <v>681474</v>
      </c>
      <c r="W175" s="39" t="s">
        <v>2363</v>
      </c>
      <c r="X175" s="39" t="s">
        <v>2363</v>
      </c>
      <c r="Y175" s="40">
        <f t="shared" si="47"/>
        <v>34073.699999999997</v>
      </c>
      <c r="Z175" s="40">
        <f t="shared" si="48"/>
        <v>715547.7</v>
      </c>
      <c r="AA175" s="41" t="str">
        <f t="shared" si="49"/>
        <v>0.0018</v>
      </c>
      <c r="AB175" s="41">
        <f t="shared" si="50"/>
        <v>0</v>
      </c>
      <c r="AC175" s="41">
        <f t="shared" si="51"/>
        <v>0</v>
      </c>
      <c r="AD175" s="41">
        <f t="shared" si="52"/>
        <v>0</v>
      </c>
      <c r="AE175" s="41">
        <f t="shared" si="53"/>
        <v>0</v>
      </c>
      <c r="AF175" s="41">
        <f t="shared" si="54"/>
        <v>0</v>
      </c>
      <c r="AG175" s="41">
        <f t="shared" si="55"/>
        <v>0</v>
      </c>
      <c r="AH175" s="41">
        <f t="shared" si="56"/>
        <v>0</v>
      </c>
      <c r="AI175" s="41">
        <f t="shared" si="57"/>
        <v>76</v>
      </c>
      <c r="AJ175" s="41">
        <f t="shared" si="58"/>
        <v>365</v>
      </c>
      <c r="AK175" s="41">
        <f t="shared" si="59"/>
        <v>181</v>
      </c>
      <c r="AL175" s="42">
        <f t="shared" si="60"/>
        <v>3.3606936986301368</v>
      </c>
      <c r="AM175" s="42">
        <f t="shared" si="61"/>
        <v>608.28555945205471</v>
      </c>
      <c r="AN175" s="43">
        <f t="shared" si="46"/>
        <v>613326.6</v>
      </c>
      <c r="AO175" s="43"/>
      <c r="AP175" s="42">
        <f t="shared" si="62"/>
        <v>102221.09999999998</v>
      </c>
      <c r="AQ175" s="43">
        <v>5</v>
      </c>
      <c r="AR175" s="44">
        <f t="shared" si="63"/>
        <v>0.85714285714285721</v>
      </c>
      <c r="AS175" s="45">
        <f t="shared" si="64"/>
        <v>1817.2639999999999</v>
      </c>
      <c r="AU175" s="1">
        <v>511105.49999999994</v>
      </c>
      <c r="AV175" s="50">
        <v>102221.1</v>
      </c>
    </row>
    <row r="176" spans="1:48" s="1" customFormat="1" ht="37.200000000000003" thickTop="1" thickBot="1" x14ac:dyDescent="0.55000000000000004">
      <c r="A176" s="33">
        <v>169</v>
      </c>
      <c r="B176" s="34" t="s">
        <v>223</v>
      </c>
      <c r="C176" s="34" t="s">
        <v>965</v>
      </c>
      <c r="D176" s="35" t="s">
        <v>678</v>
      </c>
      <c r="E176" s="35" t="s">
        <v>966</v>
      </c>
      <c r="F176" s="36" t="s">
        <v>1133</v>
      </c>
      <c r="G176" s="36" t="s">
        <v>1420</v>
      </c>
      <c r="H176" s="36" t="s">
        <v>1421</v>
      </c>
      <c r="I176" s="36" t="s">
        <v>1421</v>
      </c>
      <c r="J176" s="36" t="s">
        <v>1421</v>
      </c>
      <c r="K176" s="36">
        <v>375</v>
      </c>
      <c r="L176" s="36" t="s">
        <v>1422</v>
      </c>
      <c r="M176" s="49">
        <v>4</v>
      </c>
      <c r="N176" s="37" t="s">
        <v>1591</v>
      </c>
      <c r="O176" s="37"/>
      <c r="P176" s="36">
        <v>1</v>
      </c>
      <c r="Q176" s="36" t="s">
        <v>1931</v>
      </c>
      <c r="R176" s="36" t="s">
        <v>2074</v>
      </c>
      <c r="S176" s="36" t="s">
        <v>1880</v>
      </c>
      <c r="T176" s="36" t="s">
        <v>1883</v>
      </c>
      <c r="U176" s="38">
        <v>45581</v>
      </c>
      <c r="V176" s="39">
        <v>685974</v>
      </c>
      <c r="W176" s="39" t="s">
        <v>2363</v>
      </c>
      <c r="X176" s="39" t="s">
        <v>2363</v>
      </c>
      <c r="Y176" s="40">
        <f t="shared" si="47"/>
        <v>34298.699999999997</v>
      </c>
      <c r="Z176" s="40">
        <f t="shared" si="48"/>
        <v>720272.7</v>
      </c>
      <c r="AA176" s="41" t="str">
        <f t="shared" si="49"/>
        <v>0.0018</v>
      </c>
      <c r="AB176" s="41">
        <f t="shared" si="50"/>
        <v>0</v>
      </c>
      <c r="AC176" s="41">
        <f t="shared" si="51"/>
        <v>0</v>
      </c>
      <c r="AD176" s="41">
        <f t="shared" si="52"/>
        <v>0</v>
      </c>
      <c r="AE176" s="41">
        <f t="shared" si="53"/>
        <v>0</v>
      </c>
      <c r="AF176" s="41">
        <f t="shared" si="54"/>
        <v>0</v>
      </c>
      <c r="AG176" s="41">
        <f t="shared" si="55"/>
        <v>0</v>
      </c>
      <c r="AH176" s="41">
        <f t="shared" si="56"/>
        <v>0</v>
      </c>
      <c r="AI176" s="41">
        <f t="shared" si="57"/>
        <v>76</v>
      </c>
      <c r="AJ176" s="41">
        <f t="shared" si="58"/>
        <v>365</v>
      </c>
      <c r="AK176" s="41">
        <f t="shared" si="59"/>
        <v>181</v>
      </c>
      <c r="AL176" s="42">
        <f t="shared" si="60"/>
        <v>3.3828854794520544</v>
      </c>
      <c r="AM176" s="42">
        <f t="shared" si="61"/>
        <v>612.3022717808218</v>
      </c>
      <c r="AN176" s="43">
        <f t="shared" si="46"/>
        <v>617376.6</v>
      </c>
      <c r="AO176" s="43"/>
      <c r="AP176" s="42">
        <f t="shared" si="62"/>
        <v>102896.09999999998</v>
      </c>
      <c r="AQ176" s="43">
        <v>5</v>
      </c>
      <c r="AR176" s="44">
        <f t="shared" si="63"/>
        <v>0.85714285714285721</v>
      </c>
      <c r="AS176" s="45">
        <f t="shared" si="64"/>
        <v>1829.2639999999999</v>
      </c>
      <c r="AU176" s="1">
        <v>514480.49999999994</v>
      </c>
      <c r="AV176" s="50">
        <v>102896.1</v>
      </c>
    </row>
    <row r="177" spans="1:48" s="1" customFormat="1" ht="37.200000000000003" thickTop="1" thickBot="1" x14ac:dyDescent="0.55000000000000004">
      <c r="A177" s="33">
        <v>170</v>
      </c>
      <c r="B177" s="34" t="s">
        <v>224</v>
      </c>
      <c r="C177" s="34" t="s">
        <v>965</v>
      </c>
      <c r="D177" s="35" t="s">
        <v>679</v>
      </c>
      <c r="E177" s="35" t="s">
        <v>966</v>
      </c>
      <c r="F177" s="36" t="s">
        <v>1134</v>
      </c>
      <c r="G177" s="36" t="s">
        <v>1420</v>
      </c>
      <c r="H177" s="36" t="s">
        <v>1421</v>
      </c>
      <c r="I177" s="36" t="s">
        <v>1421</v>
      </c>
      <c r="J177" s="36" t="s">
        <v>1421</v>
      </c>
      <c r="K177" s="36">
        <v>350</v>
      </c>
      <c r="L177" s="36" t="s">
        <v>1422</v>
      </c>
      <c r="M177" s="49">
        <v>4</v>
      </c>
      <c r="N177" s="37" t="s">
        <v>1592</v>
      </c>
      <c r="O177" s="37"/>
      <c r="P177" s="36">
        <v>1</v>
      </c>
      <c r="Q177" s="36" t="s">
        <v>2039</v>
      </c>
      <c r="R177" s="36" t="s">
        <v>2075</v>
      </c>
      <c r="S177" s="36" t="s">
        <v>1880</v>
      </c>
      <c r="T177" s="36" t="s">
        <v>1883</v>
      </c>
      <c r="U177" s="38">
        <v>45582</v>
      </c>
      <c r="V177" s="39">
        <v>711474</v>
      </c>
      <c r="W177" s="39" t="s">
        <v>2363</v>
      </c>
      <c r="X177" s="39" t="s">
        <v>2363</v>
      </c>
      <c r="Y177" s="40">
        <f t="shared" si="47"/>
        <v>35573.699999999997</v>
      </c>
      <c r="Z177" s="40">
        <f t="shared" si="48"/>
        <v>747047.7</v>
      </c>
      <c r="AA177" s="41" t="str">
        <f t="shared" si="49"/>
        <v>0.0022</v>
      </c>
      <c r="AB177" s="41">
        <f t="shared" si="50"/>
        <v>0</v>
      </c>
      <c r="AC177" s="41">
        <f t="shared" si="51"/>
        <v>0</v>
      </c>
      <c r="AD177" s="41">
        <f t="shared" si="52"/>
        <v>0</v>
      </c>
      <c r="AE177" s="41">
        <f t="shared" si="53"/>
        <v>0</v>
      </c>
      <c r="AF177" s="41">
        <f t="shared" si="54"/>
        <v>0</v>
      </c>
      <c r="AG177" s="41">
        <f t="shared" si="55"/>
        <v>0</v>
      </c>
      <c r="AH177" s="41">
        <f t="shared" si="56"/>
        <v>0</v>
      </c>
      <c r="AI177" s="41">
        <f t="shared" si="57"/>
        <v>75</v>
      </c>
      <c r="AJ177" s="41">
        <f t="shared" si="58"/>
        <v>365</v>
      </c>
      <c r="AK177" s="41">
        <f t="shared" si="59"/>
        <v>181</v>
      </c>
      <c r="AL177" s="42">
        <f t="shared" si="60"/>
        <v>4.288336438356164</v>
      </c>
      <c r="AM177" s="42">
        <f t="shared" si="61"/>
        <v>776.18889534246568</v>
      </c>
      <c r="AN177" s="43">
        <f t="shared" si="46"/>
        <v>675900.29999999993</v>
      </c>
      <c r="AO177" s="43"/>
      <c r="AP177" s="42">
        <f t="shared" si="62"/>
        <v>71147.400000000023</v>
      </c>
      <c r="AQ177" s="43">
        <v>6</v>
      </c>
      <c r="AR177" s="44">
        <f t="shared" si="63"/>
        <v>0.90476190476190477</v>
      </c>
      <c r="AS177" s="45">
        <f t="shared" si="64"/>
        <v>2032.7828571428572</v>
      </c>
      <c r="AU177" s="1">
        <v>640326.6</v>
      </c>
      <c r="AV177" s="50">
        <v>35573.699999999997</v>
      </c>
    </row>
    <row r="178" spans="1:48" s="1" customFormat="1" ht="37.200000000000003" thickTop="1" thickBot="1" x14ac:dyDescent="0.55000000000000004">
      <c r="A178" s="33">
        <v>171</v>
      </c>
      <c r="B178" s="34" t="s">
        <v>225</v>
      </c>
      <c r="C178" s="34" t="s">
        <v>965</v>
      </c>
      <c r="D178" s="35" t="s">
        <v>680</v>
      </c>
      <c r="E178" s="35" t="s">
        <v>966</v>
      </c>
      <c r="F178" s="36" t="s">
        <v>1135</v>
      </c>
      <c r="G178" s="36" t="s">
        <v>1420</v>
      </c>
      <c r="H178" s="36" t="s">
        <v>1421</v>
      </c>
      <c r="I178" s="36" t="s">
        <v>1421</v>
      </c>
      <c r="J178" s="36" t="s">
        <v>1421</v>
      </c>
      <c r="K178" s="36">
        <v>350</v>
      </c>
      <c r="L178" s="36" t="s">
        <v>1422</v>
      </c>
      <c r="M178" s="49">
        <v>4</v>
      </c>
      <c r="N178" s="37" t="s">
        <v>1593</v>
      </c>
      <c r="O178" s="37"/>
      <c r="P178" s="36">
        <v>1</v>
      </c>
      <c r="Q178" s="36" t="s">
        <v>1915</v>
      </c>
      <c r="R178" s="36" t="s">
        <v>2076</v>
      </c>
      <c r="S178" s="36" t="s">
        <v>1880</v>
      </c>
      <c r="T178" s="36" t="s">
        <v>1901</v>
      </c>
      <c r="U178" s="38">
        <v>45582</v>
      </c>
      <c r="V178" s="39">
        <v>535000</v>
      </c>
      <c r="W178" s="39" t="s">
        <v>2363</v>
      </c>
      <c r="X178" s="39" t="s">
        <v>2363</v>
      </c>
      <c r="Y178" s="40">
        <f t="shared" si="47"/>
        <v>26750</v>
      </c>
      <c r="Z178" s="40">
        <f t="shared" si="48"/>
        <v>561750</v>
      </c>
      <c r="AA178" s="41" t="str">
        <f t="shared" si="49"/>
        <v>0.0018</v>
      </c>
      <c r="AB178" s="41">
        <f t="shared" si="50"/>
        <v>0</v>
      </c>
      <c r="AC178" s="41">
        <f t="shared" si="51"/>
        <v>0</v>
      </c>
      <c r="AD178" s="41">
        <f t="shared" si="52"/>
        <v>0</v>
      </c>
      <c r="AE178" s="41">
        <f t="shared" si="53"/>
        <v>0</v>
      </c>
      <c r="AF178" s="41">
        <f t="shared" si="54"/>
        <v>0</v>
      </c>
      <c r="AG178" s="41">
        <f t="shared" si="55"/>
        <v>0</v>
      </c>
      <c r="AH178" s="41">
        <f t="shared" si="56"/>
        <v>0</v>
      </c>
      <c r="AI178" s="41">
        <f t="shared" si="57"/>
        <v>75</v>
      </c>
      <c r="AJ178" s="41">
        <f t="shared" si="58"/>
        <v>365</v>
      </c>
      <c r="AK178" s="41">
        <f t="shared" si="59"/>
        <v>181</v>
      </c>
      <c r="AL178" s="42">
        <f t="shared" si="60"/>
        <v>2.6383561643835618</v>
      </c>
      <c r="AM178" s="42">
        <f t="shared" si="61"/>
        <v>477.54246575342466</v>
      </c>
      <c r="AN178" s="43">
        <f t="shared" si="46"/>
        <v>508250</v>
      </c>
      <c r="AO178" s="43"/>
      <c r="AP178" s="42">
        <f t="shared" si="62"/>
        <v>53500</v>
      </c>
      <c r="AQ178" s="43">
        <v>6</v>
      </c>
      <c r="AR178" s="44">
        <f t="shared" si="63"/>
        <v>0.90476190476190477</v>
      </c>
      <c r="AS178" s="45">
        <f t="shared" si="64"/>
        <v>1528.5714285714287</v>
      </c>
      <c r="AU178" s="1">
        <v>481500</v>
      </c>
      <c r="AV178" s="50">
        <v>26750</v>
      </c>
    </row>
    <row r="179" spans="1:48" s="1" customFormat="1" ht="37.200000000000003" thickTop="1" thickBot="1" x14ac:dyDescent="0.55000000000000004">
      <c r="A179" s="33">
        <v>172</v>
      </c>
      <c r="B179" s="34" t="s">
        <v>226</v>
      </c>
      <c r="C179" s="34" t="s">
        <v>965</v>
      </c>
      <c r="D179" s="35" t="s">
        <v>681</v>
      </c>
      <c r="E179" s="35" t="s">
        <v>966</v>
      </c>
      <c r="F179" s="36" t="s">
        <v>1136</v>
      </c>
      <c r="G179" s="36" t="s">
        <v>1420</v>
      </c>
      <c r="H179" s="36" t="s">
        <v>1421</v>
      </c>
      <c r="I179" s="36" t="s">
        <v>1421</v>
      </c>
      <c r="J179" s="36" t="s">
        <v>1421</v>
      </c>
      <c r="K179" s="36">
        <v>524.84</v>
      </c>
      <c r="L179" s="36" t="s">
        <v>1422</v>
      </c>
      <c r="M179" s="49">
        <v>4</v>
      </c>
      <c r="N179" s="37" t="s">
        <v>1594</v>
      </c>
      <c r="O179" s="37"/>
      <c r="P179" s="36">
        <v>1</v>
      </c>
      <c r="Q179" s="36" t="s">
        <v>1962</v>
      </c>
      <c r="R179" s="36" t="s">
        <v>2077</v>
      </c>
      <c r="S179" s="36" t="s">
        <v>1880</v>
      </c>
      <c r="T179" s="36" t="s">
        <v>1881</v>
      </c>
      <c r="U179" s="38">
        <v>45582</v>
      </c>
      <c r="V179" s="39">
        <v>855831</v>
      </c>
      <c r="W179" s="39" t="s">
        <v>2363</v>
      </c>
      <c r="X179" s="39" t="s">
        <v>2363</v>
      </c>
      <c r="Y179" s="40">
        <f t="shared" si="47"/>
        <v>42791.55</v>
      </c>
      <c r="Z179" s="40">
        <f t="shared" si="48"/>
        <v>898622.55</v>
      </c>
      <c r="AA179" s="41" t="str">
        <f t="shared" si="49"/>
        <v>0.0022</v>
      </c>
      <c r="AB179" s="41">
        <f t="shared" si="50"/>
        <v>0</v>
      </c>
      <c r="AC179" s="41">
        <f t="shared" si="51"/>
        <v>0</v>
      </c>
      <c r="AD179" s="41">
        <f t="shared" si="52"/>
        <v>0</v>
      </c>
      <c r="AE179" s="41">
        <f t="shared" si="53"/>
        <v>0</v>
      </c>
      <c r="AF179" s="41">
        <f t="shared" si="54"/>
        <v>0</v>
      </c>
      <c r="AG179" s="41">
        <f t="shared" si="55"/>
        <v>0</v>
      </c>
      <c r="AH179" s="41">
        <f t="shared" si="56"/>
        <v>0</v>
      </c>
      <c r="AI179" s="41">
        <f t="shared" si="57"/>
        <v>75</v>
      </c>
      <c r="AJ179" s="41">
        <f t="shared" si="58"/>
        <v>365</v>
      </c>
      <c r="AK179" s="41">
        <f t="shared" si="59"/>
        <v>181</v>
      </c>
      <c r="AL179" s="42">
        <f t="shared" si="60"/>
        <v>5.1584334246575345</v>
      </c>
      <c r="AM179" s="42">
        <f t="shared" si="61"/>
        <v>933.67644986301377</v>
      </c>
      <c r="AN179" s="43">
        <f t="shared" si="46"/>
        <v>813039.45</v>
      </c>
      <c r="AO179" s="43"/>
      <c r="AP179" s="42">
        <f t="shared" si="62"/>
        <v>85583.100000000093</v>
      </c>
      <c r="AQ179" s="43">
        <v>6</v>
      </c>
      <c r="AR179" s="44">
        <f t="shared" si="63"/>
        <v>0.90476190476190466</v>
      </c>
      <c r="AS179" s="45">
        <f t="shared" si="64"/>
        <v>1630.6512460940476</v>
      </c>
      <c r="AU179" s="1">
        <v>641873.25</v>
      </c>
      <c r="AV179" s="50">
        <v>171166.2</v>
      </c>
    </row>
    <row r="180" spans="1:48" s="1" customFormat="1" ht="37.200000000000003" thickTop="1" thickBot="1" x14ac:dyDescent="0.55000000000000004">
      <c r="A180" s="33">
        <v>173</v>
      </c>
      <c r="B180" s="34" t="s">
        <v>227</v>
      </c>
      <c r="C180" s="34" t="s">
        <v>965</v>
      </c>
      <c r="D180" s="35" t="s">
        <v>682</v>
      </c>
      <c r="E180" s="35" t="s">
        <v>966</v>
      </c>
      <c r="F180" s="36" t="s">
        <v>1137</v>
      </c>
      <c r="G180" s="36" t="s">
        <v>1420</v>
      </c>
      <c r="H180" s="36" t="s">
        <v>1421</v>
      </c>
      <c r="I180" s="36" t="s">
        <v>1421</v>
      </c>
      <c r="J180" s="36" t="s">
        <v>1421</v>
      </c>
      <c r="K180" s="36">
        <v>375</v>
      </c>
      <c r="L180" s="36" t="s">
        <v>1422</v>
      </c>
      <c r="M180" s="49">
        <v>4</v>
      </c>
      <c r="N180" s="37" t="s">
        <v>1595</v>
      </c>
      <c r="O180" s="37"/>
      <c r="P180" s="36">
        <v>1</v>
      </c>
      <c r="Q180" s="36" t="s">
        <v>1931</v>
      </c>
      <c r="R180" s="36" t="s">
        <v>2078</v>
      </c>
      <c r="S180" s="36" t="s">
        <v>1880</v>
      </c>
      <c r="T180" s="36" t="s">
        <v>1881</v>
      </c>
      <c r="U180" s="38">
        <v>45582</v>
      </c>
      <c r="V180" s="39">
        <v>685974</v>
      </c>
      <c r="W180" s="39" t="s">
        <v>2363</v>
      </c>
      <c r="X180" s="39" t="s">
        <v>2363</v>
      </c>
      <c r="Y180" s="40">
        <f t="shared" si="47"/>
        <v>34298.699999999997</v>
      </c>
      <c r="Z180" s="40">
        <f t="shared" si="48"/>
        <v>720272.7</v>
      </c>
      <c r="AA180" s="41" t="str">
        <f t="shared" si="49"/>
        <v>0.0018</v>
      </c>
      <c r="AB180" s="41">
        <f t="shared" si="50"/>
        <v>0</v>
      </c>
      <c r="AC180" s="41">
        <f t="shared" si="51"/>
        <v>0</v>
      </c>
      <c r="AD180" s="41">
        <f t="shared" si="52"/>
        <v>0</v>
      </c>
      <c r="AE180" s="41">
        <f t="shared" si="53"/>
        <v>0</v>
      </c>
      <c r="AF180" s="41">
        <f t="shared" si="54"/>
        <v>0</v>
      </c>
      <c r="AG180" s="41">
        <f t="shared" si="55"/>
        <v>0</v>
      </c>
      <c r="AH180" s="41">
        <f t="shared" si="56"/>
        <v>0</v>
      </c>
      <c r="AI180" s="41">
        <f t="shared" si="57"/>
        <v>75</v>
      </c>
      <c r="AJ180" s="41">
        <f t="shared" si="58"/>
        <v>365</v>
      </c>
      <c r="AK180" s="41">
        <f t="shared" si="59"/>
        <v>181</v>
      </c>
      <c r="AL180" s="42">
        <f t="shared" si="60"/>
        <v>3.3828854794520544</v>
      </c>
      <c r="AM180" s="42">
        <f t="shared" si="61"/>
        <v>612.3022717808218</v>
      </c>
      <c r="AN180" s="43">
        <f t="shared" si="46"/>
        <v>651675.29999999993</v>
      </c>
      <c r="AO180" s="43"/>
      <c r="AP180" s="42">
        <f t="shared" si="62"/>
        <v>68597.400000000023</v>
      </c>
      <c r="AQ180" s="43">
        <v>5</v>
      </c>
      <c r="AR180" s="44">
        <f t="shared" si="63"/>
        <v>0.90476190476190477</v>
      </c>
      <c r="AS180" s="45">
        <f t="shared" si="64"/>
        <v>1829.2639999999999</v>
      </c>
      <c r="AU180" s="1">
        <v>548779.19999999995</v>
      </c>
      <c r="AV180" s="50">
        <v>102896.1</v>
      </c>
    </row>
    <row r="181" spans="1:48" s="1" customFormat="1" ht="37.200000000000003" thickTop="1" thickBot="1" x14ac:dyDescent="0.55000000000000004">
      <c r="A181" s="33">
        <v>174</v>
      </c>
      <c r="B181" s="34" t="s">
        <v>228</v>
      </c>
      <c r="C181" s="34" t="s">
        <v>965</v>
      </c>
      <c r="D181" s="35" t="s">
        <v>683</v>
      </c>
      <c r="E181" s="35" t="s">
        <v>966</v>
      </c>
      <c r="F181" s="36" t="s">
        <v>1138</v>
      </c>
      <c r="G181" s="36" t="s">
        <v>1420</v>
      </c>
      <c r="H181" s="36" t="s">
        <v>1421</v>
      </c>
      <c r="I181" s="36" t="s">
        <v>1421</v>
      </c>
      <c r="J181" s="36" t="s">
        <v>1421</v>
      </c>
      <c r="K181" s="36">
        <v>375</v>
      </c>
      <c r="L181" s="36" t="s">
        <v>1422</v>
      </c>
      <c r="M181" s="49">
        <v>4</v>
      </c>
      <c r="N181" s="37" t="s">
        <v>1596</v>
      </c>
      <c r="O181" s="37"/>
      <c r="P181" s="36">
        <v>1</v>
      </c>
      <c r="Q181" s="36" t="s">
        <v>1931</v>
      </c>
      <c r="R181" s="36" t="s">
        <v>2079</v>
      </c>
      <c r="S181" s="36" t="s">
        <v>1880</v>
      </c>
      <c r="T181" s="36" t="s">
        <v>1901</v>
      </c>
      <c r="U181" s="38">
        <v>45585</v>
      </c>
      <c r="V181" s="39">
        <v>554204</v>
      </c>
      <c r="W181" s="39" t="s">
        <v>2363</v>
      </c>
      <c r="X181" s="39" t="s">
        <v>2363</v>
      </c>
      <c r="Y181" s="40">
        <f t="shared" si="47"/>
        <v>27710.2</v>
      </c>
      <c r="Z181" s="40">
        <f t="shared" si="48"/>
        <v>581914.19999999995</v>
      </c>
      <c r="AA181" s="41" t="str">
        <f t="shared" si="49"/>
        <v>0.0018</v>
      </c>
      <c r="AB181" s="41">
        <f t="shared" si="50"/>
        <v>0</v>
      </c>
      <c r="AC181" s="41">
        <f t="shared" si="51"/>
        <v>0</v>
      </c>
      <c r="AD181" s="41">
        <f t="shared" si="52"/>
        <v>0</v>
      </c>
      <c r="AE181" s="41">
        <f t="shared" si="53"/>
        <v>0</v>
      </c>
      <c r="AF181" s="41">
        <f t="shared" si="54"/>
        <v>0</v>
      </c>
      <c r="AG181" s="41">
        <f t="shared" si="55"/>
        <v>0</v>
      </c>
      <c r="AH181" s="41">
        <f t="shared" si="56"/>
        <v>0</v>
      </c>
      <c r="AI181" s="41">
        <f t="shared" si="57"/>
        <v>72</v>
      </c>
      <c r="AJ181" s="41">
        <f t="shared" si="58"/>
        <v>365</v>
      </c>
      <c r="AK181" s="41">
        <f t="shared" si="59"/>
        <v>181</v>
      </c>
      <c r="AL181" s="42">
        <f t="shared" si="60"/>
        <v>2.7330608219178081</v>
      </c>
      <c r="AM181" s="42">
        <f t="shared" si="61"/>
        <v>494.68400876712326</v>
      </c>
      <c r="AN181" s="43">
        <f t="shared" si="46"/>
        <v>526493.80000000005</v>
      </c>
      <c r="AO181" s="43"/>
      <c r="AP181" s="42">
        <f t="shared" si="62"/>
        <v>55420.399999999907</v>
      </c>
      <c r="AQ181" s="43">
        <v>6</v>
      </c>
      <c r="AR181" s="44">
        <f t="shared" si="63"/>
        <v>0.90476190476190488</v>
      </c>
      <c r="AS181" s="45">
        <f t="shared" si="64"/>
        <v>1477.8773333333334</v>
      </c>
      <c r="AU181" s="1">
        <v>415653</v>
      </c>
      <c r="AV181" s="50">
        <v>110840.8</v>
      </c>
    </row>
    <row r="182" spans="1:48" s="1" customFormat="1" ht="37.200000000000003" thickTop="1" thickBot="1" x14ac:dyDescent="0.55000000000000004">
      <c r="A182" s="33">
        <v>175</v>
      </c>
      <c r="B182" s="34" t="s">
        <v>229</v>
      </c>
      <c r="C182" s="34" t="s">
        <v>965</v>
      </c>
      <c r="D182" s="35" t="s">
        <v>684</v>
      </c>
      <c r="E182" s="35" t="s">
        <v>966</v>
      </c>
      <c r="F182" s="36" t="s">
        <v>1139</v>
      </c>
      <c r="G182" s="36" t="s">
        <v>1420</v>
      </c>
      <c r="H182" s="36" t="s">
        <v>1421</v>
      </c>
      <c r="I182" s="36" t="s">
        <v>1421</v>
      </c>
      <c r="J182" s="36" t="s">
        <v>1421</v>
      </c>
      <c r="K182" s="36">
        <v>362.5</v>
      </c>
      <c r="L182" s="36" t="s">
        <v>1422</v>
      </c>
      <c r="M182" s="49">
        <v>4</v>
      </c>
      <c r="N182" s="37" t="s">
        <v>1597</v>
      </c>
      <c r="O182" s="37"/>
      <c r="P182" s="36">
        <v>1</v>
      </c>
      <c r="Q182" s="36" t="s">
        <v>1941</v>
      </c>
      <c r="R182" s="36" t="s">
        <v>2080</v>
      </c>
      <c r="S182" s="36" t="s">
        <v>1880</v>
      </c>
      <c r="T182" s="36" t="s">
        <v>1901</v>
      </c>
      <c r="U182" s="38">
        <v>45585</v>
      </c>
      <c r="V182" s="39">
        <v>675224</v>
      </c>
      <c r="W182" s="39" t="s">
        <v>2363</v>
      </c>
      <c r="X182" s="39" t="s">
        <v>2363</v>
      </c>
      <c r="Y182" s="40">
        <f t="shared" si="47"/>
        <v>33761.199999999997</v>
      </c>
      <c r="Z182" s="40">
        <f t="shared" si="48"/>
        <v>708985.2</v>
      </c>
      <c r="AA182" s="41" t="str">
        <f t="shared" si="49"/>
        <v>0.0018</v>
      </c>
      <c r="AB182" s="41">
        <f t="shared" si="50"/>
        <v>0</v>
      </c>
      <c r="AC182" s="41">
        <f t="shared" si="51"/>
        <v>0</v>
      </c>
      <c r="AD182" s="41">
        <f t="shared" si="52"/>
        <v>0</v>
      </c>
      <c r="AE182" s="41">
        <f t="shared" si="53"/>
        <v>0</v>
      </c>
      <c r="AF182" s="41">
        <f t="shared" si="54"/>
        <v>0</v>
      </c>
      <c r="AG182" s="41">
        <f t="shared" si="55"/>
        <v>0</v>
      </c>
      <c r="AH182" s="41">
        <f t="shared" si="56"/>
        <v>0</v>
      </c>
      <c r="AI182" s="41">
        <f t="shared" si="57"/>
        <v>72</v>
      </c>
      <c r="AJ182" s="41">
        <f t="shared" si="58"/>
        <v>365</v>
      </c>
      <c r="AK182" s="41">
        <f t="shared" si="59"/>
        <v>181</v>
      </c>
      <c r="AL182" s="42">
        <f t="shared" si="60"/>
        <v>3.3298717808219176</v>
      </c>
      <c r="AM182" s="42">
        <f t="shared" si="61"/>
        <v>602.70679232876705</v>
      </c>
      <c r="AN182" s="43">
        <f t="shared" si="46"/>
        <v>607701.6</v>
      </c>
      <c r="AO182" s="43"/>
      <c r="AP182" s="42">
        <f t="shared" si="62"/>
        <v>101283.59999999998</v>
      </c>
      <c r="AQ182" s="43">
        <v>5</v>
      </c>
      <c r="AR182" s="44">
        <f t="shared" si="63"/>
        <v>0.85714285714285721</v>
      </c>
      <c r="AS182" s="45">
        <f t="shared" si="64"/>
        <v>1862.6868965517242</v>
      </c>
      <c r="AU182" s="1">
        <v>506417.99999999994</v>
      </c>
      <c r="AV182" s="50">
        <v>101283.6</v>
      </c>
    </row>
    <row r="183" spans="1:48" s="1" customFormat="1" ht="37.200000000000003" thickTop="1" thickBot="1" x14ac:dyDescent="0.55000000000000004">
      <c r="A183" s="33">
        <v>176</v>
      </c>
      <c r="B183" s="34" t="s">
        <v>230</v>
      </c>
      <c r="C183" s="34" t="s">
        <v>965</v>
      </c>
      <c r="D183" s="35" t="s">
        <v>685</v>
      </c>
      <c r="E183" s="35" t="s">
        <v>966</v>
      </c>
      <c r="F183" s="36" t="s">
        <v>1140</v>
      </c>
      <c r="G183" s="36" t="s">
        <v>1420</v>
      </c>
      <c r="H183" s="36" t="s">
        <v>1421</v>
      </c>
      <c r="I183" s="36" t="s">
        <v>1421</v>
      </c>
      <c r="J183" s="36" t="s">
        <v>1421</v>
      </c>
      <c r="K183" s="36">
        <v>375</v>
      </c>
      <c r="L183" s="36" t="s">
        <v>1422</v>
      </c>
      <c r="M183" s="49">
        <v>4</v>
      </c>
      <c r="N183" s="37" t="s">
        <v>1598</v>
      </c>
      <c r="O183" s="37"/>
      <c r="P183" s="36">
        <v>1</v>
      </c>
      <c r="Q183" s="36" t="s">
        <v>1941</v>
      </c>
      <c r="R183" s="36" t="s">
        <v>2081</v>
      </c>
      <c r="S183" s="36" t="s">
        <v>1880</v>
      </c>
      <c r="T183" s="36" t="s">
        <v>1881</v>
      </c>
      <c r="U183" s="38">
        <v>45586</v>
      </c>
      <c r="V183" s="39">
        <v>678474</v>
      </c>
      <c r="W183" s="39" t="s">
        <v>2363</v>
      </c>
      <c r="X183" s="39" t="s">
        <v>2363</v>
      </c>
      <c r="Y183" s="40">
        <f t="shared" si="47"/>
        <v>33923.699999999997</v>
      </c>
      <c r="Z183" s="40">
        <f t="shared" si="48"/>
        <v>712397.7</v>
      </c>
      <c r="AA183" s="41" t="str">
        <f t="shared" si="49"/>
        <v>0.0018</v>
      </c>
      <c r="AB183" s="41">
        <f t="shared" si="50"/>
        <v>0</v>
      </c>
      <c r="AC183" s="41">
        <f t="shared" si="51"/>
        <v>0</v>
      </c>
      <c r="AD183" s="41">
        <f t="shared" si="52"/>
        <v>0</v>
      </c>
      <c r="AE183" s="41">
        <f t="shared" si="53"/>
        <v>0</v>
      </c>
      <c r="AF183" s="41">
        <f t="shared" si="54"/>
        <v>0</v>
      </c>
      <c r="AG183" s="41">
        <f t="shared" si="55"/>
        <v>0</v>
      </c>
      <c r="AH183" s="41">
        <f t="shared" si="56"/>
        <v>0</v>
      </c>
      <c r="AI183" s="41">
        <f t="shared" si="57"/>
        <v>71</v>
      </c>
      <c r="AJ183" s="41">
        <f t="shared" si="58"/>
        <v>365</v>
      </c>
      <c r="AK183" s="41">
        <f t="shared" si="59"/>
        <v>181</v>
      </c>
      <c r="AL183" s="42">
        <f t="shared" si="60"/>
        <v>3.3458991780821914</v>
      </c>
      <c r="AM183" s="42">
        <f t="shared" si="61"/>
        <v>605.60775123287669</v>
      </c>
      <c r="AN183" s="43">
        <f t="shared" si="46"/>
        <v>610626.6</v>
      </c>
      <c r="AO183" s="43"/>
      <c r="AP183" s="42">
        <f t="shared" si="62"/>
        <v>101771.09999999998</v>
      </c>
      <c r="AQ183" s="43">
        <v>5</v>
      </c>
      <c r="AR183" s="44">
        <f t="shared" si="63"/>
        <v>0.85714285714285721</v>
      </c>
      <c r="AS183" s="45">
        <f t="shared" si="64"/>
        <v>1809.2639999999999</v>
      </c>
      <c r="AU183" s="1">
        <v>508855.49999999994</v>
      </c>
      <c r="AV183" s="50">
        <v>101771.1</v>
      </c>
    </row>
    <row r="184" spans="1:48" s="1" customFormat="1" ht="37.200000000000003" thickTop="1" thickBot="1" x14ac:dyDescent="0.55000000000000004">
      <c r="A184" s="33">
        <v>177</v>
      </c>
      <c r="B184" s="34" t="s">
        <v>231</v>
      </c>
      <c r="C184" s="34" t="s">
        <v>965</v>
      </c>
      <c r="D184" s="35" t="s">
        <v>686</v>
      </c>
      <c r="E184" s="35" t="s">
        <v>966</v>
      </c>
      <c r="F184" s="36" t="s">
        <v>1141</v>
      </c>
      <c r="G184" s="36" t="s">
        <v>1420</v>
      </c>
      <c r="H184" s="36" t="s">
        <v>1421</v>
      </c>
      <c r="I184" s="36" t="s">
        <v>1421</v>
      </c>
      <c r="J184" s="36" t="s">
        <v>1421</v>
      </c>
      <c r="K184" s="36">
        <v>375</v>
      </c>
      <c r="L184" s="36" t="s">
        <v>1422</v>
      </c>
      <c r="M184" s="49">
        <v>4</v>
      </c>
      <c r="N184" s="37" t="s">
        <v>1599</v>
      </c>
      <c r="O184" s="37"/>
      <c r="P184" s="36">
        <v>1</v>
      </c>
      <c r="Q184" s="36" t="s">
        <v>1931</v>
      </c>
      <c r="R184" s="36" t="s">
        <v>2082</v>
      </c>
      <c r="S184" s="36" t="s">
        <v>1880</v>
      </c>
      <c r="T184" s="36" t="s">
        <v>1883</v>
      </c>
      <c r="U184" s="38">
        <v>45586</v>
      </c>
      <c r="V184" s="39">
        <v>685974</v>
      </c>
      <c r="W184" s="39" t="s">
        <v>2363</v>
      </c>
      <c r="X184" s="39" t="s">
        <v>2363</v>
      </c>
      <c r="Y184" s="40">
        <f t="shared" si="47"/>
        <v>34298.699999999997</v>
      </c>
      <c r="Z184" s="40">
        <f t="shared" si="48"/>
        <v>720272.7</v>
      </c>
      <c r="AA184" s="41" t="str">
        <f t="shared" si="49"/>
        <v>0.0018</v>
      </c>
      <c r="AB184" s="41">
        <f t="shared" si="50"/>
        <v>0</v>
      </c>
      <c r="AC184" s="41">
        <f t="shared" si="51"/>
        <v>0</v>
      </c>
      <c r="AD184" s="41">
        <f t="shared" si="52"/>
        <v>0</v>
      </c>
      <c r="AE184" s="41">
        <f t="shared" si="53"/>
        <v>0</v>
      </c>
      <c r="AF184" s="41">
        <f t="shared" si="54"/>
        <v>0</v>
      </c>
      <c r="AG184" s="41">
        <f t="shared" si="55"/>
        <v>0</v>
      </c>
      <c r="AH184" s="41">
        <f t="shared" si="56"/>
        <v>0</v>
      </c>
      <c r="AI184" s="41">
        <f t="shared" si="57"/>
        <v>71</v>
      </c>
      <c r="AJ184" s="41">
        <f t="shared" si="58"/>
        <v>365</v>
      </c>
      <c r="AK184" s="41">
        <f t="shared" si="59"/>
        <v>181</v>
      </c>
      <c r="AL184" s="42">
        <f t="shared" si="60"/>
        <v>3.3828854794520544</v>
      </c>
      <c r="AM184" s="42">
        <f t="shared" si="61"/>
        <v>612.3022717808218</v>
      </c>
      <c r="AN184" s="43">
        <f t="shared" si="46"/>
        <v>617376.6</v>
      </c>
      <c r="AO184" s="43"/>
      <c r="AP184" s="42">
        <f t="shared" si="62"/>
        <v>102896.09999999998</v>
      </c>
      <c r="AQ184" s="43">
        <v>5</v>
      </c>
      <c r="AR184" s="44">
        <f t="shared" si="63"/>
        <v>0.85714285714285721</v>
      </c>
      <c r="AS184" s="45">
        <f t="shared" si="64"/>
        <v>1829.2639999999999</v>
      </c>
      <c r="AU184" s="1">
        <v>514480.49999999994</v>
      </c>
      <c r="AV184" s="50">
        <v>102896.1</v>
      </c>
    </row>
    <row r="185" spans="1:48" s="1" customFormat="1" ht="37.200000000000003" thickTop="1" thickBot="1" x14ac:dyDescent="0.55000000000000004">
      <c r="A185" s="33">
        <v>178</v>
      </c>
      <c r="B185" s="34" t="s">
        <v>232</v>
      </c>
      <c r="C185" s="34" t="s">
        <v>965</v>
      </c>
      <c r="D185" s="35" t="s">
        <v>687</v>
      </c>
      <c r="E185" s="35" t="s">
        <v>966</v>
      </c>
      <c r="F185" s="36" t="s">
        <v>1142</v>
      </c>
      <c r="G185" s="36" t="s">
        <v>1420</v>
      </c>
      <c r="H185" s="36" t="s">
        <v>1421</v>
      </c>
      <c r="I185" s="36" t="s">
        <v>1421</v>
      </c>
      <c r="J185" s="36" t="s">
        <v>1421</v>
      </c>
      <c r="K185" s="36">
        <v>425</v>
      </c>
      <c r="L185" s="36" t="s">
        <v>1422</v>
      </c>
      <c r="M185" s="49">
        <v>4</v>
      </c>
      <c r="N185" s="37" t="s">
        <v>1600</v>
      </c>
      <c r="O185" s="37"/>
      <c r="P185" s="36">
        <v>1</v>
      </c>
      <c r="Q185" s="36" t="s">
        <v>2032</v>
      </c>
      <c r="R185" s="36" t="s">
        <v>2083</v>
      </c>
      <c r="S185" s="36" t="s">
        <v>1880</v>
      </c>
      <c r="T185" s="36" t="s">
        <v>1883</v>
      </c>
      <c r="U185" s="38">
        <v>45589</v>
      </c>
      <c r="V185" s="39">
        <v>743894</v>
      </c>
      <c r="W185" s="39" t="s">
        <v>2363</v>
      </c>
      <c r="X185" s="39" t="s">
        <v>2363</v>
      </c>
      <c r="Y185" s="40">
        <f t="shared" si="47"/>
        <v>37194.699999999997</v>
      </c>
      <c r="Z185" s="40">
        <f t="shared" si="48"/>
        <v>781088.7</v>
      </c>
      <c r="AA185" s="41" t="str">
        <f t="shared" si="49"/>
        <v>0.0022</v>
      </c>
      <c r="AB185" s="41">
        <f t="shared" si="50"/>
        <v>0</v>
      </c>
      <c r="AC185" s="41">
        <f t="shared" si="51"/>
        <v>0</v>
      </c>
      <c r="AD185" s="41">
        <f t="shared" si="52"/>
        <v>0</v>
      </c>
      <c r="AE185" s="41">
        <f t="shared" si="53"/>
        <v>0</v>
      </c>
      <c r="AF185" s="41">
        <f t="shared" si="54"/>
        <v>0</v>
      </c>
      <c r="AG185" s="41">
        <f t="shared" si="55"/>
        <v>0</v>
      </c>
      <c r="AH185" s="41">
        <f t="shared" si="56"/>
        <v>0</v>
      </c>
      <c r="AI185" s="41">
        <f t="shared" si="57"/>
        <v>68</v>
      </c>
      <c r="AJ185" s="41">
        <f t="shared" si="58"/>
        <v>365</v>
      </c>
      <c r="AK185" s="41">
        <f t="shared" si="59"/>
        <v>181</v>
      </c>
      <c r="AL185" s="42">
        <f t="shared" si="60"/>
        <v>4.4837446575342463</v>
      </c>
      <c r="AM185" s="42">
        <f t="shared" si="61"/>
        <v>811.55778301369855</v>
      </c>
      <c r="AN185" s="43">
        <f t="shared" si="46"/>
        <v>706699.29999999993</v>
      </c>
      <c r="AO185" s="43"/>
      <c r="AP185" s="42">
        <f t="shared" si="62"/>
        <v>74389.400000000023</v>
      </c>
      <c r="AQ185" s="43">
        <v>6</v>
      </c>
      <c r="AR185" s="44">
        <f t="shared" si="63"/>
        <v>0.90476190476190477</v>
      </c>
      <c r="AS185" s="45">
        <f t="shared" si="64"/>
        <v>1750.3388235294117</v>
      </c>
      <c r="AU185" s="1">
        <v>669504.6</v>
      </c>
      <c r="AV185" s="50">
        <v>37194.699999999997</v>
      </c>
    </row>
    <row r="186" spans="1:48" s="1" customFormat="1" ht="37.200000000000003" thickTop="1" thickBot="1" x14ac:dyDescent="0.55000000000000004">
      <c r="A186" s="33">
        <v>179</v>
      </c>
      <c r="B186" s="34" t="s">
        <v>233</v>
      </c>
      <c r="C186" s="34" t="s">
        <v>965</v>
      </c>
      <c r="D186" s="35" t="s">
        <v>688</v>
      </c>
      <c r="E186" s="35" t="s">
        <v>966</v>
      </c>
      <c r="F186" s="36" t="s">
        <v>1143</v>
      </c>
      <c r="G186" s="36" t="s">
        <v>1420</v>
      </c>
      <c r="H186" s="36" t="s">
        <v>1421</v>
      </c>
      <c r="I186" s="36" t="s">
        <v>1421</v>
      </c>
      <c r="J186" s="36" t="s">
        <v>1421</v>
      </c>
      <c r="K186" s="36">
        <v>349.96</v>
      </c>
      <c r="L186" s="36" t="s">
        <v>1422</v>
      </c>
      <c r="M186" s="49">
        <v>4</v>
      </c>
      <c r="N186" s="37" t="s">
        <v>1601</v>
      </c>
      <c r="O186" s="37"/>
      <c r="P186" s="36">
        <v>1</v>
      </c>
      <c r="Q186" s="36" t="s">
        <v>1972</v>
      </c>
      <c r="R186" s="36" t="s">
        <v>2084</v>
      </c>
      <c r="S186" s="36" t="s">
        <v>1880</v>
      </c>
      <c r="T186" s="36" t="s">
        <v>1881</v>
      </c>
      <c r="U186" s="38">
        <v>45592</v>
      </c>
      <c r="V186" s="39">
        <v>670457</v>
      </c>
      <c r="W186" s="39" t="s">
        <v>2363</v>
      </c>
      <c r="X186" s="39" t="s">
        <v>2363</v>
      </c>
      <c r="Y186" s="40">
        <f t="shared" si="47"/>
        <v>33522.85</v>
      </c>
      <c r="Z186" s="40">
        <f t="shared" si="48"/>
        <v>703979.85</v>
      </c>
      <c r="AA186" s="41" t="str">
        <f t="shared" si="49"/>
        <v>0.0018</v>
      </c>
      <c r="AB186" s="41">
        <f t="shared" si="50"/>
        <v>0</v>
      </c>
      <c r="AC186" s="41">
        <f t="shared" si="51"/>
        <v>0</v>
      </c>
      <c r="AD186" s="41">
        <f t="shared" si="52"/>
        <v>0</v>
      </c>
      <c r="AE186" s="41">
        <f t="shared" si="53"/>
        <v>0</v>
      </c>
      <c r="AF186" s="41">
        <f t="shared" si="54"/>
        <v>0</v>
      </c>
      <c r="AG186" s="41">
        <f t="shared" si="55"/>
        <v>0</v>
      </c>
      <c r="AH186" s="41">
        <f t="shared" si="56"/>
        <v>0</v>
      </c>
      <c r="AI186" s="41">
        <f t="shared" si="57"/>
        <v>65</v>
      </c>
      <c r="AJ186" s="41">
        <f t="shared" si="58"/>
        <v>365</v>
      </c>
      <c r="AK186" s="41">
        <f t="shared" si="59"/>
        <v>181</v>
      </c>
      <c r="AL186" s="42">
        <f t="shared" si="60"/>
        <v>3.3063632876712328</v>
      </c>
      <c r="AM186" s="42">
        <f t="shared" si="61"/>
        <v>598.45175506849318</v>
      </c>
      <c r="AN186" s="43">
        <f t="shared" si="46"/>
        <v>636934.15</v>
      </c>
      <c r="AO186" s="43"/>
      <c r="AP186" s="42">
        <f t="shared" si="62"/>
        <v>67045.699999999953</v>
      </c>
      <c r="AQ186" s="43">
        <v>6</v>
      </c>
      <c r="AR186" s="44">
        <f t="shared" si="63"/>
        <v>0.90476190476190488</v>
      </c>
      <c r="AS186" s="45">
        <f t="shared" si="64"/>
        <v>1915.8103783289521</v>
      </c>
      <c r="AU186" s="1">
        <v>603411.30000000005</v>
      </c>
      <c r="AV186" s="50">
        <v>33522.85</v>
      </c>
    </row>
    <row r="187" spans="1:48" s="1" customFormat="1" ht="37.200000000000003" thickTop="1" thickBot="1" x14ac:dyDescent="0.55000000000000004">
      <c r="A187" s="33">
        <v>180</v>
      </c>
      <c r="B187" s="34" t="s">
        <v>234</v>
      </c>
      <c r="C187" s="34" t="s">
        <v>965</v>
      </c>
      <c r="D187" s="35" t="s">
        <v>689</v>
      </c>
      <c r="E187" s="35" t="s">
        <v>966</v>
      </c>
      <c r="F187" s="36" t="s">
        <v>1144</v>
      </c>
      <c r="G187" s="36" t="s">
        <v>1420</v>
      </c>
      <c r="H187" s="36" t="s">
        <v>1421</v>
      </c>
      <c r="I187" s="36" t="s">
        <v>1421</v>
      </c>
      <c r="J187" s="36" t="s">
        <v>1421</v>
      </c>
      <c r="K187" s="36">
        <v>375</v>
      </c>
      <c r="L187" s="36" t="s">
        <v>1422</v>
      </c>
      <c r="M187" s="49">
        <v>4</v>
      </c>
      <c r="N187" s="37" t="s">
        <v>1602</v>
      </c>
      <c r="O187" s="37"/>
      <c r="P187" s="36">
        <v>1</v>
      </c>
      <c r="Q187" s="36" t="s">
        <v>1943</v>
      </c>
      <c r="R187" s="36" t="s">
        <v>2085</v>
      </c>
      <c r="S187" s="36" t="s">
        <v>1880</v>
      </c>
      <c r="T187" s="36" t="s">
        <v>1881</v>
      </c>
      <c r="U187" s="38">
        <v>45592</v>
      </c>
      <c r="V187" s="39">
        <v>673974</v>
      </c>
      <c r="W187" s="39" t="s">
        <v>2363</v>
      </c>
      <c r="X187" s="39" t="s">
        <v>2363</v>
      </c>
      <c r="Y187" s="40">
        <f t="shared" si="47"/>
        <v>33698.699999999997</v>
      </c>
      <c r="Z187" s="40">
        <f t="shared" si="48"/>
        <v>707672.7</v>
      </c>
      <c r="AA187" s="41" t="str">
        <f t="shared" si="49"/>
        <v>0.0018</v>
      </c>
      <c r="AB187" s="41">
        <f t="shared" si="50"/>
        <v>0</v>
      </c>
      <c r="AC187" s="41">
        <f t="shared" si="51"/>
        <v>0</v>
      </c>
      <c r="AD187" s="41">
        <f t="shared" si="52"/>
        <v>0</v>
      </c>
      <c r="AE187" s="41">
        <f t="shared" si="53"/>
        <v>0</v>
      </c>
      <c r="AF187" s="41">
        <f t="shared" si="54"/>
        <v>0</v>
      </c>
      <c r="AG187" s="41">
        <f t="shared" si="55"/>
        <v>0</v>
      </c>
      <c r="AH187" s="41">
        <f t="shared" si="56"/>
        <v>0</v>
      </c>
      <c r="AI187" s="41">
        <f t="shared" si="57"/>
        <v>65</v>
      </c>
      <c r="AJ187" s="41">
        <f t="shared" si="58"/>
        <v>365</v>
      </c>
      <c r="AK187" s="41">
        <f t="shared" si="59"/>
        <v>181</v>
      </c>
      <c r="AL187" s="42">
        <f t="shared" si="60"/>
        <v>3.3237073972602738</v>
      </c>
      <c r="AM187" s="42">
        <f t="shared" si="61"/>
        <v>601.5910389041095</v>
      </c>
      <c r="AN187" s="43">
        <f t="shared" si="46"/>
        <v>606576.6</v>
      </c>
      <c r="AO187" s="43"/>
      <c r="AP187" s="42">
        <f t="shared" si="62"/>
        <v>101096.09999999998</v>
      </c>
      <c r="AQ187" s="43">
        <v>5</v>
      </c>
      <c r="AR187" s="44">
        <f t="shared" si="63"/>
        <v>0.85714285714285721</v>
      </c>
      <c r="AS187" s="45">
        <f t="shared" si="64"/>
        <v>1797.2639999999999</v>
      </c>
      <c r="AU187" s="1">
        <v>606576.6</v>
      </c>
      <c r="AV187" s="50">
        <v>0</v>
      </c>
    </row>
    <row r="188" spans="1:48" s="1" customFormat="1" ht="37.200000000000003" thickTop="1" thickBot="1" x14ac:dyDescent="0.55000000000000004">
      <c r="A188" s="33">
        <v>181</v>
      </c>
      <c r="B188" s="34" t="s">
        <v>235</v>
      </c>
      <c r="C188" s="34" t="s">
        <v>965</v>
      </c>
      <c r="D188" s="35" t="s">
        <v>690</v>
      </c>
      <c r="E188" s="35" t="s">
        <v>966</v>
      </c>
      <c r="F188" s="36" t="s">
        <v>1145</v>
      </c>
      <c r="G188" s="36" t="s">
        <v>1420</v>
      </c>
      <c r="H188" s="36" t="s">
        <v>1421</v>
      </c>
      <c r="I188" s="36" t="s">
        <v>1421</v>
      </c>
      <c r="J188" s="36" t="s">
        <v>1421</v>
      </c>
      <c r="K188" s="36">
        <v>350</v>
      </c>
      <c r="L188" s="36" t="s">
        <v>1422</v>
      </c>
      <c r="M188" s="49">
        <v>4</v>
      </c>
      <c r="N188" s="37" t="s">
        <v>1603</v>
      </c>
      <c r="O188" s="37"/>
      <c r="P188" s="36">
        <v>1</v>
      </c>
      <c r="Q188" s="36" t="s">
        <v>1915</v>
      </c>
      <c r="R188" s="36" t="s">
        <v>2086</v>
      </c>
      <c r="S188" s="36" t="s">
        <v>1880</v>
      </c>
      <c r="T188" s="36" t="s">
        <v>2004</v>
      </c>
      <c r="U188" s="38">
        <v>45592</v>
      </c>
      <c r="V188" s="39">
        <v>651770</v>
      </c>
      <c r="W188" s="39" t="s">
        <v>2363</v>
      </c>
      <c r="X188" s="39" t="s">
        <v>2363</v>
      </c>
      <c r="Y188" s="40">
        <f t="shared" si="47"/>
        <v>32588.5</v>
      </c>
      <c r="Z188" s="40">
        <f t="shared" si="48"/>
        <v>684358.5</v>
      </c>
      <c r="AA188" s="41" t="str">
        <f t="shared" si="49"/>
        <v>0.0018</v>
      </c>
      <c r="AB188" s="41">
        <f t="shared" si="50"/>
        <v>0</v>
      </c>
      <c r="AC188" s="41">
        <f t="shared" si="51"/>
        <v>0</v>
      </c>
      <c r="AD188" s="41">
        <f t="shared" si="52"/>
        <v>0</v>
      </c>
      <c r="AE188" s="41">
        <f t="shared" si="53"/>
        <v>0</v>
      </c>
      <c r="AF188" s="41">
        <f t="shared" si="54"/>
        <v>0</v>
      </c>
      <c r="AG188" s="41">
        <f t="shared" si="55"/>
        <v>0</v>
      </c>
      <c r="AH188" s="41">
        <f t="shared" si="56"/>
        <v>0</v>
      </c>
      <c r="AI188" s="41">
        <f t="shared" si="57"/>
        <v>65</v>
      </c>
      <c r="AJ188" s="41">
        <f t="shared" si="58"/>
        <v>365</v>
      </c>
      <c r="AK188" s="41">
        <f t="shared" si="59"/>
        <v>181</v>
      </c>
      <c r="AL188" s="42">
        <f t="shared" si="60"/>
        <v>3.2142082191780821</v>
      </c>
      <c r="AM188" s="42">
        <f t="shared" si="61"/>
        <v>581.77168767123283</v>
      </c>
      <c r="AN188" s="43">
        <f t="shared" si="46"/>
        <v>619181.5</v>
      </c>
      <c r="AO188" s="43"/>
      <c r="AP188" s="42">
        <f t="shared" si="62"/>
        <v>65177</v>
      </c>
      <c r="AQ188" s="43">
        <v>6</v>
      </c>
      <c r="AR188" s="44">
        <f t="shared" si="63"/>
        <v>0.90476190476190477</v>
      </c>
      <c r="AS188" s="45">
        <f t="shared" si="64"/>
        <v>1862.2</v>
      </c>
      <c r="AU188" s="1">
        <v>586593</v>
      </c>
      <c r="AV188" s="50">
        <v>32588.5</v>
      </c>
    </row>
    <row r="189" spans="1:48" s="1" customFormat="1" ht="37.200000000000003" thickTop="1" thickBot="1" x14ac:dyDescent="0.55000000000000004">
      <c r="A189" s="33">
        <v>182</v>
      </c>
      <c r="B189" s="34" t="s">
        <v>236</v>
      </c>
      <c r="C189" s="34" t="s">
        <v>965</v>
      </c>
      <c r="D189" s="35" t="s">
        <v>691</v>
      </c>
      <c r="E189" s="35" t="s">
        <v>966</v>
      </c>
      <c r="F189" s="36" t="s">
        <v>1146</v>
      </c>
      <c r="G189" s="36" t="s">
        <v>1420</v>
      </c>
      <c r="H189" s="36" t="s">
        <v>1421</v>
      </c>
      <c r="I189" s="36" t="s">
        <v>1421</v>
      </c>
      <c r="J189" s="36" t="s">
        <v>1421</v>
      </c>
      <c r="K189" s="36">
        <v>350</v>
      </c>
      <c r="L189" s="36" t="s">
        <v>1422</v>
      </c>
      <c r="M189" s="49">
        <v>4</v>
      </c>
      <c r="N189" s="37" t="s">
        <v>1604</v>
      </c>
      <c r="O189" s="37"/>
      <c r="P189" s="36">
        <v>1</v>
      </c>
      <c r="Q189" s="36" t="s">
        <v>1898</v>
      </c>
      <c r="R189" s="36" t="s">
        <v>2087</v>
      </c>
      <c r="S189" s="36" t="s">
        <v>1880</v>
      </c>
      <c r="T189" s="36" t="s">
        <v>1889</v>
      </c>
      <c r="U189" s="38">
        <v>45592</v>
      </c>
      <c r="V189" s="39">
        <v>535000</v>
      </c>
      <c r="W189" s="39" t="s">
        <v>2363</v>
      </c>
      <c r="X189" s="39" t="s">
        <v>2363</v>
      </c>
      <c r="Y189" s="40">
        <f t="shared" si="47"/>
        <v>26750</v>
      </c>
      <c r="Z189" s="40">
        <f t="shared" si="48"/>
        <v>561750</v>
      </c>
      <c r="AA189" s="41" t="str">
        <f t="shared" si="49"/>
        <v>0.0018</v>
      </c>
      <c r="AB189" s="41">
        <f t="shared" si="50"/>
        <v>0</v>
      </c>
      <c r="AC189" s="41">
        <f t="shared" si="51"/>
        <v>0</v>
      </c>
      <c r="AD189" s="41">
        <f t="shared" si="52"/>
        <v>0</v>
      </c>
      <c r="AE189" s="41">
        <f t="shared" si="53"/>
        <v>0</v>
      </c>
      <c r="AF189" s="41">
        <f t="shared" si="54"/>
        <v>0</v>
      </c>
      <c r="AG189" s="41">
        <f t="shared" si="55"/>
        <v>0</v>
      </c>
      <c r="AH189" s="41">
        <f t="shared" si="56"/>
        <v>0</v>
      </c>
      <c r="AI189" s="41">
        <f t="shared" si="57"/>
        <v>65</v>
      </c>
      <c r="AJ189" s="41">
        <f t="shared" si="58"/>
        <v>365</v>
      </c>
      <c r="AK189" s="41">
        <f t="shared" si="59"/>
        <v>181</v>
      </c>
      <c r="AL189" s="42">
        <f t="shared" si="60"/>
        <v>2.6383561643835618</v>
      </c>
      <c r="AM189" s="42">
        <f t="shared" si="61"/>
        <v>477.54246575342466</v>
      </c>
      <c r="AN189" s="43">
        <f t="shared" si="46"/>
        <v>508250</v>
      </c>
      <c r="AO189" s="43"/>
      <c r="AP189" s="42">
        <f t="shared" si="62"/>
        <v>53500</v>
      </c>
      <c r="AQ189" s="43">
        <v>6</v>
      </c>
      <c r="AR189" s="44">
        <f t="shared" si="63"/>
        <v>0.90476190476190477</v>
      </c>
      <c r="AS189" s="45">
        <f t="shared" si="64"/>
        <v>1528.5714285714287</v>
      </c>
      <c r="AU189" s="1">
        <v>481500</v>
      </c>
      <c r="AV189" s="50">
        <v>26750</v>
      </c>
    </row>
    <row r="190" spans="1:48" s="1" customFormat="1" ht="37.200000000000003" thickTop="1" thickBot="1" x14ac:dyDescent="0.55000000000000004">
      <c r="A190" s="33">
        <v>183</v>
      </c>
      <c r="B190" s="34" t="s">
        <v>237</v>
      </c>
      <c r="C190" s="34" t="s">
        <v>965</v>
      </c>
      <c r="D190" s="35" t="s">
        <v>692</v>
      </c>
      <c r="E190" s="35" t="s">
        <v>966</v>
      </c>
      <c r="F190" s="36" t="s">
        <v>1147</v>
      </c>
      <c r="G190" s="36" t="s">
        <v>1420</v>
      </c>
      <c r="H190" s="36" t="s">
        <v>1421</v>
      </c>
      <c r="I190" s="36" t="s">
        <v>1421</v>
      </c>
      <c r="J190" s="36" t="s">
        <v>1421</v>
      </c>
      <c r="K190" s="36">
        <v>350</v>
      </c>
      <c r="L190" s="36" t="s">
        <v>1422</v>
      </c>
      <c r="M190" s="49">
        <v>4</v>
      </c>
      <c r="N190" s="37" t="s">
        <v>1605</v>
      </c>
      <c r="O190" s="37"/>
      <c r="P190" s="36">
        <v>1</v>
      </c>
      <c r="Q190" s="36" t="s">
        <v>1878</v>
      </c>
      <c r="R190" s="36" t="s">
        <v>2088</v>
      </c>
      <c r="S190" s="36" t="s">
        <v>1880</v>
      </c>
      <c r="T190" s="36" t="s">
        <v>1901</v>
      </c>
      <c r="U190" s="38">
        <v>45593</v>
      </c>
      <c r="V190" s="39">
        <v>579141</v>
      </c>
      <c r="W190" s="39" t="s">
        <v>2363</v>
      </c>
      <c r="X190" s="39" t="s">
        <v>2363</v>
      </c>
      <c r="Y190" s="40">
        <f t="shared" si="47"/>
        <v>28957.05</v>
      </c>
      <c r="Z190" s="40">
        <f t="shared" si="48"/>
        <v>608098.05000000005</v>
      </c>
      <c r="AA190" s="41" t="str">
        <f t="shared" si="49"/>
        <v>0.0018</v>
      </c>
      <c r="AB190" s="41">
        <f t="shared" si="50"/>
        <v>0</v>
      </c>
      <c r="AC190" s="41">
        <f t="shared" si="51"/>
        <v>0</v>
      </c>
      <c r="AD190" s="41">
        <f t="shared" si="52"/>
        <v>0</v>
      </c>
      <c r="AE190" s="41">
        <f t="shared" si="53"/>
        <v>0</v>
      </c>
      <c r="AF190" s="41">
        <f t="shared" si="54"/>
        <v>0</v>
      </c>
      <c r="AG190" s="41">
        <f t="shared" si="55"/>
        <v>0</v>
      </c>
      <c r="AH190" s="41">
        <f t="shared" si="56"/>
        <v>0</v>
      </c>
      <c r="AI190" s="41">
        <f t="shared" si="57"/>
        <v>64</v>
      </c>
      <c r="AJ190" s="41">
        <f t="shared" si="58"/>
        <v>365</v>
      </c>
      <c r="AK190" s="41">
        <f t="shared" si="59"/>
        <v>181</v>
      </c>
      <c r="AL190" s="42">
        <f t="shared" si="60"/>
        <v>2.856037808219178</v>
      </c>
      <c r="AM190" s="42">
        <f t="shared" si="61"/>
        <v>516.94284328767117</v>
      </c>
      <c r="AN190" s="43">
        <f t="shared" si="46"/>
        <v>550183.95000000007</v>
      </c>
      <c r="AO190" s="43"/>
      <c r="AP190" s="42">
        <f t="shared" si="62"/>
        <v>57914.099999999977</v>
      </c>
      <c r="AQ190" s="43">
        <v>6</v>
      </c>
      <c r="AR190" s="44">
        <f t="shared" si="63"/>
        <v>0.90476190476190477</v>
      </c>
      <c r="AS190" s="45">
        <f t="shared" si="64"/>
        <v>1654.6885714285713</v>
      </c>
      <c r="AU190" s="1">
        <v>521226.9</v>
      </c>
      <c r="AV190" s="50">
        <v>28957.05</v>
      </c>
    </row>
    <row r="191" spans="1:48" s="1" customFormat="1" ht="37.200000000000003" thickTop="1" thickBot="1" x14ac:dyDescent="0.55000000000000004">
      <c r="A191" s="33">
        <v>184</v>
      </c>
      <c r="B191" s="34" t="s">
        <v>238</v>
      </c>
      <c r="C191" s="34" t="s">
        <v>965</v>
      </c>
      <c r="D191" s="35" t="s">
        <v>693</v>
      </c>
      <c r="E191" s="35" t="s">
        <v>966</v>
      </c>
      <c r="F191" s="36" t="s">
        <v>1148</v>
      </c>
      <c r="G191" s="36" t="s">
        <v>1420</v>
      </c>
      <c r="H191" s="36" t="s">
        <v>1421</v>
      </c>
      <c r="I191" s="36" t="s">
        <v>1421</v>
      </c>
      <c r="J191" s="36" t="s">
        <v>1421</v>
      </c>
      <c r="K191" s="36">
        <v>350</v>
      </c>
      <c r="L191" s="36" t="s">
        <v>1422</v>
      </c>
      <c r="M191" s="49">
        <v>4</v>
      </c>
      <c r="N191" s="37" t="s">
        <v>1606</v>
      </c>
      <c r="O191" s="37"/>
      <c r="P191" s="36">
        <v>1</v>
      </c>
      <c r="Q191" s="36" t="s">
        <v>1995</v>
      </c>
      <c r="R191" s="36" t="s">
        <v>2089</v>
      </c>
      <c r="S191" s="36" t="s">
        <v>1880</v>
      </c>
      <c r="T191" s="36" t="s">
        <v>2004</v>
      </c>
      <c r="U191" s="38">
        <v>45593</v>
      </c>
      <c r="V191" s="39">
        <v>711474</v>
      </c>
      <c r="W191" s="39" t="s">
        <v>2363</v>
      </c>
      <c r="X191" s="39" t="s">
        <v>2363</v>
      </c>
      <c r="Y191" s="40">
        <f t="shared" si="47"/>
        <v>35573.699999999997</v>
      </c>
      <c r="Z191" s="40">
        <f t="shared" si="48"/>
        <v>747047.7</v>
      </c>
      <c r="AA191" s="41" t="str">
        <f t="shared" si="49"/>
        <v>0.0022</v>
      </c>
      <c r="AB191" s="41">
        <f t="shared" si="50"/>
        <v>0</v>
      </c>
      <c r="AC191" s="41">
        <f t="shared" si="51"/>
        <v>0</v>
      </c>
      <c r="AD191" s="41">
        <f t="shared" si="52"/>
        <v>0</v>
      </c>
      <c r="AE191" s="41">
        <f t="shared" si="53"/>
        <v>0</v>
      </c>
      <c r="AF191" s="41">
        <f t="shared" si="54"/>
        <v>0</v>
      </c>
      <c r="AG191" s="41">
        <f t="shared" si="55"/>
        <v>0</v>
      </c>
      <c r="AH191" s="41">
        <f t="shared" si="56"/>
        <v>0</v>
      </c>
      <c r="AI191" s="41">
        <f t="shared" si="57"/>
        <v>64</v>
      </c>
      <c r="AJ191" s="41">
        <f t="shared" si="58"/>
        <v>365</v>
      </c>
      <c r="AK191" s="41">
        <f t="shared" si="59"/>
        <v>181</v>
      </c>
      <c r="AL191" s="42">
        <f t="shared" si="60"/>
        <v>4.288336438356164</v>
      </c>
      <c r="AM191" s="42">
        <f t="shared" si="61"/>
        <v>776.18889534246568</v>
      </c>
      <c r="AN191" s="43">
        <f t="shared" si="46"/>
        <v>675900.29999999993</v>
      </c>
      <c r="AO191" s="43"/>
      <c r="AP191" s="42">
        <f t="shared" si="62"/>
        <v>71147.400000000023</v>
      </c>
      <c r="AQ191" s="43">
        <v>6</v>
      </c>
      <c r="AR191" s="44">
        <f t="shared" si="63"/>
        <v>0.90476190476190477</v>
      </c>
      <c r="AS191" s="45">
        <f t="shared" si="64"/>
        <v>2032.7828571428572</v>
      </c>
      <c r="AU191" s="1">
        <v>640326.6</v>
      </c>
      <c r="AV191" s="50">
        <v>35573.699999999997</v>
      </c>
    </row>
    <row r="192" spans="1:48" s="1" customFormat="1" ht="37.200000000000003" thickTop="1" thickBot="1" x14ac:dyDescent="0.55000000000000004">
      <c r="A192" s="33">
        <v>185</v>
      </c>
      <c r="B192" s="34" t="s">
        <v>239</v>
      </c>
      <c r="C192" s="34" t="s">
        <v>965</v>
      </c>
      <c r="D192" s="35" t="s">
        <v>694</v>
      </c>
      <c r="E192" s="35" t="s">
        <v>966</v>
      </c>
      <c r="F192" s="36" t="s">
        <v>1149</v>
      </c>
      <c r="G192" s="36" t="s">
        <v>1420</v>
      </c>
      <c r="H192" s="36" t="s">
        <v>1421</v>
      </c>
      <c r="I192" s="36" t="s">
        <v>1421</v>
      </c>
      <c r="J192" s="36" t="s">
        <v>1421</v>
      </c>
      <c r="K192" s="36">
        <v>343.75</v>
      </c>
      <c r="L192" s="36" t="s">
        <v>1422</v>
      </c>
      <c r="M192" s="49">
        <v>4</v>
      </c>
      <c r="N192" s="37" t="s">
        <v>1607</v>
      </c>
      <c r="O192" s="37"/>
      <c r="P192" s="36">
        <v>1</v>
      </c>
      <c r="Q192" s="36" t="s">
        <v>1915</v>
      </c>
      <c r="R192" s="36" t="s">
        <v>2090</v>
      </c>
      <c r="S192" s="36" t="s">
        <v>1880</v>
      </c>
      <c r="T192" s="36" t="s">
        <v>1881</v>
      </c>
      <c r="U192" s="38">
        <v>45594</v>
      </c>
      <c r="V192" s="39">
        <v>642145</v>
      </c>
      <c r="W192" s="39" t="s">
        <v>2363</v>
      </c>
      <c r="X192" s="39" t="s">
        <v>2363</v>
      </c>
      <c r="Y192" s="40">
        <f t="shared" si="47"/>
        <v>32107.25</v>
      </c>
      <c r="Z192" s="40">
        <f t="shared" si="48"/>
        <v>674252.25</v>
      </c>
      <c r="AA192" s="41" t="str">
        <f t="shared" si="49"/>
        <v>0.0018</v>
      </c>
      <c r="AB192" s="41">
        <f t="shared" si="50"/>
        <v>0</v>
      </c>
      <c r="AC192" s="41">
        <f t="shared" si="51"/>
        <v>0</v>
      </c>
      <c r="AD192" s="41">
        <f t="shared" si="52"/>
        <v>0</v>
      </c>
      <c r="AE192" s="41">
        <f t="shared" si="53"/>
        <v>0</v>
      </c>
      <c r="AF192" s="41">
        <f t="shared" si="54"/>
        <v>0</v>
      </c>
      <c r="AG192" s="41">
        <f t="shared" si="55"/>
        <v>0</v>
      </c>
      <c r="AH192" s="41">
        <f t="shared" si="56"/>
        <v>0</v>
      </c>
      <c r="AI192" s="41">
        <f t="shared" si="57"/>
        <v>63</v>
      </c>
      <c r="AJ192" s="41">
        <f t="shared" si="58"/>
        <v>365</v>
      </c>
      <c r="AK192" s="41">
        <f t="shared" si="59"/>
        <v>181</v>
      </c>
      <c r="AL192" s="42">
        <f t="shared" si="60"/>
        <v>3.1667424657534244</v>
      </c>
      <c r="AM192" s="42">
        <f t="shared" si="61"/>
        <v>573.18038630136982</v>
      </c>
      <c r="AN192" s="43">
        <f t="shared" si="46"/>
        <v>706359.5</v>
      </c>
      <c r="AO192" s="43"/>
      <c r="AP192" s="42">
        <f t="shared" si="62"/>
        <v>-32107.25</v>
      </c>
      <c r="AQ192" s="43">
        <v>6</v>
      </c>
      <c r="AR192" s="44">
        <f t="shared" si="63"/>
        <v>1.0476190476190477</v>
      </c>
      <c r="AS192" s="45">
        <f t="shared" si="64"/>
        <v>1868.0581818181818</v>
      </c>
      <c r="AU192" s="1">
        <v>706359.5</v>
      </c>
      <c r="AV192" s="50">
        <v>0</v>
      </c>
    </row>
    <row r="193" spans="1:48" s="1" customFormat="1" ht="37.200000000000003" thickTop="1" thickBot="1" x14ac:dyDescent="0.55000000000000004">
      <c r="A193" s="33">
        <v>186</v>
      </c>
      <c r="B193" s="34" t="s">
        <v>240</v>
      </c>
      <c r="C193" s="34" t="s">
        <v>965</v>
      </c>
      <c r="D193" s="35" t="s">
        <v>695</v>
      </c>
      <c r="E193" s="35" t="s">
        <v>966</v>
      </c>
      <c r="F193" s="36" t="s">
        <v>1150</v>
      </c>
      <c r="G193" s="36" t="s">
        <v>1420</v>
      </c>
      <c r="H193" s="36" t="s">
        <v>1421</v>
      </c>
      <c r="I193" s="36" t="s">
        <v>1421</v>
      </c>
      <c r="J193" s="36" t="s">
        <v>1421</v>
      </c>
      <c r="K193" s="36">
        <v>375.26</v>
      </c>
      <c r="L193" s="36" t="s">
        <v>1422</v>
      </c>
      <c r="M193" s="49">
        <v>4</v>
      </c>
      <c r="N193" s="37" t="s">
        <v>1608</v>
      </c>
      <c r="O193" s="37"/>
      <c r="P193" s="36">
        <v>1</v>
      </c>
      <c r="Q193" s="36" t="s">
        <v>1972</v>
      </c>
      <c r="R193" s="36" t="s">
        <v>2091</v>
      </c>
      <c r="S193" s="36" t="s">
        <v>1880</v>
      </c>
      <c r="T193" s="36" t="s">
        <v>1883</v>
      </c>
      <c r="U193" s="38">
        <v>45594</v>
      </c>
      <c r="V193" s="39">
        <v>677105</v>
      </c>
      <c r="W193" s="39" t="s">
        <v>2363</v>
      </c>
      <c r="X193" s="39" t="s">
        <v>2363</v>
      </c>
      <c r="Y193" s="40">
        <f t="shared" si="47"/>
        <v>33855.25</v>
      </c>
      <c r="Z193" s="40">
        <f t="shared" si="48"/>
        <v>710960.25</v>
      </c>
      <c r="AA193" s="41" t="str">
        <f t="shared" si="49"/>
        <v>0.0018</v>
      </c>
      <c r="AB193" s="41">
        <f t="shared" si="50"/>
        <v>0</v>
      </c>
      <c r="AC193" s="41">
        <f t="shared" si="51"/>
        <v>0</v>
      </c>
      <c r="AD193" s="41">
        <f t="shared" si="52"/>
        <v>0</v>
      </c>
      <c r="AE193" s="41">
        <f t="shared" si="53"/>
        <v>0</v>
      </c>
      <c r="AF193" s="41">
        <f t="shared" si="54"/>
        <v>0</v>
      </c>
      <c r="AG193" s="41">
        <f t="shared" si="55"/>
        <v>0</v>
      </c>
      <c r="AH193" s="41">
        <f t="shared" si="56"/>
        <v>0</v>
      </c>
      <c r="AI193" s="41">
        <f t="shared" si="57"/>
        <v>63</v>
      </c>
      <c r="AJ193" s="41">
        <f t="shared" si="58"/>
        <v>365</v>
      </c>
      <c r="AK193" s="41">
        <f t="shared" si="59"/>
        <v>181</v>
      </c>
      <c r="AL193" s="42">
        <f t="shared" si="60"/>
        <v>3.3391479452054793</v>
      </c>
      <c r="AM193" s="42">
        <f t="shared" si="61"/>
        <v>604.38577808219179</v>
      </c>
      <c r="AN193" s="43">
        <f t="shared" si="46"/>
        <v>643249.75</v>
      </c>
      <c r="AO193" s="43"/>
      <c r="AP193" s="42">
        <f t="shared" si="62"/>
        <v>67710.5</v>
      </c>
      <c r="AQ193" s="43">
        <v>6</v>
      </c>
      <c r="AR193" s="44">
        <f t="shared" si="63"/>
        <v>0.90476190476190477</v>
      </c>
      <c r="AS193" s="45">
        <f t="shared" si="64"/>
        <v>1804.3623087992326</v>
      </c>
      <c r="AU193" s="1">
        <v>609394.5</v>
      </c>
      <c r="AV193" s="50">
        <v>33855.25</v>
      </c>
    </row>
    <row r="194" spans="1:48" s="1" customFormat="1" ht="37.200000000000003" thickTop="1" thickBot="1" x14ac:dyDescent="0.55000000000000004">
      <c r="A194" s="33">
        <v>187</v>
      </c>
      <c r="B194" s="34" t="s">
        <v>241</v>
      </c>
      <c r="C194" s="34" t="s">
        <v>965</v>
      </c>
      <c r="D194" s="35" t="s">
        <v>696</v>
      </c>
      <c r="E194" s="35" t="s">
        <v>966</v>
      </c>
      <c r="F194" s="36" t="s">
        <v>1151</v>
      </c>
      <c r="G194" s="36" t="s">
        <v>1420</v>
      </c>
      <c r="H194" s="36" t="s">
        <v>1421</v>
      </c>
      <c r="I194" s="36" t="s">
        <v>1421</v>
      </c>
      <c r="J194" s="36" t="s">
        <v>1421</v>
      </c>
      <c r="K194" s="36">
        <v>350</v>
      </c>
      <c r="L194" s="36" t="s">
        <v>1422</v>
      </c>
      <c r="M194" s="49">
        <v>4</v>
      </c>
      <c r="N194" s="37" t="s">
        <v>1609</v>
      </c>
      <c r="O194" s="37"/>
      <c r="P194" s="36">
        <v>1</v>
      </c>
      <c r="Q194" s="36" t="s">
        <v>1915</v>
      </c>
      <c r="R194" s="36" t="s">
        <v>2092</v>
      </c>
      <c r="S194" s="36" t="s">
        <v>1880</v>
      </c>
      <c r="T194" s="36" t="s">
        <v>1881</v>
      </c>
      <c r="U194" s="38">
        <v>45594</v>
      </c>
      <c r="V194" s="39">
        <v>673474</v>
      </c>
      <c r="W194" s="39" t="s">
        <v>2363</v>
      </c>
      <c r="X194" s="39" t="s">
        <v>2363</v>
      </c>
      <c r="Y194" s="40">
        <f t="shared" si="47"/>
        <v>33673.699999999997</v>
      </c>
      <c r="Z194" s="40">
        <f t="shared" si="48"/>
        <v>707147.7</v>
      </c>
      <c r="AA194" s="41" t="str">
        <f t="shared" si="49"/>
        <v>0.0018</v>
      </c>
      <c r="AB194" s="41">
        <f t="shared" si="50"/>
        <v>0</v>
      </c>
      <c r="AC194" s="41">
        <f t="shared" si="51"/>
        <v>0</v>
      </c>
      <c r="AD194" s="41">
        <f t="shared" si="52"/>
        <v>0</v>
      </c>
      <c r="AE194" s="41">
        <f t="shared" si="53"/>
        <v>0</v>
      </c>
      <c r="AF194" s="41">
        <f t="shared" si="54"/>
        <v>0</v>
      </c>
      <c r="AG194" s="41">
        <f t="shared" si="55"/>
        <v>0</v>
      </c>
      <c r="AH194" s="41">
        <f t="shared" si="56"/>
        <v>0</v>
      </c>
      <c r="AI194" s="41">
        <f t="shared" si="57"/>
        <v>63</v>
      </c>
      <c r="AJ194" s="41">
        <f t="shared" si="58"/>
        <v>365</v>
      </c>
      <c r="AK194" s="41">
        <f t="shared" si="59"/>
        <v>181</v>
      </c>
      <c r="AL194" s="42">
        <f t="shared" si="60"/>
        <v>3.321241643835616</v>
      </c>
      <c r="AM194" s="42">
        <f t="shared" si="61"/>
        <v>601.14473753424647</v>
      </c>
      <c r="AN194" s="43">
        <f t="shared" si="46"/>
        <v>639800.29999999993</v>
      </c>
      <c r="AO194" s="43"/>
      <c r="AP194" s="42">
        <f t="shared" si="62"/>
        <v>67347.400000000023</v>
      </c>
      <c r="AQ194" s="43">
        <v>6</v>
      </c>
      <c r="AR194" s="44">
        <f t="shared" si="63"/>
        <v>0.90476190476190477</v>
      </c>
      <c r="AS194" s="45">
        <f t="shared" si="64"/>
        <v>1924.2114285714285</v>
      </c>
      <c r="AU194" s="1">
        <v>606126.6</v>
      </c>
      <c r="AV194" s="50">
        <v>33673.699999999997</v>
      </c>
    </row>
    <row r="195" spans="1:48" s="1" customFormat="1" ht="37.200000000000003" thickTop="1" thickBot="1" x14ac:dyDescent="0.55000000000000004">
      <c r="A195" s="33">
        <v>188</v>
      </c>
      <c r="B195" s="34" t="s">
        <v>242</v>
      </c>
      <c r="C195" s="34" t="s">
        <v>965</v>
      </c>
      <c r="D195" s="35" t="s">
        <v>697</v>
      </c>
      <c r="E195" s="35" t="s">
        <v>966</v>
      </c>
      <c r="F195" s="36" t="s">
        <v>1152</v>
      </c>
      <c r="G195" s="36" t="s">
        <v>1420</v>
      </c>
      <c r="H195" s="36" t="s">
        <v>1421</v>
      </c>
      <c r="I195" s="36" t="s">
        <v>1421</v>
      </c>
      <c r="J195" s="36" t="s">
        <v>1421</v>
      </c>
      <c r="K195" s="36">
        <v>362.5</v>
      </c>
      <c r="L195" s="36" t="s">
        <v>1422</v>
      </c>
      <c r="M195" s="49">
        <v>4</v>
      </c>
      <c r="N195" s="37" t="s">
        <v>1610</v>
      </c>
      <c r="O195" s="37"/>
      <c r="P195" s="36">
        <v>1</v>
      </c>
      <c r="Q195" s="36" t="s">
        <v>1898</v>
      </c>
      <c r="R195" s="36" t="s">
        <v>2093</v>
      </c>
      <c r="S195" s="36" t="s">
        <v>1880</v>
      </c>
      <c r="T195" s="36" t="s">
        <v>2094</v>
      </c>
      <c r="U195" s="38">
        <v>45594</v>
      </c>
      <c r="V195" s="39">
        <v>761662</v>
      </c>
      <c r="W195" s="39" t="s">
        <v>2363</v>
      </c>
      <c r="X195" s="39" t="s">
        <v>2363</v>
      </c>
      <c r="Y195" s="40">
        <f t="shared" si="47"/>
        <v>38083.1</v>
      </c>
      <c r="Z195" s="40">
        <f t="shared" si="48"/>
        <v>799745.1</v>
      </c>
      <c r="AA195" s="41" t="str">
        <f t="shared" si="49"/>
        <v>0.0022</v>
      </c>
      <c r="AB195" s="41">
        <f t="shared" si="50"/>
        <v>0</v>
      </c>
      <c r="AC195" s="41">
        <f t="shared" si="51"/>
        <v>0</v>
      </c>
      <c r="AD195" s="41">
        <f t="shared" si="52"/>
        <v>0</v>
      </c>
      <c r="AE195" s="41">
        <f t="shared" si="53"/>
        <v>0</v>
      </c>
      <c r="AF195" s="41">
        <f t="shared" si="54"/>
        <v>0</v>
      </c>
      <c r="AG195" s="41">
        <f t="shared" si="55"/>
        <v>0</v>
      </c>
      <c r="AH195" s="41">
        <f t="shared" si="56"/>
        <v>0</v>
      </c>
      <c r="AI195" s="41">
        <f t="shared" si="57"/>
        <v>63</v>
      </c>
      <c r="AJ195" s="41">
        <f t="shared" si="58"/>
        <v>365</v>
      </c>
      <c r="AK195" s="41">
        <f t="shared" si="59"/>
        <v>181</v>
      </c>
      <c r="AL195" s="42">
        <f t="shared" si="60"/>
        <v>4.5908394520547944</v>
      </c>
      <c r="AM195" s="42">
        <f t="shared" si="61"/>
        <v>830.9419408219178</v>
      </c>
      <c r="AN195" s="43">
        <f t="shared" si="46"/>
        <v>685495.8</v>
      </c>
      <c r="AO195" s="43"/>
      <c r="AP195" s="42">
        <f t="shared" si="62"/>
        <v>114249.29999999993</v>
      </c>
      <c r="AQ195" s="43">
        <v>5</v>
      </c>
      <c r="AR195" s="44">
        <f t="shared" si="63"/>
        <v>0.85714285714285721</v>
      </c>
      <c r="AS195" s="45">
        <f t="shared" si="64"/>
        <v>2101.1365517241379</v>
      </c>
      <c r="AU195" s="1">
        <v>685495.8</v>
      </c>
      <c r="AV195" s="50">
        <v>0</v>
      </c>
    </row>
    <row r="196" spans="1:48" s="1" customFormat="1" ht="37.200000000000003" thickTop="1" thickBot="1" x14ac:dyDescent="0.55000000000000004">
      <c r="A196" s="33">
        <v>189</v>
      </c>
      <c r="B196" s="34" t="s">
        <v>243</v>
      </c>
      <c r="C196" s="34" t="s">
        <v>965</v>
      </c>
      <c r="D196" s="35" t="s">
        <v>698</v>
      </c>
      <c r="E196" s="35" t="s">
        <v>966</v>
      </c>
      <c r="F196" s="36" t="s">
        <v>1153</v>
      </c>
      <c r="G196" s="36" t="s">
        <v>1420</v>
      </c>
      <c r="H196" s="36" t="s">
        <v>1421</v>
      </c>
      <c r="I196" s="36" t="s">
        <v>1421</v>
      </c>
      <c r="J196" s="36" t="s">
        <v>1421</v>
      </c>
      <c r="K196" s="36">
        <v>350</v>
      </c>
      <c r="L196" s="36" t="s">
        <v>1422</v>
      </c>
      <c r="M196" s="49">
        <v>4</v>
      </c>
      <c r="N196" s="37" t="s">
        <v>1611</v>
      </c>
      <c r="O196" s="37"/>
      <c r="P196" s="36">
        <v>1</v>
      </c>
      <c r="Q196" s="36" t="s">
        <v>1995</v>
      </c>
      <c r="R196" s="36" t="s">
        <v>2095</v>
      </c>
      <c r="S196" s="36" t="s">
        <v>1880</v>
      </c>
      <c r="T196" s="36" t="s">
        <v>1881</v>
      </c>
      <c r="U196" s="38">
        <v>45594</v>
      </c>
      <c r="V196" s="39">
        <v>711474</v>
      </c>
      <c r="W196" s="39" t="s">
        <v>2363</v>
      </c>
      <c r="X196" s="39" t="s">
        <v>2363</v>
      </c>
      <c r="Y196" s="40">
        <f t="shared" si="47"/>
        <v>35573.699999999997</v>
      </c>
      <c r="Z196" s="40">
        <f t="shared" si="48"/>
        <v>747047.7</v>
      </c>
      <c r="AA196" s="41" t="str">
        <f t="shared" si="49"/>
        <v>0.0022</v>
      </c>
      <c r="AB196" s="41">
        <f t="shared" si="50"/>
        <v>0</v>
      </c>
      <c r="AC196" s="41">
        <f t="shared" si="51"/>
        <v>0</v>
      </c>
      <c r="AD196" s="41">
        <f t="shared" si="52"/>
        <v>0</v>
      </c>
      <c r="AE196" s="41">
        <f t="shared" si="53"/>
        <v>0</v>
      </c>
      <c r="AF196" s="41">
        <f t="shared" si="54"/>
        <v>0</v>
      </c>
      <c r="AG196" s="41">
        <f t="shared" si="55"/>
        <v>0</v>
      </c>
      <c r="AH196" s="41">
        <f t="shared" si="56"/>
        <v>0</v>
      </c>
      <c r="AI196" s="41">
        <f t="shared" si="57"/>
        <v>63</v>
      </c>
      <c r="AJ196" s="41">
        <f t="shared" si="58"/>
        <v>365</v>
      </c>
      <c r="AK196" s="41">
        <f t="shared" si="59"/>
        <v>181</v>
      </c>
      <c r="AL196" s="42">
        <f t="shared" si="60"/>
        <v>4.288336438356164</v>
      </c>
      <c r="AM196" s="42">
        <f t="shared" si="61"/>
        <v>776.18889534246568</v>
      </c>
      <c r="AN196" s="43">
        <f t="shared" si="46"/>
        <v>640326.6</v>
      </c>
      <c r="AO196" s="43"/>
      <c r="AP196" s="42">
        <f t="shared" si="62"/>
        <v>106721.09999999998</v>
      </c>
      <c r="AQ196" s="43">
        <v>5</v>
      </c>
      <c r="AR196" s="44">
        <f t="shared" si="63"/>
        <v>0.85714285714285721</v>
      </c>
      <c r="AS196" s="45">
        <f t="shared" si="64"/>
        <v>2032.7828571428572</v>
      </c>
      <c r="AU196" s="1">
        <v>640326.6</v>
      </c>
      <c r="AV196" s="50">
        <v>0</v>
      </c>
    </row>
    <row r="197" spans="1:48" s="1" customFormat="1" ht="37.200000000000003" thickTop="1" thickBot="1" x14ac:dyDescent="0.55000000000000004">
      <c r="A197" s="33">
        <v>190</v>
      </c>
      <c r="B197" s="34" t="s">
        <v>244</v>
      </c>
      <c r="C197" s="34" t="s">
        <v>965</v>
      </c>
      <c r="D197" s="35" t="s">
        <v>699</v>
      </c>
      <c r="E197" s="35" t="s">
        <v>966</v>
      </c>
      <c r="F197" s="36" t="s">
        <v>1154</v>
      </c>
      <c r="G197" s="36" t="s">
        <v>1420</v>
      </c>
      <c r="H197" s="36" t="s">
        <v>1421</v>
      </c>
      <c r="I197" s="36" t="s">
        <v>1421</v>
      </c>
      <c r="J197" s="36" t="s">
        <v>1421</v>
      </c>
      <c r="K197" s="36">
        <v>375.14</v>
      </c>
      <c r="L197" s="36" t="s">
        <v>1422</v>
      </c>
      <c r="M197" s="49">
        <v>4</v>
      </c>
      <c r="N197" s="37" t="s">
        <v>1612</v>
      </c>
      <c r="O197" s="37"/>
      <c r="P197" s="36">
        <v>1</v>
      </c>
      <c r="Q197" s="36" t="s">
        <v>1972</v>
      </c>
      <c r="R197" s="36" t="s">
        <v>2096</v>
      </c>
      <c r="S197" s="36" t="s">
        <v>1880</v>
      </c>
      <c r="T197" s="36" t="s">
        <v>1881</v>
      </c>
      <c r="U197" s="38">
        <v>45594</v>
      </c>
      <c r="V197" s="39">
        <v>677043</v>
      </c>
      <c r="W197" s="39" t="s">
        <v>2363</v>
      </c>
      <c r="X197" s="39" t="s">
        <v>2363</v>
      </c>
      <c r="Y197" s="40">
        <f t="shared" si="47"/>
        <v>33852.15</v>
      </c>
      <c r="Z197" s="40">
        <f t="shared" si="48"/>
        <v>710895.15</v>
      </c>
      <c r="AA197" s="41" t="str">
        <f t="shared" si="49"/>
        <v>0.0018</v>
      </c>
      <c r="AB197" s="41">
        <f t="shared" si="50"/>
        <v>0</v>
      </c>
      <c r="AC197" s="41">
        <f t="shared" si="51"/>
        <v>0</v>
      </c>
      <c r="AD197" s="41">
        <f t="shared" si="52"/>
        <v>0</v>
      </c>
      <c r="AE197" s="41">
        <f t="shared" si="53"/>
        <v>0</v>
      </c>
      <c r="AF197" s="41">
        <f t="shared" si="54"/>
        <v>0</v>
      </c>
      <c r="AG197" s="41">
        <f t="shared" si="55"/>
        <v>0</v>
      </c>
      <c r="AH197" s="41">
        <f t="shared" si="56"/>
        <v>0</v>
      </c>
      <c r="AI197" s="41">
        <f t="shared" si="57"/>
        <v>63</v>
      </c>
      <c r="AJ197" s="41">
        <f t="shared" si="58"/>
        <v>365</v>
      </c>
      <c r="AK197" s="41">
        <f t="shared" si="59"/>
        <v>181</v>
      </c>
      <c r="AL197" s="42">
        <f t="shared" si="60"/>
        <v>3.338842191780822</v>
      </c>
      <c r="AM197" s="42">
        <f t="shared" si="61"/>
        <v>604.33043671232883</v>
      </c>
      <c r="AN197" s="43">
        <f t="shared" si="46"/>
        <v>643190.85</v>
      </c>
      <c r="AO197" s="43"/>
      <c r="AP197" s="42">
        <f t="shared" si="62"/>
        <v>67704.300000000047</v>
      </c>
      <c r="AQ197" s="43">
        <v>6</v>
      </c>
      <c r="AR197" s="44">
        <f t="shared" si="63"/>
        <v>0.90476190476190466</v>
      </c>
      <c r="AS197" s="45">
        <f t="shared" si="64"/>
        <v>1804.7742176254199</v>
      </c>
      <c r="AU197" s="1">
        <v>609338.69999999995</v>
      </c>
      <c r="AV197" s="50">
        <v>33852.15</v>
      </c>
    </row>
    <row r="198" spans="1:48" s="1" customFormat="1" ht="37.200000000000003" thickTop="1" thickBot="1" x14ac:dyDescent="0.55000000000000004">
      <c r="A198" s="33">
        <v>191</v>
      </c>
      <c r="B198" s="34" t="s">
        <v>245</v>
      </c>
      <c r="C198" s="34" t="s">
        <v>965</v>
      </c>
      <c r="D198" s="35" t="s">
        <v>700</v>
      </c>
      <c r="E198" s="35" t="s">
        <v>966</v>
      </c>
      <c r="F198" s="36" t="s">
        <v>1155</v>
      </c>
      <c r="G198" s="36" t="s">
        <v>1420</v>
      </c>
      <c r="H198" s="36" t="s">
        <v>1421</v>
      </c>
      <c r="I198" s="36" t="s">
        <v>1421</v>
      </c>
      <c r="J198" s="36" t="s">
        <v>1421</v>
      </c>
      <c r="K198" s="36">
        <v>375</v>
      </c>
      <c r="L198" s="36" t="s">
        <v>1422</v>
      </c>
      <c r="M198" s="49">
        <v>4</v>
      </c>
      <c r="N198" s="37" t="s">
        <v>1613</v>
      </c>
      <c r="O198" s="37"/>
      <c r="P198" s="36">
        <v>1</v>
      </c>
      <c r="Q198" s="36" t="s">
        <v>1943</v>
      </c>
      <c r="R198" s="36" t="s">
        <v>2097</v>
      </c>
      <c r="S198" s="36" t="s">
        <v>1880</v>
      </c>
      <c r="T198" s="36" t="s">
        <v>1881</v>
      </c>
      <c r="U198" s="38">
        <v>45594</v>
      </c>
      <c r="V198" s="39">
        <v>716892</v>
      </c>
      <c r="W198" s="39" t="s">
        <v>2363</v>
      </c>
      <c r="X198" s="39" t="s">
        <v>2363</v>
      </c>
      <c r="Y198" s="40">
        <f t="shared" si="47"/>
        <v>35844.6</v>
      </c>
      <c r="Z198" s="40">
        <f t="shared" si="48"/>
        <v>752736.6</v>
      </c>
      <c r="AA198" s="41" t="str">
        <f t="shared" si="49"/>
        <v>0.0022</v>
      </c>
      <c r="AB198" s="41">
        <f t="shared" si="50"/>
        <v>0</v>
      </c>
      <c r="AC198" s="41">
        <f t="shared" si="51"/>
        <v>0</v>
      </c>
      <c r="AD198" s="41">
        <f t="shared" si="52"/>
        <v>0</v>
      </c>
      <c r="AE198" s="41">
        <f t="shared" si="53"/>
        <v>0</v>
      </c>
      <c r="AF198" s="41">
        <f t="shared" si="54"/>
        <v>0</v>
      </c>
      <c r="AG198" s="41">
        <f t="shared" si="55"/>
        <v>0</v>
      </c>
      <c r="AH198" s="41">
        <f t="shared" si="56"/>
        <v>0</v>
      </c>
      <c r="AI198" s="41">
        <f t="shared" si="57"/>
        <v>63</v>
      </c>
      <c r="AJ198" s="41">
        <f t="shared" si="58"/>
        <v>365</v>
      </c>
      <c r="AK198" s="41">
        <f t="shared" si="59"/>
        <v>181</v>
      </c>
      <c r="AL198" s="42">
        <f t="shared" si="60"/>
        <v>4.3209928767123289</v>
      </c>
      <c r="AM198" s="42">
        <f t="shared" si="61"/>
        <v>782.09971068493155</v>
      </c>
      <c r="AN198" s="43">
        <f t="shared" si="46"/>
        <v>681047.4</v>
      </c>
      <c r="AO198" s="43"/>
      <c r="AP198" s="42">
        <f t="shared" si="62"/>
        <v>71689.199999999953</v>
      </c>
      <c r="AQ198" s="43">
        <v>6</v>
      </c>
      <c r="AR198" s="44">
        <f t="shared" si="63"/>
        <v>0.90476190476190477</v>
      </c>
      <c r="AS198" s="45">
        <f t="shared" si="64"/>
        <v>1911.712</v>
      </c>
      <c r="AU198" s="1">
        <v>645202.80000000005</v>
      </c>
      <c r="AV198" s="50">
        <v>35844.6</v>
      </c>
    </row>
    <row r="199" spans="1:48" s="1" customFormat="1" ht="37.200000000000003" thickTop="1" thickBot="1" x14ac:dyDescent="0.55000000000000004">
      <c r="A199" s="33">
        <v>192</v>
      </c>
      <c r="B199" s="34" t="s">
        <v>246</v>
      </c>
      <c r="C199" s="34" t="s">
        <v>965</v>
      </c>
      <c r="D199" s="35" t="s">
        <v>701</v>
      </c>
      <c r="E199" s="35" t="s">
        <v>966</v>
      </c>
      <c r="F199" s="36" t="s">
        <v>1156</v>
      </c>
      <c r="G199" s="36" t="s">
        <v>1420</v>
      </c>
      <c r="H199" s="36" t="s">
        <v>1421</v>
      </c>
      <c r="I199" s="36" t="s">
        <v>1421</v>
      </c>
      <c r="J199" s="36" t="s">
        <v>1421</v>
      </c>
      <c r="K199" s="36">
        <v>350</v>
      </c>
      <c r="L199" s="36" t="s">
        <v>1422</v>
      </c>
      <c r="M199" s="49">
        <v>4</v>
      </c>
      <c r="N199" s="37" t="s">
        <v>1614</v>
      </c>
      <c r="O199" s="37"/>
      <c r="P199" s="36">
        <v>1</v>
      </c>
      <c r="Q199" s="36" t="s">
        <v>2039</v>
      </c>
      <c r="R199" s="36" t="s">
        <v>2098</v>
      </c>
      <c r="S199" s="36" t="s">
        <v>1880</v>
      </c>
      <c r="T199" s="36" t="s">
        <v>1883</v>
      </c>
      <c r="U199" s="38">
        <v>45594</v>
      </c>
      <c r="V199" s="39">
        <v>673474</v>
      </c>
      <c r="W199" s="39" t="s">
        <v>2363</v>
      </c>
      <c r="X199" s="39" t="s">
        <v>2363</v>
      </c>
      <c r="Y199" s="40">
        <f t="shared" si="47"/>
        <v>33673.699999999997</v>
      </c>
      <c r="Z199" s="40">
        <f t="shared" si="48"/>
        <v>707147.7</v>
      </c>
      <c r="AA199" s="41" t="str">
        <f t="shared" si="49"/>
        <v>0.0018</v>
      </c>
      <c r="AB199" s="41">
        <f t="shared" si="50"/>
        <v>0</v>
      </c>
      <c r="AC199" s="41">
        <f t="shared" si="51"/>
        <v>0</v>
      </c>
      <c r="AD199" s="41">
        <f t="shared" si="52"/>
        <v>0</v>
      </c>
      <c r="AE199" s="41">
        <f t="shared" si="53"/>
        <v>0</v>
      </c>
      <c r="AF199" s="41">
        <f t="shared" si="54"/>
        <v>0</v>
      </c>
      <c r="AG199" s="41">
        <f t="shared" si="55"/>
        <v>0</v>
      </c>
      <c r="AH199" s="41">
        <f t="shared" si="56"/>
        <v>0</v>
      </c>
      <c r="AI199" s="41">
        <f t="shared" si="57"/>
        <v>63</v>
      </c>
      <c r="AJ199" s="41">
        <f t="shared" si="58"/>
        <v>365</v>
      </c>
      <c r="AK199" s="41">
        <f t="shared" si="59"/>
        <v>181</v>
      </c>
      <c r="AL199" s="42">
        <f t="shared" si="60"/>
        <v>3.321241643835616</v>
      </c>
      <c r="AM199" s="42">
        <f t="shared" si="61"/>
        <v>601.14473753424647</v>
      </c>
      <c r="AN199" s="43">
        <f t="shared" si="46"/>
        <v>639800.29999999993</v>
      </c>
      <c r="AO199" s="43"/>
      <c r="AP199" s="42">
        <f t="shared" si="62"/>
        <v>67347.400000000023</v>
      </c>
      <c r="AQ199" s="43">
        <v>6</v>
      </c>
      <c r="AR199" s="44">
        <f t="shared" si="63"/>
        <v>0.90476190476190477</v>
      </c>
      <c r="AS199" s="45">
        <f t="shared" si="64"/>
        <v>1924.2114285714285</v>
      </c>
      <c r="AU199" s="1">
        <v>606126.6</v>
      </c>
      <c r="AV199" s="50">
        <v>33673.699999999997</v>
      </c>
    </row>
    <row r="200" spans="1:48" s="1" customFormat="1" ht="37.200000000000003" thickTop="1" thickBot="1" x14ac:dyDescent="0.55000000000000004">
      <c r="A200" s="33">
        <v>193</v>
      </c>
      <c r="B200" s="34" t="s">
        <v>247</v>
      </c>
      <c r="C200" s="34" t="s">
        <v>965</v>
      </c>
      <c r="D200" s="35" t="s">
        <v>702</v>
      </c>
      <c r="E200" s="35" t="s">
        <v>966</v>
      </c>
      <c r="F200" s="36" t="s">
        <v>1157</v>
      </c>
      <c r="G200" s="36" t="s">
        <v>1420</v>
      </c>
      <c r="H200" s="36" t="s">
        <v>1421</v>
      </c>
      <c r="I200" s="36" t="s">
        <v>1421</v>
      </c>
      <c r="J200" s="36" t="s">
        <v>1421</v>
      </c>
      <c r="K200" s="36">
        <v>375</v>
      </c>
      <c r="L200" s="36" t="s">
        <v>1422</v>
      </c>
      <c r="M200" s="49">
        <v>4</v>
      </c>
      <c r="N200" s="37" t="s">
        <v>1615</v>
      </c>
      <c r="O200" s="37"/>
      <c r="P200" s="36">
        <v>1</v>
      </c>
      <c r="Q200" s="36" t="s">
        <v>1962</v>
      </c>
      <c r="R200" s="36" t="s">
        <v>2099</v>
      </c>
      <c r="S200" s="36" t="s">
        <v>1880</v>
      </c>
      <c r="T200" s="36" t="s">
        <v>1881</v>
      </c>
      <c r="U200" s="38">
        <v>45595</v>
      </c>
      <c r="V200" s="39">
        <v>676974</v>
      </c>
      <c r="W200" s="39" t="s">
        <v>2363</v>
      </c>
      <c r="X200" s="39" t="s">
        <v>2363</v>
      </c>
      <c r="Y200" s="40">
        <f t="shared" si="47"/>
        <v>33848.699999999997</v>
      </c>
      <c r="Z200" s="40">
        <f t="shared" si="48"/>
        <v>710822.7</v>
      </c>
      <c r="AA200" s="41" t="str">
        <f t="shared" si="49"/>
        <v>0.0018</v>
      </c>
      <c r="AB200" s="41">
        <f t="shared" si="50"/>
        <v>0</v>
      </c>
      <c r="AC200" s="41">
        <f t="shared" si="51"/>
        <v>0</v>
      </c>
      <c r="AD200" s="41">
        <f t="shared" si="52"/>
        <v>0</v>
      </c>
      <c r="AE200" s="41">
        <f t="shared" si="53"/>
        <v>0</v>
      </c>
      <c r="AF200" s="41">
        <f t="shared" si="54"/>
        <v>0</v>
      </c>
      <c r="AG200" s="41">
        <f t="shared" si="55"/>
        <v>0</v>
      </c>
      <c r="AH200" s="41">
        <f t="shared" si="56"/>
        <v>0</v>
      </c>
      <c r="AI200" s="41">
        <f t="shared" si="57"/>
        <v>62</v>
      </c>
      <c r="AJ200" s="41">
        <f t="shared" si="58"/>
        <v>365</v>
      </c>
      <c r="AK200" s="41">
        <f t="shared" si="59"/>
        <v>181</v>
      </c>
      <c r="AL200" s="42">
        <f t="shared" si="60"/>
        <v>3.3385019178082191</v>
      </c>
      <c r="AM200" s="42">
        <f t="shared" si="61"/>
        <v>604.26884712328763</v>
      </c>
      <c r="AN200" s="43">
        <f t="shared" ref="AN200:AN263" si="65">AV200+AU200</f>
        <v>643125.29999999993</v>
      </c>
      <c r="AO200" s="43"/>
      <c r="AP200" s="42">
        <f t="shared" si="62"/>
        <v>67697.400000000023</v>
      </c>
      <c r="AQ200" s="43">
        <v>6</v>
      </c>
      <c r="AR200" s="44">
        <f t="shared" si="63"/>
        <v>0.90476190476190477</v>
      </c>
      <c r="AS200" s="45">
        <f t="shared" si="64"/>
        <v>1805.2639999999999</v>
      </c>
      <c r="AU200" s="1">
        <v>609276.6</v>
      </c>
      <c r="AV200" s="50">
        <v>33848.699999999997</v>
      </c>
    </row>
    <row r="201" spans="1:48" s="1" customFormat="1" ht="37.200000000000003" thickTop="1" thickBot="1" x14ac:dyDescent="0.55000000000000004">
      <c r="A201" s="33">
        <v>194</v>
      </c>
      <c r="B201" s="34" t="s">
        <v>248</v>
      </c>
      <c r="C201" s="34" t="s">
        <v>965</v>
      </c>
      <c r="D201" s="35" t="s">
        <v>703</v>
      </c>
      <c r="E201" s="35" t="s">
        <v>966</v>
      </c>
      <c r="F201" s="36" t="s">
        <v>1158</v>
      </c>
      <c r="G201" s="36" t="s">
        <v>1420</v>
      </c>
      <c r="H201" s="36" t="s">
        <v>1421</v>
      </c>
      <c r="I201" s="36" t="s">
        <v>1421</v>
      </c>
      <c r="J201" s="36" t="s">
        <v>1421</v>
      </c>
      <c r="K201" s="36">
        <v>443.9</v>
      </c>
      <c r="L201" s="36" t="s">
        <v>1422</v>
      </c>
      <c r="M201" s="49">
        <v>4</v>
      </c>
      <c r="N201" s="37" t="s">
        <v>1616</v>
      </c>
      <c r="O201" s="37"/>
      <c r="P201" s="36">
        <v>1</v>
      </c>
      <c r="Q201" s="36" t="s">
        <v>1933</v>
      </c>
      <c r="R201" s="36" t="s">
        <v>2100</v>
      </c>
      <c r="S201" s="36" t="s">
        <v>1880</v>
      </c>
      <c r="T201" s="36" t="s">
        <v>2094</v>
      </c>
      <c r="U201" s="38">
        <v>45595</v>
      </c>
      <c r="V201" s="39">
        <v>815361</v>
      </c>
      <c r="W201" s="39" t="s">
        <v>2363</v>
      </c>
      <c r="X201" s="39" t="s">
        <v>2363</v>
      </c>
      <c r="Y201" s="40">
        <f t="shared" si="47"/>
        <v>40768.050000000003</v>
      </c>
      <c r="Z201" s="40">
        <f t="shared" si="48"/>
        <v>856129.05</v>
      </c>
      <c r="AA201" s="41" t="str">
        <f t="shared" si="49"/>
        <v>0.0022</v>
      </c>
      <c r="AB201" s="41">
        <f t="shared" si="50"/>
        <v>0</v>
      </c>
      <c r="AC201" s="41">
        <f t="shared" si="51"/>
        <v>0</v>
      </c>
      <c r="AD201" s="41">
        <f t="shared" si="52"/>
        <v>0</v>
      </c>
      <c r="AE201" s="41">
        <f t="shared" si="53"/>
        <v>0</v>
      </c>
      <c r="AF201" s="41">
        <f t="shared" si="54"/>
        <v>0</v>
      </c>
      <c r="AG201" s="41">
        <f t="shared" si="55"/>
        <v>0</v>
      </c>
      <c r="AH201" s="41">
        <f t="shared" si="56"/>
        <v>0</v>
      </c>
      <c r="AI201" s="41">
        <f t="shared" si="57"/>
        <v>62</v>
      </c>
      <c r="AJ201" s="41">
        <f t="shared" si="58"/>
        <v>365</v>
      </c>
      <c r="AK201" s="41">
        <f t="shared" si="59"/>
        <v>181</v>
      </c>
      <c r="AL201" s="42">
        <f t="shared" si="60"/>
        <v>4.9145046575342466</v>
      </c>
      <c r="AM201" s="42">
        <f t="shared" si="61"/>
        <v>889.5253430136986</v>
      </c>
      <c r="AN201" s="43">
        <f t="shared" si="65"/>
        <v>489216.60000000003</v>
      </c>
      <c r="AO201" s="43"/>
      <c r="AP201" s="42">
        <f t="shared" si="62"/>
        <v>366912.45</v>
      </c>
      <c r="AQ201" s="43">
        <v>3</v>
      </c>
      <c r="AR201" s="44">
        <f t="shared" si="63"/>
        <v>0.5714285714285714</v>
      </c>
      <c r="AS201" s="45">
        <f t="shared" si="64"/>
        <v>1836.8123451227755</v>
      </c>
      <c r="AU201" s="1">
        <v>489216.60000000003</v>
      </c>
      <c r="AV201" s="50">
        <v>0</v>
      </c>
    </row>
    <row r="202" spans="1:48" s="1" customFormat="1" ht="37.200000000000003" thickTop="1" thickBot="1" x14ac:dyDescent="0.55000000000000004">
      <c r="A202" s="33">
        <v>195</v>
      </c>
      <c r="B202" s="34" t="s">
        <v>249</v>
      </c>
      <c r="C202" s="34" t="s">
        <v>965</v>
      </c>
      <c r="D202" s="35" t="s">
        <v>704</v>
      </c>
      <c r="E202" s="35" t="s">
        <v>966</v>
      </c>
      <c r="F202" s="36" t="s">
        <v>1159</v>
      </c>
      <c r="G202" s="36" t="s">
        <v>1420</v>
      </c>
      <c r="H202" s="36" t="s">
        <v>1421</v>
      </c>
      <c r="I202" s="36" t="s">
        <v>1421</v>
      </c>
      <c r="J202" s="36" t="s">
        <v>1421</v>
      </c>
      <c r="K202" s="36">
        <v>358.7</v>
      </c>
      <c r="L202" s="36" t="s">
        <v>1422</v>
      </c>
      <c r="M202" s="49">
        <v>4</v>
      </c>
      <c r="N202" s="37" t="s">
        <v>1617</v>
      </c>
      <c r="O202" s="37"/>
      <c r="P202" s="36">
        <v>2</v>
      </c>
      <c r="Q202" s="36" t="s">
        <v>1943</v>
      </c>
      <c r="R202" s="36" t="s">
        <v>2101</v>
      </c>
      <c r="S202" s="36" t="s">
        <v>1880</v>
      </c>
      <c r="T202" s="36" t="s">
        <v>1881</v>
      </c>
      <c r="U202" s="38">
        <v>45595</v>
      </c>
      <c r="V202" s="39">
        <v>677822</v>
      </c>
      <c r="W202" s="39" t="s">
        <v>2363</v>
      </c>
      <c r="X202" s="39" t="s">
        <v>2363</v>
      </c>
      <c r="Y202" s="40">
        <f t="shared" si="47"/>
        <v>33891.1</v>
      </c>
      <c r="Z202" s="40">
        <f t="shared" si="48"/>
        <v>711713.1</v>
      </c>
      <c r="AA202" s="41" t="str">
        <f t="shared" si="49"/>
        <v>0.0018</v>
      </c>
      <c r="AB202" s="41">
        <f t="shared" si="50"/>
        <v>0</v>
      </c>
      <c r="AC202" s="41">
        <f t="shared" si="51"/>
        <v>0</v>
      </c>
      <c r="AD202" s="41">
        <f t="shared" si="52"/>
        <v>0</v>
      </c>
      <c r="AE202" s="41">
        <f t="shared" si="53"/>
        <v>0</v>
      </c>
      <c r="AF202" s="41">
        <f t="shared" si="54"/>
        <v>0</v>
      </c>
      <c r="AG202" s="41">
        <f t="shared" si="55"/>
        <v>0</v>
      </c>
      <c r="AH202" s="41">
        <f t="shared" si="56"/>
        <v>0</v>
      </c>
      <c r="AI202" s="41">
        <f t="shared" si="57"/>
        <v>62</v>
      </c>
      <c r="AJ202" s="41">
        <f t="shared" si="58"/>
        <v>365</v>
      </c>
      <c r="AK202" s="41">
        <f t="shared" si="59"/>
        <v>181</v>
      </c>
      <c r="AL202" s="42">
        <f t="shared" si="60"/>
        <v>3.3426838356164383</v>
      </c>
      <c r="AM202" s="42">
        <f t="shared" si="61"/>
        <v>605.02577424657534</v>
      </c>
      <c r="AN202" s="43">
        <f t="shared" si="65"/>
        <v>643930.9</v>
      </c>
      <c r="AO202" s="43"/>
      <c r="AP202" s="42">
        <f t="shared" si="62"/>
        <v>67782.199999999953</v>
      </c>
      <c r="AQ202" s="43">
        <v>6</v>
      </c>
      <c r="AR202" s="44">
        <f t="shared" si="63"/>
        <v>0.90476190476190488</v>
      </c>
      <c r="AS202" s="45">
        <f t="shared" si="64"/>
        <v>1889.662670755506</v>
      </c>
      <c r="AU202" s="1">
        <v>610039.80000000005</v>
      </c>
      <c r="AV202" s="50">
        <v>33891.1</v>
      </c>
    </row>
    <row r="203" spans="1:48" s="1" customFormat="1" ht="37.200000000000003" thickTop="1" thickBot="1" x14ac:dyDescent="0.55000000000000004">
      <c r="A203" s="33">
        <v>196</v>
      </c>
      <c r="B203" s="34" t="s">
        <v>250</v>
      </c>
      <c r="C203" s="34" t="s">
        <v>965</v>
      </c>
      <c r="D203" s="35" t="s">
        <v>705</v>
      </c>
      <c r="E203" s="35" t="s">
        <v>966</v>
      </c>
      <c r="F203" s="36" t="s">
        <v>1160</v>
      </c>
      <c r="G203" s="36" t="s">
        <v>1420</v>
      </c>
      <c r="H203" s="36" t="s">
        <v>1421</v>
      </c>
      <c r="I203" s="36" t="s">
        <v>1421</v>
      </c>
      <c r="J203" s="36" t="s">
        <v>1421</v>
      </c>
      <c r="K203" s="36">
        <v>350</v>
      </c>
      <c r="L203" s="36" t="s">
        <v>1422</v>
      </c>
      <c r="M203" s="49">
        <v>4</v>
      </c>
      <c r="N203" s="37" t="s">
        <v>1618</v>
      </c>
      <c r="O203" s="37"/>
      <c r="P203" s="36">
        <v>1</v>
      </c>
      <c r="Q203" s="36" t="s">
        <v>1898</v>
      </c>
      <c r="R203" s="36" t="s">
        <v>2102</v>
      </c>
      <c r="S203" s="36" t="s">
        <v>1880</v>
      </c>
      <c r="T203" s="36" t="s">
        <v>1881</v>
      </c>
      <c r="U203" s="38">
        <v>45595</v>
      </c>
      <c r="V203" s="39">
        <v>535000</v>
      </c>
      <c r="W203" s="39" t="s">
        <v>2363</v>
      </c>
      <c r="X203" s="39" t="s">
        <v>2363</v>
      </c>
      <c r="Y203" s="40">
        <f t="shared" si="47"/>
        <v>26750</v>
      </c>
      <c r="Z203" s="40">
        <f t="shared" si="48"/>
        <v>561750</v>
      </c>
      <c r="AA203" s="41" t="str">
        <f t="shared" si="49"/>
        <v>0.0018</v>
      </c>
      <c r="AB203" s="41">
        <f t="shared" si="50"/>
        <v>0</v>
      </c>
      <c r="AC203" s="41">
        <f t="shared" si="51"/>
        <v>0</v>
      </c>
      <c r="AD203" s="41">
        <f t="shared" si="52"/>
        <v>0</v>
      </c>
      <c r="AE203" s="41">
        <f t="shared" si="53"/>
        <v>0</v>
      </c>
      <c r="AF203" s="41">
        <f t="shared" si="54"/>
        <v>0</v>
      </c>
      <c r="AG203" s="41">
        <f t="shared" si="55"/>
        <v>0</v>
      </c>
      <c r="AH203" s="41">
        <f t="shared" si="56"/>
        <v>0</v>
      </c>
      <c r="AI203" s="41">
        <f t="shared" si="57"/>
        <v>62</v>
      </c>
      <c r="AJ203" s="41">
        <f t="shared" si="58"/>
        <v>365</v>
      </c>
      <c r="AK203" s="41">
        <f t="shared" si="59"/>
        <v>181</v>
      </c>
      <c r="AL203" s="42">
        <f t="shared" si="60"/>
        <v>2.6383561643835618</v>
      </c>
      <c r="AM203" s="42">
        <f t="shared" si="61"/>
        <v>477.54246575342466</v>
      </c>
      <c r="AN203" s="43">
        <f t="shared" si="65"/>
        <v>508250</v>
      </c>
      <c r="AO203" s="43"/>
      <c r="AP203" s="42">
        <f t="shared" si="62"/>
        <v>53500</v>
      </c>
      <c r="AQ203" s="43">
        <v>6</v>
      </c>
      <c r="AR203" s="44">
        <f t="shared" si="63"/>
        <v>0.90476190476190477</v>
      </c>
      <c r="AS203" s="45">
        <f t="shared" si="64"/>
        <v>1528.5714285714287</v>
      </c>
      <c r="AU203" s="1">
        <v>481500</v>
      </c>
      <c r="AV203" s="50">
        <v>26750</v>
      </c>
    </row>
    <row r="204" spans="1:48" s="1" customFormat="1" ht="37.200000000000003" thickTop="1" thickBot="1" x14ac:dyDescent="0.55000000000000004">
      <c r="A204" s="33">
        <v>197</v>
      </c>
      <c r="B204" s="34" t="s">
        <v>251</v>
      </c>
      <c r="C204" s="34" t="s">
        <v>965</v>
      </c>
      <c r="D204" s="35" t="s">
        <v>706</v>
      </c>
      <c r="E204" s="35" t="s">
        <v>966</v>
      </c>
      <c r="F204" s="36" t="s">
        <v>1161</v>
      </c>
      <c r="G204" s="36" t="s">
        <v>1420</v>
      </c>
      <c r="H204" s="36" t="s">
        <v>1421</v>
      </c>
      <c r="I204" s="36" t="s">
        <v>1421</v>
      </c>
      <c r="J204" s="36" t="s">
        <v>1421</v>
      </c>
      <c r="K204" s="36">
        <v>350</v>
      </c>
      <c r="L204" s="36" t="s">
        <v>1422</v>
      </c>
      <c r="M204" s="49">
        <v>4</v>
      </c>
      <c r="N204" s="37" t="s">
        <v>1619</v>
      </c>
      <c r="O204" s="37"/>
      <c r="P204" s="36">
        <v>1</v>
      </c>
      <c r="Q204" s="36" t="s">
        <v>2039</v>
      </c>
      <c r="R204" s="36" t="s">
        <v>2103</v>
      </c>
      <c r="S204" s="36" t="s">
        <v>1880</v>
      </c>
      <c r="T204" s="36" t="s">
        <v>1883</v>
      </c>
      <c r="U204" s="38">
        <v>45595</v>
      </c>
      <c r="V204" s="39">
        <v>673474</v>
      </c>
      <c r="W204" s="39" t="s">
        <v>2363</v>
      </c>
      <c r="X204" s="39" t="s">
        <v>2363</v>
      </c>
      <c r="Y204" s="40">
        <f t="shared" si="47"/>
        <v>33673.699999999997</v>
      </c>
      <c r="Z204" s="40">
        <f t="shared" si="48"/>
        <v>707147.7</v>
      </c>
      <c r="AA204" s="41" t="str">
        <f t="shared" si="49"/>
        <v>0.0018</v>
      </c>
      <c r="AB204" s="41">
        <f t="shared" si="50"/>
        <v>0</v>
      </c>
      <c r="AC204" s="41">
        <f t="shared" si="51"/>
        <v>0</v>
      </c>
      <c r="AD204" s="41">
        <f t="shared" si="52"/>
        <v>0</v>
      </c>
      <c r="AE204" s="41">
        <f t="shared" si="53"/>
        <v>0</v>
      </c>
      <c r="AF204" s="41">
        <f t="shared" si="54"/>
        <v>0</v>
      </c>
      <c r="AG204" s="41">
        <f t="shared" si="55"/>
        <v>0</v>
      </c>
      <c r="AH204" s="41">
        <f t="shared" si="56"/>
        <v>0</v>
      </c>
      <c r="AI204" s="41">
        <f t="shared" si="57"/>
        <v>62</v>
      </c>
      <c r="AJ204" s="41">
        <f t="shared" si="58"/>
        <v>365</v>
      </c>
      <c r="AK204" s="41">
        <f t="shared" si="59"/>
        <v>181</v>
      </c>
      <c r="AL204" s="42">
        <f t="shared" si="60"/>
        <v>3.321241643835616</v>
      </c>
      <c r="AM204" s="42">
        <f t="shared" si="61"/>
        <v>601.14473753424647</v>
      </c>
      <c r="AN204" s="43">
        <f t="shared" si="65"/>
        <v>639800.29999999993</v>
      </c>
      <c r="AO204" s="43"/>
      <c r="AP204" s="42">
        <f t="shared" si="62"/>
        <v>67347.400000000023</v>
      </c>
      <c r="AQ204" s="43">
        <v>6</v>
      </c>
      <c r="AR204" s="44">
        <f t="shared" si="63"/>
        <v>0.90476190476190477</v>
      </c>
      <c r="AS204" s="45">
        <f t="shared" si="64"/>
        <v>1924.2114285714285</v>
      </c>
      <c r="AU204" s="1">
        <v>606126.6</v>
      </c>
      <c r="AV204" s="50">
        <v>33673.699999999997</v>
      </c>
    </row>
    <row r="205" spans="1:48" s="1" customFormat="1" ht="37.200000000000003" thickTop="1" thickBot="1" x14ac:dyDescent="0.55000000000000004">
      <c r="A205" s="33">
        <v>198</v>
      </c>
      <c r="B205" s="34" t="s">
        <v>252</v>
      </c>
      <c r="C205" s="34" t="s">
        <v>965</v>
      </c>
      <c r="D205" s="35" t="s">
        <v>707</v>
      </c>
      <c r="E205" s="35" t="s">
        <v>966</v>
      </c>
      <c r="F205" s="36" t="s">
        <v>1162</v>
      </c>
      <c r="G205" s="36" t="s">
        <v>1420</v>
      </c>
      <c r="H205" s="36" t="s">
        <v>1421</v>
      </c>
      <c r="I205" s="36" t="s">
        <v>1421</v>
      </c>
      <c r="J205" s="36" t="s">
        <v>1421</v>
      </c>
      <c r="K205" s="36">
        <v>375</v>
      </c>
      <c r="L205" s="36" t="s">
        <v>1422</v>
      </c>
      <c r="M205" s="49">
        <v>4</v>
      </c>
      <c r="N205" s="37" t="s">
        <v>1620</v>
      </c>
      <c r="O205" s="37"/>
      <c r="P205" s="36">
        <v>1</v>
      </c>
      <c r="Q205" s="36" t="s">
        <v>1931</v>
      </c>
      <c r="R205" s="36" t="s">
        <v>2104</v>
      </c>
      <c r="S205" s="36" t="s">
        <v>1880</v>
      </c>
      <c r="T205" s="36" t="s">
        <v>1881</v>
      </c>
      <c r="U205" s="38">
        <v>45595</v>
      </c>
      <c r="V205" s="39">
        <v>685974</v>
      </c>
      <c r="W205" s="39" t="s">
        <v>2363</v>
      </c>
      <c r="X205" s="39" t="s">
        <v>2363</v>
      </c>
      <c r="Y205" s="40">
        <f t="shared" ref="Y205:Y268" si="66">V205*5/100</f>
        <v>34298.699999999997</v>
      </c>
      <c r="Z205" s="40">
        <f t="shared" ref="Z205:Z268" si="67">V205+Y205</f>
        <v>720272.7</v>
      </c>
      <c r="AA205" s="41" t="str">
        <f t="shared" ref="AA205:AA268" si="68">IF(V205&lt;=500000,"0.0012",IF(AND(V205&gt;500000,V205&lt;=699999),"0.0018",IF(AND(V205&gt;=700000,V205&lt;=999999),"0.0022",IF(AND(V205&gt;=1000000,V205&lt;1500000),"0.0026","0.003"))))</f>
        <v>0.0018</v>
      </c>
      <c r="AB205" s="41">
        <f t="shared" ref="AB205:AB268" si="69">+IF($AB$7&gt;U205,$AB$7-U205,0)</f>
        <v>0</v>
      </c>
      <c r="AC205" s="41">
        <f t="shared" ref="AC205:AC268" si="70">+IF($AC$7&gt;U205,$AC$7-U205-AB205,0)</f>
        <v>0</v>
      </c>
      <c r="AD205" s="41">
        <f t="shared" ref="AD205:AD268" si="71">+IF($AD$7&gt;U205,$AD$7-U205-AB205-AC205,0)</f>
        <v>0</v>
      </c>
      <c r="AE205" s="41">
        <f t="shared" ref="AE205:AE268" si="72">+IF($AE$7&gt;U205,$AE$7-U205-AB205-AD205-AC205,0)</f>
        <v>0</v>
      </c>
      <c r="AF205" s="41">
        <f t="shared" ref="AF205:AF268" si="73">+IF($AF$7&gt;U205,$AF$7-U205-AB205-AC205-AD205-AE205,0)</f>
        <v>0</v>
      </c>
      <c r="AG205" s="41">
        <f t="shared" ref="AG205:AG268" si="74">+IF($AG$7&gt;U205,$AG$7-U205-AB205-AC205-AD205-AE205-AF205,0)</f>
        <v>0</v>
      </c>
      <c r="AH205" s="41">
        <f t="shared" ref="AH205:AH268" si="75">+IF($AH$7&gt;U205,$AH$7-U205-AB205-AC205-AD205-AE205-AF205-AG205,0)</f>
        <v>0</v>
      </c>
      <c r="AI205" s="41">
        <f t="shared" ref="AI205:AI268" si="76">+IF($AI$7&gt;U205,$AI$7-U205-AB205-AC205-AD205-AE205-AF205-AG205-AH205,0)</f>
        <v>62</v>
      </c>
      <c r="AJ205" s="41">
        <f t="shared" ref="AJ205:AJ268" si="77">+IF($AJ$7&gt;U205,$AJ$7-U205-AB205-AC205-AD205-AE205-AF205-AG205-AH205-AI205,0)</f>
        <v>365</v>
      </c>
      <c r="AK205" s="41">
        <f t="shared" ref="AK205:AK268" si="78">+IF($AK$7&gt;U205,$AK$7-U205-AB205-AC205-AD205-AE205-AF205-AG205-AH205-AI205-AJ205,0)</f>
        <v>181</v>
      </c>
      <c r="AL205" s="42">
        <f t="shared" ref="AL205:AL268" si="79">IF(AK205&gt;0,+V205*AA205/365,0)</f>
        <v>3.3828854794520544</v>
      </c>
      <c r="AM205" s="42">
        <f t="shared" ref="AM205:AM268" si="80">+AL205*AK205</f>
        <v>612.3022717808218</v>
      </c>
      <c r="AN205" s="43">
        <f t="shared" si="65"/>
        <v>651675.29999999993</v>
      </c>
      <c r="AO205" s="43"/>
      <c r="AP205" s="42">
        <f t="shared" ref="AP205:AP268" si="81">Z205-AN205</f>
        <v>68597.400000000023</v>
      </c>
      <c r="AQ205" s="43">
        <v>5</v>
      </c>
      <c r="AR205" s="44">
        <f t="shared" ref="AR205:AR268" si="82">AN205/Z205</f>
        <v>0.90476190476190477</v>
      </c>
      <c r="AS205" s="45">
        <f t="shared" ref="AS205:AS268" si="83">V205/K205</f>
        <v>1829.2639999999999</v>
      </c>
      <c r="AU205" s="1">
        <v>651675.29999999993</v>
      </c>
      <c r="AV205" s="50">
        <v>0</v>
      </c>
    </row>
    <row r="206" spans="1:48" s="1" customFormat="1" ht="37.200000000000003" thickTop="1" thickBot="1" x14ac:dyDescent="0.55000000000000004">
      <c r="A206" s="33">
        <v>199</v>
      </c>
      <c r="B206" s="34" t="s">
        <v>253</v>
      </c>
      <c r="C206" s="34" t="s">
        <v>965</v>
      </c>
      <c r="D206" s="35" t="s">
        <v>708</v>
      </c>
      <c r="E206" s="35" t="s">
        <v>966</v>
      </c>
      <c r="F206" s="36" t="s">
        <v>1163</v>
      </c>
      <c r="G206" s="36" t="s">
        <v>1420</v>
      </c>
      <c r="H206" s="36" t="s">
        <v>1421</v>
      </c>
      <c r="I206" s="36" t="s">
        <v>1421</v>
      </c>
      <c r="J206" s="36" t="s">
        <v>1421</v>
      </c>
      <c r="K206" s="36">
        <v>350</v>
      </c>
      <c r="L206" s="36" t="s">
        <v>1422</v>
      </c>
      <c r="M206" s="49">
        <v>4</v>
      </c>
      <c r="N206" s="37" t="s">
        <v>1621</v>
      </c>
      <c r="O206" s="37"/>
      <c r="P206" s="36">
        <v>1</v>
      </c>
      <c r="Q206" s="36" t="s">
        <v>1941</v>
      </c>
      <c r="R206" s="36" t="s">
        <v>2105</v>
      </c>
      <c r="S206" s="36" t="s">
        <v>1880</v>
      </c>
      <c r="T206" s="36" t="s">
        <v>1901</v>
      </c>
      <c r="U206" s="38">
        <v>45595</v>
      </c>
      <c r="V206" s="39">
        <v>670476</v>
      </c>
      <c r="W206" s="39" t="s">
        <v>2363</v>
      </c>
      <c r="X206" s="39" t="s">
        <v>2363</v>
      </c>
      <c r="Y206" s="40">
        <f t="shared" si="66"/>
        <v>33523.800000000003</v>
      </c>
      <c r="Z206" s="40">
        <f t="shared" si="67"/>
        <v>703999.8</v>
      </c>
      <c r="AA206" s="41" t="str">
        <f t="shared" si="68"/>
        <v>0.0018</v>
      </c>
      <c r="AB206" s="41">
        <f t="shared" si="69"/>
        <v>0</v>
      </c>
      <c r="AC206" s="41">
        <f t="shared" si="70"/>
        <v>0</v>
      </c>
      <c r="AD206" s="41">
        <f t="shared" si="71"/>
        <v>0</v>
      </c>
      <c r="AE206" s="41">
        <f t="shared" si="72"/>
        <v>0</v>
      </c>
      <c r="AF206" s="41">
        <f t="shared" si="73"/>
        <v>0</v>
      </c>
      <c r="AG206" s="41">
        <f t="shared" si="74"/>
        <v>0</v>
      </c>
      <c r="AH206" s="41">
        <f t="shared" si="75"/>
        <v>0</v>
      </c>
      <c r="AI206" s="41">
        <f t="shared" si="76"/>
        <v>62</v>
      </c>
      <c r="AJ206" s="41">
        <f t="shared" si="77"/>
        <v>365</v>
      </c>
      <c r="AK206" s="41">
        <f t="shared" si="78"/>
        <v>181</v>
      </c>
      <c r="AL206" s="42">
        <f t="shared" si="79"/>
        <v>3.3064569863013697</v>
      </c>
      <c r="AM206" s="42">
        <f t="shared" si="80"/>
        <v>598.46871452054791</v>
      </c>
      <c r="AN206" s="43">
        <f t="shared" si="65"/>
        <v>603428.4</v>
      </c>
      <c r="AO206" s="43"/>
      <c r="AP206" s="42">
        <f t="shared" si="81"/>
        <v>100571.40000000002</v>
      </c>
      <c r="AQ206" s="43">
        <v>5</v>
      </c>
      <c r="AR206" s="44">
        <f t="shared" si="82"/>
        <v>0.8571428571428571</v>
      </c>
      <c r="AS206" s="45">
        <f t="shared" si="83"/>
        <v>1915.6457142857143</v>
      </c>
      <c r="AU206" s="1">
        <v>502857.00000000006</v>
      </c>
      <c r="AV206" s="50">
        <v>100571.4</v>
      </c>
    </row>
    <row r="207" spans="1:48" s="1" customFormat="1" ht="37.200000000000003" thickTop="1" thickBot="1" x14ac:dyDescent="0.55000000000000004">
      <c r="A207" s="33">
        <v>200</v>
      </c>
      <c r="B207" s="34" t="s">
        <v>254</v>
      </c>
      <c r="C207" s="34" t="s">
        <v>965</v>
      </c>
      <c r="D207" s="35" t="s">
        <v>709</v>
      </c>
      <c r="E207" s="35" t="s">
        <v>966</v>
      </c>
      <c r="F207" s="36" t="s">
        <v>1164</v>
      </c>
      <c r="G207" s="36" t="s">
        <v>1420</v>
      </c>
      <c r="H207" s="36" t="s">
        <v>1421</v>
      </c>
      <c r="I207" s="36" t="s">
        <v>1421</v>
      </c>
      <c r="J207" s="36" t="s">
        <v>1421</v>
      </c>
      <c r="K207" s="36">
        <v>362.5</v>
      </c>
      <c r="L207" s="36" t="s">
        <v>1422</v>
      </c>
      <c r="M207" s="49">
        <v>4</v>
      </c>
      <c r="N207" s="37" t="s">
        <v>1622</v>
      </c>
      <c r="O207" s="37"/>
      <c r="P207" s="36">
        <v>1</v>
      </c>
      <c r="Q207" s="36" t="s">
        <v>1964</v>
      </c>
      <c r="R207" s="36" t="s">
        <v>2106</v>
      </c>
      <c r="S207" s="36" t="s">
        <v>1880</v>
      </c>
      <c r="T207" s="36" t="s">
        <v>1881</v>
      </c>
      <c r="U207" s="38">
        <v>45596</v>
      </c>
      <c r="V207" s="39">
        <v>535000</v>
      </c>
      <c r="W207" s="39" t="s">
        <v>2363</v>
      </c>
      <c r="X207" s="39" t="s">
        <v>2363</v>
      </c>
      <c r="Y207" s="40">
        <f t="shared" si="66"/>
        <v>26750</v>
      </c>
      <c r="Z207" s="40">
        <f t="shared" si="67"/>
        <v>561750</v>
      </c>
      <c r="AA207" s="41" t="str">
        <f t="shared" si="68"/>
        <v>0.0018</v>
      </c>
      <c r="AB207" s="41">
        <f t="shared" si="69"/>
        <v>0</v>
      </c>
      <c r="AC207" s="41">
        <f t="shared" si="70"/>
        <v>0</v>
      </c>
      <c r="AD207" s="41">
        <f t="shared" si="71"/>
        <v>0</v>
      </c>
      <c r="AE207" s="41">
        <f t="shared" si="72"/>
        <v>0</v>
      </c>
      <c r="AF207" s="41">
        <f t="shared" si="73"/>
        <v>0</v>
      </c>
      <c r="AG207" s="41">
        <f t="shared" si="74"/>
        <v>0</v>
      </c>
      <c r="AH207" s="41">
        <f t="shared" si="75"/>
        <v>0</v>
      </c>
      <c r="AI207" s="41">
        <f t="shared" si="76"/>
        <v>61</v>
      </c>
      <c r="AJ207" s="41">
        <f t="shared" si="77"/>
        <v>365</v>
      </c>
      <c r="AK207" s="41">
        <f t="shared" si="78"/>
        <v>181</v>
      </c>
      <c r="AL207" s="42">
        <f t="shared" si="79"/>
        <v>2.6383561643835618</v>
      </c>
      <c r="AM207" s="42">
        <f t="shared" si="80"/>
        <v>477.54246575342466</v>
      </c>
      <c r="AN207" s="43">
        <f t="shared" si="65"/>
        <v>508250</v>
      </c>
      <c r="AO207" s="43"/>
      <c r="AP207" s="42">
        <f t="shared" si="81"/>
        <v>53500</v>
      </c>
      <c r="AQ207" s="43">
        <v>6</v>
      </c>
      <c r="AR207" s="44">
        <f t="shared" si="82"/>
        <v>0.90476190476190477</v>
      </c>
      <c r="AS207" s="45">
        <f t="shared" si="83"/>
        <v>1475.8620689655172</v>
      </c>
      <c r="AU207" s="1">
        <v>481500</v>
      </c>
      <c r="AV207" s="50">
        <v>26750</v>
      </c>
    </row>
    <row r="208" spans="1:48" s="1" customFormat="1" ht="37.200000000000003" thickTop="1" thickBot="1" x14ac:dyDescent="0.55000000000000004">
      <c r="A208" s="33">
        <v>201</v>
      </c>
      <c r="B208" s="34" t="s">
        <v>255</v>
      </c>
      <c r="C208" s="34" t="s">
        <v>965</v>
      </c>
      <c r="D208" s="35" t="s">
        <v>710</v>
      </c>
      <c r="E208" s="35" t="s">
        <v>966</v>
      </c>
      <c r="F208" s="36" t="s">
        <v>1165</v>
      </c>
      <c r="G208" s="36" t="s">
        <v>1420</v>
      </c>
      <c r="H208" s="36" t="s">
        <v>1421</v>
      </c>
      <c r="I208" s="36" t="s">
        <v>1421</v>
      </c>
      <c r="J208" s="36" t="s">
        <v>1421</v>
      </c>
      <c r="K208" s="36">
        <v>350</v>
      </c>
      <c r="L208" s="36" t="s">
        <v>1422</v>
      </c>
      <c r="M208" s="49">
        <v>4</v>
      </c>
      <c r="N208" s="37" t="s">
        <v>1623</v>
      </c>
      <c r="O208" s="37"/>
      <c r="P208" s="36">
        <v>1</v>
      </c>
      <c r="Q208" s="36" t="s">
        <v>1915</v>
      </c>
      <c r="R208" s="36" t="s">
        <v>2107</v>
      </c>
      <c r="S208" s="36" t="s">
        <v>1880</v>
      </c>
      <c r="T208" s="36" t="s">
        <v>2071</v>
      </c>
      <c r="U208" s="38">
        <v>45596</v>
      </c>
      <c r="V208" s="39">
        <v>673474</v>
      </c>
      <c r="W208" s="39" t="s">
        <v>2363</v>
      </c>
      <c r="X208" s="39" t="s">
        <v>2363</v>
      </c>
      <c r="Y208" s="40">
        <f t="shared" si="66"/>
        <v>33673.699999999997</v>
      </c>
      <c r="Z208" s="40">
        <f t="shared" si="67"/>
        <v>707147.7</v>
      </c>
      <c r="AA208" s="41" t="str">
        <f t="shared" si="68"/>
        <v>0.0018</v>
      </c>
      <c r="AB208" s="41">
        <f t="shared" si="69"/>
        <v>0</v>
      </c>
      <c r="AC208" s="41">
        <f t="shared" si="70"/>
        <v>0</v>
      </c>
      <c r="AD208" s="41">
        <f t="shared" si="71"/>
        <v>0</v>
      </c>
      <c r="AE208" s="41">
        <f t="shared" si="72"/>
        <v>0</v>
      </c>
      <c r="AF208" s="41">
        <f t="shared" si="73"/>
        <v>0</v>
      </c>
      <c r="AG208" s="41">
        <f t="shared" si="74"/>
        <v>0</v>
      </c>
      <c r="AH208" s="41">
        <f t="shared" si="75"/>
        <v>0</v>
      </c>
      <c r="AI208" s="41">
        <f t="shared" si="76"/>
        <v>61</v>
      </c>
      <c r="AJ208" s="41">
        <f t="shared" si="77"/>
        <v>365</v>
      </c>
      <c r="AK208" s="41">
        <f t="shared" si="78"/>
        <v>181</v>
      </c>
      <c r="AL208" s="42">
        <f t="shared" si="79"/>
        <v>3.321241643835616</v>
      </c>
      <c r="AM208" s="42">
        <f t="shared" si="80"/>
        <v>601.14473753424647</v>
      </c>
      <c r="AN208" s="43">
        <f t="shared" si="65"/>
        <v>639799.6</v>
      </c>
      <c r="AO208" s="43"/>
      <c r="AP208" s="42">
        <f t="shared" si="81"/>
        <v>67348.099999999977</v>
      </c>
      <c r="AQ208" s="43">
        <v>6</v>
      </c>
      <c r="AR208" s="44">
        <f t="shared" si="82"/>
        <v>0.90476091486969412</v>
      </c>
      <c r="AS208" s="45">
        <f t="shared" si="83"/>
        <v>1924.2114285714285</v>
      </c>
      <c r="AU208" s="1">
        <v>505105.49999999994</v>
      </c>
      <c r="AV208" s="50">
        <v>134694.1</v>
      </c>
    </row>
    <row r="209" spans="1:48" s="1" customFormat="1" ht="37.200000000000003" thickTop="1" thickBot="1" x14ac:dyDescent="0.55000000000000004">
      <c r="A209" s="33">
        <v>202</v>
      </c>
      <c r="B209" s="34" t="s">
        <v>256</v>
      </c>
      <c r="C209" s="34" t="s">
        <v>965</v>
      </c>
      <c r="D209" s="35" t="s">
        <v>711</v>
      </c>
      <c r="E209" s="35" t="s">
        <v>966</v>
      </c>
      <c r="F209" s="36" t="s">
        <v>1166</v>
      </c>
      <c r="G209" s="36" t="s">
        <v>1420</v>
      </c>
      <c r="H209" s="36" t="s">
        <v>1421</v>
      </c>
      <c r="I209" s="36" t="s">
        <v>1421</v>
      </c>
      <c r="J209" s="36" t="s">
        <v>1421</v>
      </c>
      <c r="K209" s="36">
        <v>350.04</v>
      </c>
      <c r="L209" s="36" t="s">
        <v>1422</v>
      </c>
      <c r="M209" s="49">
        <v>4</v>
      </c>
      <c r="N209" s="37" t="s">
        <v>1624</v>
      </c>
      <c r="O209" s="37"/>
      <c r="P209" s="36">
        <v>1</v>
      </c>
      <c r="Q209" s="36" t="s">
        <v>1972</v>
      </c>
      <c r="R209" s="36" t="s">
        <v>2108</v>
      </c>
      <c r="S209" s="36" t="s">
        <v>1880</v>
      </c>
      <c r="T209" s="36" t="s">
        <v>1881</v>
      </c>
      <c r="U209" s="38">
        <v>45596</v>
      </c>
      <c r="V209" s="39">
        <v>664492</v>
      </c>
      <c r="W209" s="39" t="s">
        <v>2363</v>
      </c>
      <c r="X209" s="39" t="s">
        <v>2363</v>
      </c>
      <c r="Y209" s="40">
        <f t="shared" si="66"/>
        <v>33224.6</v>
      </c>
      <c r="Z209" s="40">
        <f t="shared" si="67"/>
        <v>697716.6</v>
      </c>
      <c r="AA209" s="41" t="str">
        <f t="shared" si="68"/>
        <v>0.0018</v>
      </c>
      <c r="AB209" s="41">
        <f t="shared" si="69"/>
        <v>0</v>
      </c>
      <c r="AC209" s="41">
        <f t="shared" si="70"/>
        <v>0</v>
      </c>
      <c r="AD209" s="41">
        <f t="shared" si="71"/>
        <v>0</v>
      </c>
      <c r="AE209" s="41">
        <f t="shared" si="72"/>
        <v>0</v>
      </c>
      <c r="AF209" s="41">
        <f t="shared" si="73"/>
        <v>0</v>
      </c>
      <c r="AG209" s="41">
        <f t="shared" si="74"/>
        <v>0</v>
      </c>
      <c r="AH209" s="41">
        <f t="shared" si="75"/>
        <v>0</v>
      </c>
      <c r="AI209" s="41">
        <f t="shared" si="76"/>
        <v>61</v>
      </c>
      <c r="AJ209" s="41">
        <f t="shared" si="77"/>
        <v>365</v>
      </c>
      <c r="AK209" s="41">
        <f t="shared" si="78"/>
        <v>181</v>
      </c>
      <c r="AL209" s="42">
        <f t="shared" si="79"/>
        <v>3.2769468493150682</v>
      </c>
      <c r="AM209" s="42">
        <f t="shared" si="80"/>
        <v>593.12737972602736</v>
      </c>
      <c r="AN209" s="43">
        <f t="shared" si="65"/>
        <v>631267.4</v>
      </c>
      <c r="AO209" s="43"/>
      <c r="AP209" s="42">
        <f t="shared" si="81"/>
        <v>66449.199999999953</v>
      </c>
      <c r="AQ209" s="43">
        <v>6</v>
      </c>
      <c r="AR209" s="44">
        <f t="shared" si="82"/>
        <v>0.90476190476190488</v>
      </c>
      <c r="AS209" s="45">
        <f t="shared" si="83"/>
        <v>1898.331619243515</v>
      </c>
      <c r="AU209" s="1">
        <v>598042.80000000005</v>
      </c>
      <c r="AV209" s="50">
        <v>33224.6</v>
      </c>
    </row>
    <row r="210" spans="1:48" s="1" customFormat="1" ht="37.200000000000003" thickTop="1" thickBot="1" x14ac:dyDescent="0.55000000000000004">
      <c r="A210" s="33">
        <v>203</v>
      </c>
      <c r="B210" s="34" t="s">
        <v>257</v>
      </c>
      <c r="C210" s="34" t="s">
        <v>965</v>
      </c>
      <c r="D210" s="35" t="s">
        <v>712</v>
      </c>
      <c r="E210" s="35" t="s">
        <v>966</v>
      </c>
      <c r="F210" s="36" t="s">
        <v>1167</v>
      </c>
      <c r="G210" s="36" t="s">
        <v>1420</v>
      </c>
      <c r="H210" s="36" t="s">
        <v>1421</v>
      </c>
      <c r="I210" s="36" t="s">
        <v>1421</v>
      </c>
      <c r="J210" s="36" t="s">
        <v>1421</v>
      </c>
      <c r="K210" s="36">
        <v>350</v>
      </c>
      <c r="L210" s="36" t="s">
        <v>1422</v>
      </c>
      <c r="M210" s="49">
        <v>4</v>
      </c>
      <c r="N210" s="37" t="s">
        <v>1625</v>
      </c>
      <c r="O210" s="37"/>
      <c r="P210" s="36">
        <v>1</v>
      </c>
      <c r="Q210" s="36" t="s">
        <v>1898</v>
      </c>
      <c r="R210" s="36" t="s">
        <v>2109</v>
      </c>
      <c r="S210" s="36" t="s">
        <v>1880</v>
      </c>
      <c r="T210" s="36" t="s">
        <v>1901</v>
      </c>
      <c r="U210" s="38">
        <v>45596</v>
      </c>
      <c r="V210" s="39">
        <v>761412</v>
      </c>
      <c r="W210" s="39" t="s">
        <v>2363</v>
      </c>
      <c r="X210" s="39" t="s">
        <v>2363</v>
      </c>
      <c r="Y210" s="40">
        <f t="shared" si="66"/>
        <v>38070.6</v>
      </c>
      <c r="Z210" s="40">
        <f t="shared" si="67"/>
        <v>799482.6</v>
      </c>
      <c r="AA210" s="41" t="str">
        <f t="shared" si="68"/>
        <v>0.0022</v>
      </c>
      <c r="AB210" s="41">
        <f t="shared" si="69"/>
        <v>0</v>
      </c>
      <c r="AC210" s="41">
        <f t="shared" si="70"/>
        <v>0</v>
      </c>
      <c r="AD210" s="41">
        <f t="shared" si="71"/>
        <v>0</v>
      </c>
      <c r="AE210" s="41">
        <f t="shared" si="72"/>
        <v>0</v>
      </c>
      <c r="AF210" s="41">
        <f t="shared" si="73"/>
        <v>0</v>
      </c>
      <c r="AG210" s="41">
        <f t="shared" si="74"/>
        <v>0</v>
      </c>
      <c r="AH210" s="41">
        <f t="shared" si="75"/>
        <v>0</v>
      </c>
      <c r="AI210" s="41">
        <f t="shared" si="76"/>
        <v>61</v>
      </c>
      <c r="AJ210" s="41">
        <f t="shared" si="77"/>
        <v>365</v>
      </c>
      <c r="AK210" s="41">
        <f t="shared" si="78"/>
        <v>181</v>
      </c>
      <c r="AL210" s="42">
        <f t="shared" si="79"/>
        <v>4.5893326027397263</v>
      </c>
      <c r="AM210" s="42">
        <f t="shared" si="80"/>
        <v>830.66920109589046</v>
      </c>
      <c r="AN210" s="43">
        <f t="shared" si="65"/>
        <v>723341.4</v>
      </c>
      <c r="AO210" s="43"/>
      <c r="AP210" s="42">
        <f t="shared" si="81"/>
        <v>76141.199999999953</v>
      </c>
      <c r="AQ210" s="43">
        <v>6</v>
      </c>
      <c r="AR210" s="44">
        <f t="shared" si="82"/>
        <v>0.90476190476190477</v>
      </c>
      <c r="AS210" s="45">
        <f t="shared" si="83"/>
        <v>2175.462857142857</v>
      </c>
      <c r="AU210" s="1">
        <v>685270.8</v>
      </c>
      <c r="AV210" s="50">
        <v>38070.6</v>
      </c>
    </row>
    <row r="211" spans="1:48" s="1" customFormat="1" ht="37.200000000000003" thickTop="1" thickBot="1" x14ac:dyDescent="0.55000000000000004">
      <c r="A211" s="33">
        <v>204</v>
      </c>
      <c r="B211" s="34" t="s">
        <v>258</v>
      </c>
      <c r="C211" s="34" t="s">
        <v>965</v>
      </c>
      <c r="D211" s="35" t="s">
        <v>713</v>
      </c>
      <c r="E211" s="35" t="s">
        <v>966</v>
      </c>
      <c r="F211" s="36" t="s">
        <v>1168</v>
      </c>
      <c r="G211" s="36" t="s">
        <v>1420</v>
      </c>
      <c r="H211" s="36" t="s">
        <v>1421</v>
      </c>
      <c r="I211" s="36" t="s">
        <v>1421</v>
      </c>
      <c r="J211" s="36" t="s">
        <v>1421</v>
      </c>
      <c r="K211" s="36">
        <v>375</v>
      </c>
      <c r="L211" s="36" t="s">
        <v>1422</v>
      </c>
      <c r="M211" s="49">
        <v>4</v>
      </c>
      <c r="N211" s="37" t="s">
        <v>1626</v>
      </c>
      <c r="O211" s="37"/>
      <c r="P211" s="36">
        <v>1</v>
      </c>
      <c r="Q211" s="36" t="s">
        <v>1939</v>
      </c>
      <c r="R211" s="36" t="s">
        <v>2110</v>
      </c>
      <c r="S211" s="36" t="s">
        <v>1880</v>
      </c>
      <c r="T211" s="36" t="s">
        <v>1881</v>
      </c>
      <c r="U211" s="38">
        <v>45600</v>
      </c>
      <c r="V211" s="39">
        <v>709772</v>
      </c>
      <c r="W211" s="39" t="s">
        <v>2363</v>
      </c>
      <c r="X211" s="39" t="s">
        <v>2363</v>
      </c>
      <c r="Y211" s="40">
        <f t="shared" si="66"/>
        <v>35488.6</v>
      </c>
      <c r="Z211" s="40">
        <f t="shared" si="67"/>
        <v>745260.6</v>
      </c>
      <c r="AA211" s="41" t="str">
        <f t="shared" si="68"/>
        <v>0.0022</v>
      </c>
      <c r="AB211" s="41">
        <f t="shared" si="69"/>
        <v>0</v>
      </c>
      <c r="AC211" s="41">
        <f t="shared" si="70"/>
        <v>0</v>
      </c>
      <c r="AD211" s="41">
        <f t="shared" si="71"/>
        <v>0</v>
      </c>
      <c r="AE211" s="41">
        <f t="shared" si="72"/>
        <v>0</v>
      </c>
      <c r="AF211" s="41">
        <f t="shared" si="73"/>
        <v>0</v>
      </c>
      <c r="AG211" s="41">
        <f t="shared" si="74"/>
        <v>0</v>
      </c>
      <c r="AH211" s="41">
        <f t="shared" si="75"/>
        <v>0</v>
      </c>
      <c r="AI211" s="41">
        <f t="shared" si="76"/>
        <v>57</v>
      </c>
      <c r="AJ211" s="41">
        <f t="shared" si="77"/>
        <v>365</v>
      </c>
      <c r="AK211" s="41">
        <f t="shared" si="78"/>
        <v>181</v>
      </c>
      <c r="AL211" s="42">
        <f t="shared" si="79"/>
        <v>4.2780778082191784</v>
      </c>
      <c r="AM211" s="42">
        <f t="shared" si="80"/>
        <v>774.33208328767125</v>
      </c>
      <c r="AN211" s="43">
        <f t="shared" si="65"/>
        <v>638794.80000000005</v>
      </c>
      <c r="AO211" s="43"/>
      <c r="AP211" s="42">
        <f t="shared" si="81"/>
        <v>106465.79999999993</v>
      </c>
      <c r="AQ211" s="43">
        <v>5</v>
      </c>
      <c r="AR211" s="44">
        <f t="shared" si="82"/>
        <v>0.85714285714285721</v>
      </c>
      <c r="AS211" s="45">
        <f t="shared" si="83"/>
        <v>1892.7253333333333</v>
      </c>
      <c r="AU211" s="1">
        <v>532329</v>
      </c>
      <c r="AV211" s="50">
        <v>106465.8</v>
      </c>
    </row>
    <row r="212" spans="1:48" s="1" customFormat="1" ht="37.200000000000003" thickTop="1" thickBot="1" x14ac:dyDescent="0.55000000000000004">
      <c r="A212" s="33">
        <v>205</v>
      </c>
      <c r="B212" s="34" t="s">
        <v>259</v>
      </c>
      <c r="C212" s="34" t="s">
        <v>965</v>
      </c>
      <c r="D212" s="35" t="s">
        <v>714</v>
      </c>
      <c r="E212" s="35" t="s">
        <v>966</v>
      </c>
      <c r="F212" s="36" t="s">
        <v>1169</v>
      </c>
      <c r="G212" s="36" t="s">
        <v>1420</v>
      </c>
      <c r="H212" s="36" t="s">
        <v>1421</v>
      </c>
      <c r="I212" s="36" t="s">
        <v>1421</v>
      </c>
      <c r="J212" s="36" t="s">
        <v>1421</v>
      </c>
      <c r="K212" s="36">
        <v>350</v>
      </c>
      <c r="L212" s="36" t="s">
        <v>1422</v>
      </c>
      <c r="M212" s="49">
        <v>4</v>
      </c>
      <c r="N212" s="37" t="s">
        <v>1627</v>
      </c>
      <c r="O212" s="37"/>
      <c r="P212" s="36">
        <v>1</v>
      </c>
      <c r="Q212" s="36" t="s">
        <v>1995</v>
      </c>
      <c r="R212" s="36" t="s">
        <v>2111</v>
      </c>
      <c r="S212" s="36" t="s">
        <v>1880</v>
      </c>
      <c r="T212" s="36" t="s">
        <v>1881</v>
      </c>
      <c r="U212" s="38">
        <v>45600</v>
      </c>
      <c r="V212" s="39">
        <v>711474</v>
      </c>
      <c r="W212" s="39" t="s">
        <v>2363</v>
      </c>
      <c r="X212" s="39" t="s">
        <v>2363</v>
      </c>
      <c r="Y212" s="40">
        <f t="shared" si="66"/>
        <v>35573.699999999997</v>
      </c>
      <c r="Z212" s="40">
        <f t="shared" si="67"/>
        <v>747047.7</v>
      </c>
      <c r="AA212" s="41" t="str">
        <f t="shared" si="68"/>
        <v>0.0022</v>
      </c>
      <c r="AB212" s="41">
        <f t="shared" si="69"/>
        <v>0</v>
      </c>
      <c r="AC212" s="41">
        <f t="shared" si="70"/>
        <v>0</v>
      </c>
      <c r="AD212" s="41">
        <f t="shared" si="71"/>
        <v>0</v>
      </c>
      <c r="AE212" s="41">
        <f t="shared" si="72"/>
        <v>0</v>
      </c>
      <c r="AF212" s="41">
        <f t="shared" si="73"/>
        <v>0</v>
      </c>
      <c r="AG212" s="41">
        <f t="shared" si="74"/>
        <v>0</v>
      </c>
      <c r="AH212" s="41">
        <f t="shared" si="75"/>
        <v>0</v>
      </c>
      <c r="AI212" s="41">
        <f t="shared" si="76"/>
        <v>57</v>
      </c>
      <c r="AJ212" s="41">
        <f t="shared" si="77"/>
        <v>365</v>
      </c>
      <c r="AK212" s="41">
        <f t="shared" si="78"/>
        <v>181</v>
      </c>
      <c r="AL212" s="42">
        <f t="shared" si="79"/>
        <v>4.288336438356164</v>
      </c>
      <c r="AM212" s="42">
        <f t="shared" si="80"/>
        <v>776.18889534246568</v>
      </c>
      <c r="AN212" s="43">
        <f t="shared" si="65"/>
        <v>640326.6</v>
      </c>
      <c r="AO212" s="43"/>
      <c r="AP212" s="42">
        <f t="shared" si="81"/>
        <v>106721.09999999998</v>
      </c>
      <c r="AQ212" s="43">
        <v>5</v>
      </c>
      <c r="AR212" s="44">
        <f t="shared" si="82"/>
        <v>0.85714285714285721</v>
      </c>
      <c r="AS212" s="45">
        <f t="shared" si="83"/>
        <v>2032.7828571428572</v>
      </c>
      <c r="AU212" s="1">
        <v>640326.6</v>
      </c>
      <c r="AV212" s="50">
        <v>0</v>
      </c>
    </row>
    <row r="213" spans="1:48" s="1" customFormat="1" ht="37.200000000000003" thickTop="1" thickBot="1" x14ac:dyDescent="0.55000000000000004">
      <c r="A213" s="33">
        <v>206</v>
      </c>
      <c r="B213" s="34" t="s">
        <v>260</v>
      </c>
      <c r="C213" s="34" t="s">
        <v>965</v>
      </c>
      <c r="D213" s="35" t="s">
        <v>715</v>
      </c>
      <c r="E213" s="35" t="s">
        <v>966</v>
      </c>
      <c r="F213" s="36" t="s">
        <v>1170</v>
      </c>
      <c r="G213" s="36" t="s">
        <v>1420</v>
      </c>
      <c r="H213" s="36" t="s">
        <v>1421</v>
      </c>
      <c r="I213" s="36" t="s">
        <v>1421</v>
      </c>
      <c r="J213" s="36" t="s">
        <v>1421</v>
      </c>
      <c r="K213" s="36">
        <v>362.5</v>
      </c>
      <c r="L213" s="36" t="s">
        <v>1422</v>
      </c>
      <c r="M213" s="49">
        <v>4</v>
      </c>
      <c r="N213" s="37" t="s">
        <v>1628</v>
      </c>
      <c r="O213" s="37"/>
      <c r="P213" s="36">
        <v>1</v>
      </c>
      <c r="Q213" s="36" t="s">
        <v>1941</v>
      </c>
      <c r="R213" s="36" t="s">
        <v>2112</v>
      </c>
      <c r="S213" s="36" t="s">
        <v>1880</v>
      </c>
      <c r="T213" s="36" t="s">
        <v>1881</v>
      </c>
      <c r="U213" s="38">
        <v>45603</v>
      </c>
      <c r="V213" s="39">
        <v>675224</v>
      </c>
      <c r="W213" s="39" t="s">
        <v>2363</v>
      </c>
      <c r="X213" s="39" t="s">
        <v>2363</v>
      </c>
      <c r="Y213" s="40">
        <f t="shared" si="66"/>
        <v>33761.199999999997</v>
      </c>
      <c r="Z213" s="40">
        <f t="shared" si="67"/>
        <v>708985.2</v>
      </c>
      <c r="AA213" s="41" t="str">
        <f t="shared" si="68"/>
        <v>0.0018</v>
      </c>
      <c r="AB213" s="41">
        <f t="shared" si="69"/>
        <v>0</v>
      </c>
      <c r="AC213" s="41">
        <f t="shared" si="70"/>
        <v>0</v>
      </c>
      <c r="AD213" s="41">
        <f t="shared" si="71"/>
        <v>0</v>
      </c>
      <c r="AE213" s="41">
        <f t="shared" si="72"/>
        <v>0</v>
      </c>
      <c r="AF213" s="41">
        <f t="shared" si="73"/>
        <v>0</v>
      </c>
      <c r="AG213" s="41">
        <f t="shared" si="74"/>
        <v>0</v>
      </c>
      <c r="AH213" s="41">
        <f t="shared" si="75"/>
        <v>0</v>
      </c>
      <c r="AI213" s="41">
        <f t="shared" si="76"/>
        <v>54</v>
      </c>
      <c r="AJ213" s="41">
        <f t="shared" si="77"/>
        <v>365</v>
      </c>
      <c r="AK213" s="41">
        <f t="shared" si="78"/>
        <v>181</v>
      </c>
      <c r="AL213" s="42">
        <f t="shared" si="79"/>
        <v>3.3298717808219176</v>
      </c>
      <c r="AM213" s="42">
        <f t="shared" si="80"/>
        <v>602.70679232876705</v>
      </c>
      <c r="AN213" s="43">
        <f t="shared" si="65"/>
        <v>607701.6</v>
      </c>
      <c r="AO213" s="43"/>
      <c r="AP213" s="42">
        <f t="shared" si="81"/>
        <v>101283.59999999998</v>
      </c>
      <c r="AQ213" s="43">
        <v>5</v>
      </c>
      <c r="AR213" s="44">
        <f t="shared" si="82"/>
        <v>0.85714285714285721</v>
      </c>
      <c r="AS213" s="45">
        <f t="shared" si="83"/>
        <v>1862.6868965517242</v>
      </c>
      <c r="AU213" s="1">
        <v>405134.39999999997</v>
      </c>
      <c r="AV213" s="50">
        <v>202567.2</v>
      </c>
    </row>
    <row r="214" spans="1:48" s="1" customFormat="1" ht="37.200000000000003" thickTop="1" thickBot="1" x14ac:dyDescent="0.55000000000000004">
      <c r="A214" s="33">
        <v>207</v>
      </c>
      <c r="B214" s="34" t="s">
        <v>261</v>
      </c>
      <c r="C214" s="34" t="s">
        <v>965</v>
      </c>
      <c r="D214" s="35" t="s">
        <v>716</v>
      </c>
      <c r="E214" s="35" t="s">
        <v>966</v>
      </c>
      <c r="F214" s="36" t="s">
        <v>1171</v>
      </c>
      <c r="G214" s="36" t="s">
        <v>1420</v>
      </c>
      <c r="H214" s="36" t="s">
        <v>1421</v>
      </c>
      <c r="I214" s="36" t="s">
        <v>1421</v>
      </c>
      <c r="J214" s="36" t="s">
        <v>1421</v>
      </c>
      <c r="K214" s="36">
        <v>375</v>
      </c>
      <c r="L214" s="36" t="s">
        <v>1422</v>
      </c>
      <c r="M214" s="49">
        <v>4</v>
      </c>
      <c r="N214" s="37" t="s">
        <v>1629</v>
      </c>
      <c r="O214" s="37"/>
      <c r="P214" s="36">
        <v>1</v>
      </c>
      <c r="Q214" s="36" t="s">
        <v>1943</v>
      </c>
      <c r="R214" s="36" t="s">
        <v>2113</v>
      </c>
      <c r="S214" s="36" t="s">
        <v>1880</v>
      </c>
      <c r="T214" s="36" t="s">
        <v>1881</v>
      </c>
      <c r="U214" s="38">
        <v>45603</v>
      </c>
      <c r="V214" s="39">
        <v>673974</v>
      </c>
      <c r="W214" s="39" t="s">
        <v>2363</v>
      </c>
      <c r="X214" s="39" t="s">
        <v>2363</v>
      </c>
      <c r="Y214" s="40">
        <f t="shared" si="66"/>
        <v>33698.699999999997</v>
      </c>
      <c r="Z214" s="40">
        <f t="shared" si="67"/>
        <v>707672.7</v>
      </c>
      <c r="AA214" s="41" t="str">
        <f t="shared" si="68"/>
        <v>0.0018</v>
      </c>
      <c r="AB214" s="41">
        <f t="shared" si="69"/>
        <v>0</v>
      </c>
      <c r="AC214" s="41">
        <f t="shared" si="70"/>
        <v>0</v>
      </c>
      <c r="AD214" s="41">
        <f t="shared" si="71"/>
        <v>0</v>
      </c>
      <c r="AE214" s="41">
        <f t="shared" si="72"/>
        <v>0</v>
      </c>
      <c r="AF214" s="41">
        <f t="shared" si="73"/>
        <v>0</v>
      </c>
      <c r="AG214" s="41">
        <f t="shared" si="74"/>
        <v>0</v>
      </c>
      <c r="AH214" s="41">
        <f t="shared" si="75"/>
        <v>0</v>
      </c>
      <c r="AI214" s="41">
        <f t="shared" si="76"/>
        <v>54</v>
      </c>
      <c r="AJ214" s="41">
        <f t="shared" si="77"/>
        <v>365</v>
      </c>
      <c r="AK214" s="41">
        <f t="shared" si="78"/>
        <v>181</v>
      </c>
      <c r="AL214" s="42">
        <f t="shared" si="79"/>
        <v>3.3237073972602738</v>
      </c>
      <c r="AM214" s="42">
        <f t="shared" si="80"/>
        <v>601.5910389041095</v>
      </c>
      <c r="AN214" s="43">
        <f t="shared" si="65"/>
        <v>606576.6</v>
      </c>
      <c r="AO214" s="43"/>
      <c r="AP214" s="42">
        <f t="shared" si="81"/>
        <v>101096.09999999998</v>
      </c>
      <c r="AQ214" s="43">
        <v>5</v>
      </c>
      <c r="AR214" s="44">
        <f t="shared" si="82"/>
        <v>0.85714285714285721</v>
      </c>
      <c r="AS214" s="45">
        <f t="shared" si="83"/>
        <v>1797.2639999999999</v>
      </c>
      <c r="AU214" s="1">
        <v>606576.6</v>
      </c>
      <c r="AV214" s="50">
        <v>0</v>
      </c>
    </row>
    <row r="215" spans="1:48" s="1" customFormat="1" ht="37.200000000000003" thickTop="1" thickBot="1" x14ac:dyDescent="0.55000000000000004">
      <c r="A215" s="33">
        <v>208</v>
      </c>
      <c r="B215" s="34" t="s">
        <v>262</v>
      </c>
      <c r="C215" s="34" t="s">
        <v>965</v>
      </c>
      <c r="D215" s="35" t="s">
        <v>717</v>
      </c>
      <c r="E215" s="35" t="s">
        <v>966</v>
      </c>
      <c r="F215" s="36" t="s">
        <v>1172</v>
      </c>
      <c r="G215" s="36" t="s">
        <v>1420</v>
      </c>
      <c r="H215" s="36" t="s">
        <v>1421</v>
      </c>
      <c r="I215" s="36" t="s">
        <v>1421</v>
      </c>
      <c r="J215" s="36" t="s">
        <v>1421</v>
      </c>
      <c r="K215" s="36">
        <v>375</v>
      </c>
      <c r="L215" s="36" t="s">
        <v>1422</v>
      </c>
      <c r="M215" s="49">
        <v>4</v>
      </c>
      <c r="N215" s="37" t="s">
        <v>1630</v>
      </c>
      <c r="O215" s="37"/>
      <c r="P215" s="36">
        <v>1</v>
      </c>
      <c r="Q215" s="36" t="s">
        <v>1943</v>
      </c>
      <c r="R215" s="36" t="s">
        <v>2114</v>
      </c>
      <c r="S215" s="36" t="s">
        <v>1880</v>
      </c>
      <c r="T215" s="36" t="s">
        <v>1881</v>
      </c>
      <c r="U215" s="38">
        <v>45606</v>
      </c>
      <c r="V215" s="39">
        <v>673974</v>
      </c>
      <c r="W215" s="39" t="s">
        <v>2363</v>
      </c>
      <c r="X215" s="39" t="s">
        <v>2363</v>
      </c>
      <c r="Y215" s="40">
        <f t="shared" si="66"/>
        <v>33698.699999999997</v>
      </c>
      <c r="Z215" s="40">
        <f t="shared" si="67"/>
        <v>707672.7</v>
      </c>
      <c r="AA215" s="41" t="str">
        <f t="shared" si="68"/>
        <v>0.0018</v>
      </c>
      <c r="AB215" s="41">
        <f t="shared" si="69"/>
        <v>0</v>
      </c>
      <c r="AC215" s="41">
        <f t="shared" si="70"/>
        <v>0</v>
      </c>
      <c r="AD215" s="41">
        <f t="shared" si="71"/>
        <v>0</v>
      </c>
      <c r="AE215" s="41">
        <f t="shared" si="72"/>
        <v>0</v>
      </c>
      <c r="AF215" s="41">
        <f t="shared" si="73"/>
        <v>0</v>
      </c>
      <c r="AG215" s="41">
        <f t="shared" si="74"/>
        <v>0</v>
      </c>
      <c r="AH215" s="41">
        <f t="shared" si="75"/>
        <v>0</v>
      </c>
      <c r="AI215" s="41">
        <f t="shared" si="76"/>
        <v>51</v>
      </c>
      <c r="AJ215" s="41">
        <f t="shared" si="77"/>
        <v>365</v>
      </c>
      <c r="AK215" s="41">
        <f t="shared" si="78"/>
        <v>181</v>
      </c>
      <c r="AL215" s="42">
        <f t="shared" si="79"/>
        <v>3.3237073972602738</v>
      </c>
      <c r="AM215" s="42">
        <f t="shared" si="80"/>
        <v>601.5910389041095</v>
      </c>
      <c r="AN215" s="43">
        <f t="shared" si="65"/>
        <v>606576.6</v>
      </c>
      <c r="AO215" s="43"/>
      <c r="AP215" s="42">
        <f t="shared" si="81"/>
        <v>101096.09999999998</v>
      </c>
      <c r="AQ215" s="43">
        <v>5</v>
      </c>
      <c r="AR215" s="44">
        <f t="shared" si="82"/>
        <v>0.85714285714285721</v>
      </c>
      <c r="AS215" s="45">
        <f t="shared" si="83"/>
        <v>1797.2639999999999</v>
      </c>
      <c r="AU215" s="1">
        <v>606576.6</v>
      </c>
      <c r="AV215" s="50">
        <v>0</v>
      </c>
    </row>
    <row r="216" spans="1:48" s="1" customFormat="1" ht="37.200000000000003" thickTop="1" thickBot="1" x14ac:dyDescent="0.55000000000000004">
      <c r="A216" s="33">
        <v>209</v>
      </c>
      <c r="B216" s="34" t="s">
        <v>263</v>
      </c>
      <c r="C216" s="34" t="s">
        <v>965</v>
      </c>
      <c r="D216" s="35" t="s">
        <v>718</v>
      </c>
      <c r="E216" s="35" t="s">
        <v>966</v>
      </c>
      <c r="F216" s="36" t="s">
        <v>1173</v>
      </c>
      <c r="G216" s="36" t="s">
        <v>1420</v>
      </c>
      <c r="H216" s="36" t="s">
        <v>1421</v>
      </c>
      <c r="I216" s="36" t="s">
        <v>1421</v>
      </c>
      <c r="J216" s="36" t="s">
        <v>1421</v>
      </c>
      <c r="K216" s="36">
        <v>356.25</v>
      </c>
      <c r="L216" s="36" t="s">
        <v>1422</v>
      </c>
      <c r="M216" s="49">
        <v>4</v>
      </c>
      <c r="N216" s="37" t="s">
        <v>1631</v>
      </c>
      <c r="O216" s="37"/>
      <c r="P216" s="36">
        <v>1</v>
      </c>
      <c r="Q216" s="36" t="s">
        <v>1915</v>
      </c>
      <c r="R216" s="36" t="s">
        <v>2115</v>
      </c>
      <c r="S216" s="36" t="s">
        <v>1880</v>
      </c>
      <c r="T216" s="36" t="s">
        <v>1883</v>
      </c>
      <c r="U216" s="38">
        <v>45609</v>
      </c>
      <c r="V216" s="39">
        <v>672099</v>
      </c>
      <c r="W216" s="39" t="s">
        <v>2363</v>
      </c>
      <c r="X216" s="39" t="s">
        <v>2363</v>
      </c>
      <c r="Y216" s="40">
        <f t="shared" si="66"/>
        <v>33604.949999999997</v>
      </c>
      <c r="Z216" s="40">
        <f t="shared" si="67"/>
        <v>705703.95</v>
      </c>
      <c r="AA216" s="41" t="str">
        <f t="shared" si="68"/>
        <v>0.0018</v>
      </c>
      <c r="AB216" s="41">
        <f t="shared" si="69"/>
        <v>0</v>
      </c>
      <c r="AC216" s="41">
        <f t="shared" si="70"/>
        <v>0</v>
      </c>
      <c r="AD216" s="41">
        <f t="shared" si="71"/>
        <v>0</v>
      </c>
      <c r="AE216" s="41">
        <f t="shared" si="72"/>
        <v>0</v>
      </c>
      <c r="AF216" s="41">
        <f t="shared" si="73"/>
        <v>0</v>
      </c>
      <c r="AG216" s="41">
        <f t="shared" si="74"/>
        <v>0</v>
      </c>
      <c r="AH216" s="41">
        <f t="shared" si="75"/>
        <v>0</v>
      </c>
      <c r="AI216" s="41">
        <f t="shared" si="76"/>
        <v>48</v>
      </c>
      <c r="AJ216" s="41">
        <f t="shared" si="77"/>
        <v>365</v>
      </c>
      <c r="AK216" s="41">
        <f t="shared" si="78"/>
        <v>181</v>
      </c>
      <c r="AL216" s="42">
        <f t="shared" si="79"/>
        <v>3.314460821917808</v>
      </c>
      <c r="AM216" s="42">
        <f t="shared" si="80"/>
        <v>599.91740876712322</v>
      </c>
      <c r="AN216" s="43">
        <f t="shared" si="65"/>
        <v>638494.04999999993</v>
      </c>
      <c r="AO216" s="43"/>
      <c r="AP216" s="42">
        <f t="shared" si="81"/>
        <v>67209.900000000023</v>
      </c>
      <c r="AQ216" s="43">
        <v>6</v>
      </c>
      <c r="AR216" s="44">
        <f t="shared" si="82"/>
        <v>0.90476190476190477</v>
      </c>
      <c r="AS216" s="45">
        <f t="shared" si="83"/>
        <v>1886.5936842105264</v>
      </c>
      <c r="AU216" s="1">
        <v>604889.1</v>
      </c>
      <c r="AV216" s="50">
        <v>33604.949999999997</v>
      </c>
    </row>
    <row r="217" spans="1:48" s="1" customFormat="1" ht="37.200000000000003" thickTop="1" thickBot="1" x14ac:dyDescent="0.55000000000000004">
      <c r="A217" s="33">
        <v>210</v>
      </c>
      <c r="B217" s="34" t="s">
        <v>264</v>
      </c>
      <c r="C217" s="34" t="s">
        <v>965</v>
      </c>
      <c r="D217" s="35" t="s">
        <v>719</v>
      </c>
      <c r="E217" s="35" t="s">
        <v>966</v>
      </c>
      <c r="F217" s="36" t="s">
        <v>1174</v>
      </c>
      <c r="G217" s="36" t="s">
        <v>1420</v>
      </c>
      <c r="H217" s="36" t="s">
        <v>1421</v>
      </c>
      <c r="I217" s="36" t="s">
        <v>1421</v>
      </c>
      <c r="J217" s="36" t="s">
        <v>1421</v>
      </c>
      <c r="K217" s="36">
        <v>350</v>
      </c>
      <c r="L217" s="36" t="s">
        <v>1422</v>
      </c>
      <c r="M217" s="49">
        <v>4</v>
      </c>
      <c r="N217" s="37" t="s">
        <v>1632</v>
      </c>
      <c r="O217" s="37"/>
      <c r="P217" s="36">
        <v>1</v>
      </c>
      <c r="Q217" s="36" t="s">
        <v>2039</v>
      </c>
      <c r="R217" s="36" t="s">
        <v>2116</v>
      </c>
      <c r="S217" s="36" t="s">
        <v>1880</v>
      </c>
      <c r="T217" s="36" t="s">
        <v>1881</v>
      </c>
      <c r="U217" s="38">
        <v>45613</v>
      </c>
      <c r="V217" s="39">
        <v>673474</v>
      </c>
      <c r="W217" s="39" t="s">
        <v>2363</v>
      </c>
      <c r="X217" s="39" t="s">
        <v>2363</v>
      </c>
      <c r="Y217" s="40">
        <f t="shared" si="66"/>
        <v>33673.699999999997</v>
      </c>
      <c r="Z217" s="40">
        <f t="shared" si="67"/>
        <v>707147.7</v>
      </c>
      <c r="AA217" s="41" t="str">
        <f t="shared" si="68"/>
        <v>0.0018</v>
      </c>
      <c r="AB217" s="41">
        <f t="shared" si="69"/>
        <v>0</v>
      </c>
      <c r="AC217" s="41">
        <f t="shared" si="70"/>
        <v>0</v>
      </c>
      <c r="AD217" s="41">
        <f t="shared" si="71"/>
        <v>0</v>
      </c>
      <c r="AE217" s="41">
        <f t="shared" si="72"/>
        <v>0</v>
      </c>
      <c r="AF217" s="41">
        <f t="shared" si="73"/>
        <v>0</v>
      </c>
      <c r="AG217" s="41">
        <f t="shared" si="74"/>
        <v>0</v>
      </c>
      <c r="AH217" s="41">
        <f t="shared" si="75"/>
        <v>0</v>
      </c>
      <c r="AI217" s="41">
        <f t="shared" si="76"/>
        <v>44</v>
      </c>
      <c r="AJ217" s="41">
        <f t="shared" si="77"/>
        <v>365</v>
      </c>
      <c r="AK217" s="41">
        <f t="shared" si="78"/>
        <v>181</v>
      </c>
      <c r="AL217" s="42">
        <f t="shared" si="79"/>
        <v>3.321241643835616</v>
      </c>
      <c r="AM217" s="42">
        <f t="shared" si="80"/>
        <v>601.14473753424647</v>
      </c>
      <c r="AN217" s="43">
        <f t="shared" si="65"/>
        <v>639800.29999999993</v>
      </c>
      <c r="AO217" s="43"/>
      <c r="AP217" s="42">
        <f t="shared" si="81"/>
        <v>67347.400000000023</v>
      </c>
      <c r="AQ217" s="43">
        <v>6</v>
      </c>
      <c r="AR217" s="44">
        <f t="shared" si="82"/>
        <v>0.90476190476190477</v>
      </c>
      <c r="AS217" s="45">
        <f t="shared" si="83"/>
        <v>1924.2114285714285</v>
      </c>
      <c r="AU217" s="1">
        <v>606126.6</v>
      </c>
      <c r="AV217" s="50">
        <v>33673.699999999997</v>
      </c>
    </row>
    <row r="218" spans="1:48" s="1" customFormat="1" ht="37.200000000000003" thickTop="1" thickBot="1" x14ac:dyDescent="0.55000000000000004">
      <c r="A218" s="33">
        <v>211</v>
      </c>
      <c r="B218" s="34" t="s">
        <v>265</v>
      </c>
      <c r="C218" s="34" t="s">
        <v>965</v>
      </c>
      <c r="D218" s="35" t="s">
        <v>720</v>
      </c>
      <c r="E218" s="35" t="s">
        <v>966</v>
      </c>
      <c r="F218" s="36" t="s">
        <v>1175</v>
      </c>
      <c r="G218" s="36" t="s">
        <v>1420</v>
      </c>
      <c r="H218" s="36" t="s">
        <v>1421</v>
      </c>
      <c r="I218" s="36" t="s">
        <v>1421</v>
      </c>
      <c r="J218" s="36" t="s">
        <v>1421</v>
      </c>
      <c r="K218" s="36">
        <v>350</v>
      </c>
      <c r="L218" s="36" t="s">
        <v>1422</v>
      </c>
      <c r="M218" s="49">
        <v>4</v>
      </c>
      <c r="N218" s="37" t="s">
        <v>1633</v>
      </c>
      <c r="O218" s="37"/>
      <c r="P218" s="36">
        <v>1</v>
      </c>
      <c r="Q218" s="36" t="s">
        <v>1937</v>
      </c>
      <c r="R218" s="36" t="s">
        <v>2117</v>
      </c>
      <c r="S218" s="36" t="s">
        <v>1880</v>
      </c>
      <c r="T218" s="36" t="s">
        <v>1881</v>
      </c>
      <c r="U218" s="38">
        <v>45613</v>
      </c>
      <c r="V218" s="39">
        <v>585400</v>
      </c>
      <c r="W218" s="39" t="s">
        <v>2363</v>
      </c>
      <c r="X218" s="39" t="s">
        <v>2363</v>
      </c>
      <c r="Y218" s="40">
        <f t="shared" si="66"/>
        <v>29270</v>
      </c>
      <c r="Z218" s="40">
        <f t="shared" si="67"/>
        <v>614670</v>
      </c>
      <c r="AA218" s="41" t="str">
        <f t="shared" si="68"/>
        <v>0.0018</v>
      </c>
      <c r="AB218" s="41">
        <f t="shared" si="69"/>
        <v>0</v>
      </c>
      <c r="AC218" s="41">
        <f t="shared" si="70"/>
        <v>0</v>
      </c>
      <c r="AD218" s="41">
        <f t="shared" si="71"/>
        <v>0</v>
      </c>
      <c r="AE218" s="41">
        <f t="shared" si="72"/>
        <v>0</v>
      </c>
      <c r="AF218" s="41">
        <f t="shared" si="73"/>
        <v>0</v>
      </c>
      <c r="AG218" s="41">
        <f t="shared" si="74"/>
        <v>0</v>
      </c>
      <c r="AH218" s="41">
        <f t="shared" si="75"/>
        <v>0</v>
      </c>
      <c r="AI218" s="41">
        <f t="shared" si="76"/>
        <v>44</v>
      </c>
      <c r="AJ218" s="41">
        <f t="shared" si="77"/>
        <v>365</v>
      </c>
      <c r="AK218" s="41">
        <f t="shared" si="78"/>
        <v>181</v>
      </c>
      <c r="AL218" s="42">
        <f t="shared" si="79"/>
        <v>2.8869041095890413</v>
      </c>
      <c r="AM218" s="42">
        <f t="shared" si="80"/>
        <v>522.52964383561653</v>
      </c>
      <c r="AN218" s="43">
        <f t="shared" si="65"/>
        <v>526860</v>
      </c>
      <c r="AO218" s="43"/>
      <c r="AP218" s="42">
        <f t="shared" si="81"/>
        <v>87810</v>
      </c>
      <c r="AQ218" s="43">
        <v>5</v>
      </c>
      <c r="AR218" s="44">
        <f t="shared" si="82"/>
        <v>0.8571428571428571</v>
      </c>
      <c r="AS218" s="45">
        <f t="shared" si="83"/>
        <v>1672.5714285714287</v>
      </c>
      <c r="AU218" s="1">
        <v>351240</v>
      </c>
      <c r="AV218" s="50">
        <v>175620</v>
      </c>
    </row>
    <row r="219" spans="1:48" s="1" customFormat="1" ht="37.200000000000003" thickTop="1" thickBot="1" x14ac:dyDescent="0.55000000000000004">
      <c r="A219" s="33">
        <v>212</v>
      </c>
      <c r="B219" s="34" t="s">
        <v>266</v>
      </c>
      <c r="C219" s="34" t="s">
        <v>965</v>
      </c>
      <c r="D219" s="35" t="s">
        <v>721</v>
      </c>
      <c r="E219" s="35" t="s">
        <v>966</v>
      </c>
      <c r="F219" s="36" t="s">
        <v>1176</v>
      </c>
      <c r="G219" s="36" t="s">
        <v>1420</v>
      </c>
      <c r="H219" s="36" t="s">
        <v>1421</v>
      </c>
      <c r="I219" s="36" t="s">
        <v>1421</v>
      </c>
      <c r="J219" s="36" t="s">
        <v>1421</v>
      </c>
      <c r="K219" s="36">
        <v>375</v>
      </c>
      <c r="L219" s="36" t="s">
        <v>1422</v>
      </c>
      <c r="M219" s="49">
        <v>4</v>
      </c>
      <c r="N219" s="37" t="s">
        <v>1634</v>
      </c>
      <c r="O219" s="37"/>
      <c r="P219" s="36">
        <v>1</v>
      </c>
      <c r="Q219" s="36" t="s">
        <v>1956</v>
      </c>
      <c r="R219" s="36" t="s">
        <v>2118</v>
      </c>
      <c r="S219" s="36" t="s">
        <v>1880</v>
      </c>
      <c r="T219" s="36" t="s">
        <v>1881</v>
      </c>
      <c r="U219" s="38">
        <v>45613</v>
      </c>
      <c r="V219" s="39">
        <v>589349</v>
      </c>
      <c r="W219" s="39" t="s">
        <v>2363</v>
      </c>
      <c r="X219" s="39" t="s">
        <v>2363</v>
      </c>
      <c r="Y219" s="40">
        <f t="shared" si="66"/>
        <v>29467.45</v>
      </c>
      <c r="Z219" s="40">
        <f t="shared" si="67"/>
        <v>618816.44999999995</v>
      </c>
      <c r="AA219" s="41" t="str">
        <f t="shared" si="68"/>
        <v>0.0018</v>
      </c>
      <c r="AB219" s="41">
        <f t="shared" si="69"/>
        <v>0</v>
      </c>
      <c r="AC219" s="41">
        <f t="shared" si="70"/>
        <v>0</v>
      </c>
      <c r="AD219" s="41">
        <f t="shared" si="71"/>
        <v>0</v>
      </c>
      <c r="AE219" s="41">
        <f t="shared" si="72"/>
        <v>0</v>
      </c>
      <c r="AF219" s="41">
        <f t="shared" si="73"/>
        <v>0</v>
      </c>
      <c r="AG219" s="41">
        <f t="shared" si="74"/>
        <v>0</v>
      </c>
      <c r="AH219" s="41">
        <f t="shared" si="75"/>
        <v>0</v>
      </c>
      <c r="AI219" s="41">
        <f t="shared" si="76"/>
        <v>44</v>
      </c>
      <c r="AJ219" s="41">
        <f t="shared" si="77"/>
        <v>365</v>
      </c>
      <c r="AK219" s="41">
        <f t="shared" si="78"/>
        <v>181</v>
      </c>
      <c r="AL219" s="42">
        <f t="shared" si="79"/>
        <v>2.9063786301369863</v>
      </c>
      <c r="AM219" s="42">
        <f t="shared" si="80"/>
        <v>526.05453205479455</v>
      </c>
      <c r="AN219" s="43">
        <f t="shared" si="65"/>
        <v>559881.54999999993</v>
      </c>
      <c r="AO219" s="43"/>
      <c r="AP219" s="42">
        <f t="shared" si="81"/>
        <v>58934.900000000023</v>
      </c>
      <c r="AQ219" s="43">
        <v>6</v>
      </c>
      <c r="AR219" s="44">
        <f t="shared" si="82"/>
        <v>0.90476190476190477</v>
      </c>
      <c r="AS219" s="45">
        <f t="shared" si="83"/>
        <v>1571.5973333333334</v>
      </c>
      <c r="AU219" s="1">
        <v>530414.1</v>
      </c>
      <c r="AV219" s="50">
        <v>29467.45</v>
      </c>
    </row>
    <row r="220" spans="1:48" s="1" customFormat="1" ht="37.200000000000003" thickTop="1" thickBot="1" x14ac:dyDescent="0.55000000000000004">
      <c r="A220" s="33">
        <v>213</v>
      </c>
      <c r="B220" s="34" t="s">
        <v>267</v>
      </c>
      <c r="C220" s="34" t="s">
        <v>965</v>
      </c>
      <c r="D220" s="35" t="s">
        <v>722</v>
      </c>
      <c r="E220" s="35" t="s">
        <v>966</v>
      </c>
      <c r="F220" s="36" t="s">
        <v>1177</v>
      </c>
      <c r="G220" s="36" t="s">
        <v>1420</v>
      </c>
      <c r="H220" s="36" t="s">
        <v>1421</v>
      </c>
      <c r="I220" s="36" t="s">
        <v>1421</v>
      </c>
      <c r="J220" s="36" t="s">
        <v>1421</v>
      </c>
      <c r="K220" s="36">
        <v>375</v>
      </c>
      <c r="L220" s="36" t="s">
        <v>1422</v>
      </c>
      <c r="M220" s="49">
        <v>4</v>
      </c>
      <c r="N220" s="37" t="s">
        <v>1635</v>
      </c>
      <c r="O220" s="37"/>
      <c r="P220" s="36">
        <v>1</v>
      </c>
      <c r="Q220" s="36" t="s">
        <v>1943</v>
      </c>
      <c r="R220" s="36" t="s">
        <v>2119</v>
      </c>
      <c r="S220" s="36" t="s">
        <v>1880</v>
      </c>
      <c r="T220" s="36" t="s">
        <v>1881</v>
      </c>
      <c r="U220" s="38">
        <v>45613</v>
      </c>
      <c r="V220" s="39">
        <v>699080</v>
      </c>
      <c r="W220" s="39" t="s">
        <v>2363</v>
      </c>
      <c r="X220" s="39" t="s">
        <v>2363</v>
      </c>
      <c r="Y220" s="40">
        <f t="shared" si="66"/>
        <v>34954</v>
      </c>
      <c r="Z220" s="40">
        <f t="shared" si="67"/>
        <v>734034</v>
      </c>
      <c r="AA220" s="41" t="str">
        <f t="shared" si="68"/>
        <v>0.0018</v>
      </c>
      <c r="AB220" s="41">
        <f t="shared" si="69"/>
        <v>0</v>
      </c>
      <c r="AC220" s="41">
        <f t="shared" si="70"/>
        <v>0</v>
      </c>
      <c r="AD220" s="41">
        <f t="shared" si="71"/>
        <v>0</v>
      </c>
      <c r="AE220" s="41">
        <f t="shared" si="72"/>
        <v>0</v>
      </c>
      <c r="AF220" s="41">
        <f t="shared" si="73"/>
        <v>0</v>
      </c>
      <c r="AG220" s="41">
        <f t="shared" si="74"/>
        <v>0</v>
      </c>
      <c r="AH220" s="41">
        <f t="shared" si="75"/>
        <v>0</v>
      </c>
      <c r="AI220" s="41">
        <f t="shared" si="76"/>
        <v>44</v>
      </c>
      <c r="AJ220" s="41">
        <f t="shared" si="77"/>
        <v>365</v>
      </c>
      <c r="AK220" s="41">
        <f t="shared" si="78"/>
        <v>181</v>
      </c>
      <c r="AL220" s="42">
        <f t="shared" si="79"/>
        <v>3.4475178082191782</v>
      </c>
      <c r="AM220" s="42">
        <f t="shared" si="80"/>
        <v>624.00072328767124</v>
      </c>
      <c r="AN220" s="43">
        <f t="shared" si="65"/>
        <v>664126</v>
      </c>
      <c r="AO220" s="43"/>
      <c r="AP220" s="42">
        <f t="shared" si="81"/>
        <v>69908</v>
      </c>
      <c r="AQ220" s="43">
        <v>6</v>
      </c>
      <c r="AR220" s="44">
        <f t="shared" si="82"/>
        <v>0.90476190476190477</v>
      </c>
      <c r="AS220" s="45">
        <f t="shared" si="83"/>
        <v>1864.2133333333334</v>
      </c>
      <c r="AU220" s="1">
        <v>629172</v>
      </c>
      <c r="AV220" s="50">
        <v>34954</v>
      </c>
    </row>
    <row r="221" spans="1:48" s="1" customFormat="1" ht="37.200000000000003" thickTop="1" thickBot="1" x14ac:dyDescent="0.55000000000000004">
      <c r="A221" s="33">
        <v>214</v>
      </c>
      <c r="B221" s="34" t="s">
        <v>268</v>
      </c>
      <c r="C221" s="34" t="s">
        <v>965</v>
      </c>
      <c r="D221" s="35" t="s">
        <v>723</v>
      </c>
      <c r="E221" s="35" t="s">
        <v>966</v>
      </c>
      <c r="F221" s="36" t="s">
        <v>1178</v>
      </c>
      <c r="G221" s="36" t="s">
        <v>1420</v>
      </c>
      <c r="H221" s="36" t="s">
        <v>1421</v>
      </c>
      <c r="I221" s="36" t="s">
        <v>1421</v>
      </c>
      <c r="J221" s="36" t="s">
        <v>1421</v>
      </c>
      <c r="K221" s="36">
        <v>356.25</v>
      </c>
      <c r="L221" s="36" t="s">
        <v>1422</v>
      </c>
      <c r="M221" s="49">
        <v>4</v>
      </c>
      <c r="N221" s="37" t="s">
        <v>1636</v>
      </c>
      <c r="O221" s="37"/>
      <c r="P221" s="36">
        <v>1</v>
      </c>
      <c r="Q221" s="36" t="s">
        <v>1915</v>
      </c>
      <c r="R221" s="36" t="s">
        <v>2120</v>
      </c>
      <c r="S221" s="36" t="s">
        <v>1880</v>
      </c>
      <c r="T221" s="36" t="s">
        <v>1881</v>
      </c>
      <c r="U221" s="38">
        <v>45613</v>
      </c>
      <c r="V221" s="39">
        <v>676599</v>
      </c>
      <c r="W221" s="39" t="s">
        <v>2363</v>
      </c>
      <c r="X221" s="39" t="s">
        <v>2363</v>
      </c>
      <c r="Y221" s="40">
        <f t="shared" si="66"/>
        <v>33829.949999999997</v>
      </c>
      <c r="Z221" s="40">
        <f t="shared" si="67"/>
        <v>710428.95</v>
      </c>
      <c r="AA221" s="41" t="str">
        <f t="shared" si="68"/>
        <v>0.0018</v>
      </c>
      <c r="AB221" s="41">
        <f t="shared" si="69"/>
        <v>0</v>
      </c>
      <c r="AC221" s="41">
        <f t="shared" si="70"/>
        <v>0</v>
      </c>
      <c r="AD221" s="41">
        <f t="shared" si="71"/>
        <v>0</v>
      </c>
      <c r="AE221" s="41">
        <f t="shared" si="72"/>
        <v>0</v>
      </c>
      <c r="AF221" s="41">
        <f t="shared" si="73"/>
        <v>0</v>
      </c>
      <c r="AG221" s="41">
        <f t="shared" si="74"/>
        <v>0</v>
      </c>
      <c r="AH221" s="41">
        <f t="shared" si="75"/>
        <v>0</v>
      </c>
      <c r="AI221" s="41">
        <f t="shared" si="76"/>
        <v>44</v>
      </c>
      <c r="AJ221" s="41">
        <f t="shared" si="77"/>
        <v>365</v>
      </c>
      <c r="AK221" s="41">
        <f t="shared" si="78"/>
        <v>181</v>
      </c>
      <c r="AL221" s="42">
        <f t="shared" si="79"/>
        <v>3.3366526027397256</v>
      </c>
      <c r="AM221" s="42">
        <f t="shared" si="80"/>
        <v>603.9341210958903</v>
      </c>
      <c r="AN221" s="43">
        <f t="shared" si="65"/>
        <v>642769.04999999993</v>
      </c>
      <c r="AO221" s="43"/>
      <c r="AP221" s="42">
        <f t="shared" si="81"/>
        <v>67659.900000000023</v>
      </c>
      <c r="AQ221" s="43">
        <v>6</v>
      </c>
      <c r="AR221" s="44">
        <f t="shared" si="82"/>
        <v>0.90476190476190477</v>
      </c>
      <c r="AS221" s="45">
        <f t="shared" si="83"/>
        <v>1899.2252631578947</v>
      </c>
      <c r="AU221" s="1">
        <v>608939.1</v>
      </c>
      <c r="AV221" s="50">
        <v>33829.949999999997</v>
      </c>
    </row>
    <row r="222" spans="1:48" s="1" customFormat="1" ht="37.200000000000003" thickTop="1" thickBot="1" x14ac:dyDescent="0.55000000000000004">
      <c r="A222" s="33">
        <v>215</v>
      </c>
      <c r="B222" s="34" t="s">
        <v>269</v>
      </c>
      <c r="C222" s="34" t="s">
        <v>965</v>
      </c>
      <c r="D222" s="35" t="s">
        <v>724</v>
      </c>
      <c r="E222" s="35" t="s">
        <v>966</v>
      </c>
      <c r="F222" s="36" t="s">
        <v>1179</v>
      </c>
      <c r="G222" s="36" t="s">
        <v>1420</v>
      </c>
      <c r="H222" s="36" t="s">
        <v>1421</v>
      </c>
      <c r="I222" s="36" t="s">
        <v>1421</v>
      </c>
      <c r="J222" s="36" t="s">
        <v>1421</v>
      </c>
      <c r="K222" s="36">
        <v>343.75</v>
      </c>
      <c r="L222" s="36" t="s">
        <v>1422</v>
      </c>
      <c r="M222" s="49">
        <v>4</v>
      </c>
      <c r="N222" s="37" t="s">
        <v>1637</v>
      </c>
      <c r="O222" s="37"/>
      <c r="P222" s="36">
        <v>1</v>
      </c>
      <c r="Q222" s="36" t="s">
        <v>1878</v>
      </c>
      <c r="R222" s="36" t="s">
        <v>2121</v>
      </c>
      <c r="S222" s="36" t="s">
        <v>1880</v>
      </c>
      <c r="T222" s="36" t="s">
        <v>1901</v>
      </c>
      <c r="U222" s="38">
        <v>45614</v>
      </c>
      <c r="V222" s="39">
        <v>707144.75</v>
      </c>
      <c r="W222" s="39" t="s">
        <v>2363</v>
      </c>
      <c r="X222" s="39" t="s">
        <v>2363</v>
      </c>
      <c r="Y222" s="40">
        <f t="shared" si="66"/>
        <v>35357.237500000003</v>
      </c>
      <c r="Z222" s="40">
        <f t="shared" si="67"/>
        <v>742501.98750000005</v>
      </c>
      <c r="AA222" s="41" t="str">
        <f t="shared" si="68"/>
        <v>0.0022</v>
      </c>
      <c r="AB222" s="41">
        <f t="shared" si="69"/>
        <v>0</v>
      </c>
      <c r="AC222" s="41">
        <f t="shared" si="70"/>
        <v>0</v>
      </c>
      <c r="AD222" s="41">
        <f t="shared" si="71"/>
        <v>0</v>
      </c>
      <c r="AE222" s="41">
        <f t="shared" si="72"/>
        <v>0</v>
      </c>
      <c r="AF222" s="41">
        <f t="shared" si="73"/>
        <v>0</v>
      </c>
      <c r="AG222" s="41">
        <f t="shared" si="74"/>
        <v>0</v>
      </c>
      <c r="AH222" s="41">
        <f t="shared" si="75"/>
        <v>0</v>
      </c>
      <c r="AI222" s="41">
        <f t="shared" si="76"/>
        <v>43</v>
      </c>
      <c r="AJ222" s="41">
        <f t="shared" si="77"/>
        <v>365</v>
      </c>
      <c r="AK222" s="41">
        <f t="shared" si="78"/>
        <v>181</v>
      </c>
      <c r="AL222" s="42">
        <f t="shared" si="79"/>
        <v>4.2622423287671234</v>
      </c>
      <c r="AM222" s="42">
        <f t="shared" si="80"/>
        <v>771.46586150684936</v>
      </c>
      <c r="AN222" s="43">
        <f t="shared" si="65"/>
        <v>671787.60000000009</v>
      </c>
      <c r="AO222" s="43"/>
      <c r="AP222" s="42">
        <f t="shared" si="81"/>
        <v>70714.387499999953</v>
      </c>
      <c r="AQ222" s="43">
        <v>6</v>
      </c>
      <c r="AR222" s="44">
        <f t="shared" si="82"/>
        <v>0.90476202260670724</v>
      </c>
      <c r="AS222" s="45">
        <f t="shared" si="83"/>
        <v>2057.1483636363637</v>
      </c>
      <c r="AU222" s="1">
        <v>636430.35000000009</v>
      </c>
      <c r="AV222" s="50">
        <v>35357.25</v>
      </c>
    </row>
    <row r="223" spans="1:48" s="1" customFormat="1" ht="37.200000000000003" thickTop="1" thickBot="1" x14ac:dyDescent="0.55000000000000004">
      <c r="A223" s="33">
        <v>216</v>
      </c>
      <c r="B223" s="34" t="s">
        <v>270</v>
      </c>
      <c r="C223" s="34" t="s">
        <v>965</v>
      </c>
      <c r="D223" s="35" t="s">
        <v>725</v>
      </c>
      <c r="E223" s="35" t="s">
        <v>966</v>
      </c>
      <c r="F223" s="36" t="s">
        <v>1180</v>
      </c>
      <c r="G223" s="36" t="s">
        <v>1420</v>
      </c>
      <c r="H223" s="36" t="s">
        <v>1421</v>
      </c>
      <c r="I223" s="36" t="s">
        <v>1421</v>
      </c>
      <c r="J223" s="36" t="s">
        <v>1421</v>
      </c>
      <c r="K223" s="36">
        <v>350</v>
      </c>
      <c r="L223" s="36" t="s">
        <v>1422</v>
      </c>
      <c r="M223" s="49">
        <v>4</v>
      </c>
      <c r="N223" s="37" t="s">
        <v>1638</v>
      </c>
      <c r="O223" s="37"/>
      <c r="P223" s="36">
        <v>1</v>
      </c>
      <c r="Q223" s="36" t="s">
        <v>1933</v>
      </c>
      <c r="R223" s="36" t="s">
        <v>2122</v>
      </c>
      <c r="S223" s="36" t="s">
        <v>1880</v>
      </c>
      <c r="T223" s="36" t="s">
        <v>1991</v>
      </c>
      <c r="U223" s="38">
        <v>45614</v>
      </c>
      <c r="V223" s="39">
        <v>674976</v>
      </c>
      <c r="W223" s="39" t="s">
        <v>2363</v>
      </c>
      <c r="X223" s="39" t="s">
        <v>2363</v>
      </c>
      <c r="Y223" s="40">
        <f t="shared" si="66"/>
        <v>33748.800000000003</v>
      </c>
      <c r="Z223" s="40">
        <f t="shared" si="67"/>
        <v>708724.8</v>
      </c>
      <c r="AA223" s="41" t="str">
        <f t="shared" si="68"/>
        <v>0.0018</v>
      </c>
      <c r="AB223" s="41">
        <f t="shared" si="69"/>
        <v>0</v>
      </c>
      <c r="AC223" s="41">
        <f t="shared" si="70"/>
        <v>0</v>
      </c>
      <c r="AD223" s="41">
        <f t="shared" si="71"/>
        <v>0</v>
      </c>
      <c r="AE223" s="41">
        <f t="shared" si="72"/>
        <v>0</v>
      </c>
      <c r="AF223" s="41">
        <f t="shared" si="73"/>
        <v>0</v>
      </c>
      <c r="AG223" s="41">
        <f t="shared" si="74"/>
        <v>0</v>
      </c>
      <c r="AH223" s="41">
        <f t="shared" si="75"/>
        <v>0</v>
      </c>
      <c r="AI223" s="41">
        <f t="shared" si="76"/>
        <v>43</v>
      </c>
      <c r="AJ223" s="41">
        <f t="shared" si="77"/>
        <v>365</v>
      </c>
      <c r="AK223" s="41">
        <f t="shared" si="78"/>
        <v>181</v>
      </c>
      <c r="AL223" s="42">
        <f t="shared" si="79"/>
        <v>3.3286487671232874</v>
      </c>
      <c r="AM223" s="42">
        <f t="shared" si="80"/>
        <v>602.48542684931499</v>
      </c>
      <c r="AN223" s="43">
        <f t="shared" si="65"/>
        <v>607478.4</v>
      </c>
      <c r="AO223" s="43"/>
      <c r="AP223" s="42">
        <f t="shared" si="81"/>
        <v>101246.40000000002</v>
      </c>
      <c r="AQ223" s="43">
        <v>5</v>
      </c>
      <c r="AR223" s="44">
        <f t="shared" si="82"/>
        <v>0.8571428571428571</v>
      </c>
      <c r="AS223" s="45">
        <f t="shared" si="83"/>
        <v>1928.5028571428572</v>
      </c>
      <c r="AU223" s="1">
        <v>506232.00000000006</v>
      </c>
      <c r="AV223" s="50">
        <v>101246.39999999999</v>
      </c>
    </row>
    <row r="224" spans="1:48" s="1" customFormat="1" ht="37.200000000000003" thickTop="1" thickBot="1" x14ac:dyDescent="0.55000000000000004">
      <c r="A224" s="33">
        <v>217</v>
      </c>
      <c r="B224" s="34" t="s">
        <v>271</v>
      </c>
      <c r="C224" s="34" t="s">
        <v>965</v>
      </c>
      <c r="D224" s="35" t="s">
        <v>726</v>
      </c>
      <c r="E224" s="35" t="s">
        <v>966</v>
      </c>
      <c r="F224" s="36" t="s">
        <v>1181</v>
      </c>
      <c r="G224" s="36" t="s">
        <v>1420</v>
      </c>
      <c r="H224" s="36" t="s">
        <v>1421</v>
      </c>
      <c r="I224" s="36" t="s">
        <v>1421</v>
      </c>
      <c r="J224" s="36" t="s">
        <v>1421</v>
      </c>
      <c r="K224" s="36">
        <v>343.75</v>
      </c>
      <c r="L224" s="36" t="s">
        <v>1422</v>
      </c>
      <c r="M224" s="49">
        <v>4</v>
      </c>
      <c r="N224" s="37" t="s">
        <v>1639</v>
      </c>
      <c r="O224" s="37"/>
      <c r="P224" s="36">
        <v>1</v>
      </c>
      <c r="Q224" s="36" t="s">
        <v>1933</v>
      </c>
      <c r="R224" s="36" t="s">
        <v>2123</v>
      </c>
      <c r="S224" s="36" t="s">
        <v>1880</v>
      </c>
      <c r="T224" s="36" t="s">
        <v>1881</v>
      </c>
      <c r="U224" s="38">
        <v>45614</v>
      </c>
      <c r="V224" s="39">
        <v>645145</v>
      </c>
      <c r="W224" s="39" t="s">
        <v>2363</v>
      </c>
      <c r="X224" s="39" t="s">
        <v>2363</v>
      </c>
      <c r="Y224" s="40">
        <f t="shared" si="66"/>
        <v>32257.25</v>
      </c>
      <c r="Z224" s="40">
        <f t="shared" si="67"/>
        <v>677402.25</v>
      </c>
      <c r="AA224" s="41" t="str">
        <f t="shared" si="68"/>
        <v>0.0018</v>
      </c>
      <c r="AB224" s="41">
        <f t="shared" si="69"/>
        <v>0</v>
      </c>
      <c r="AC224" s="41">
        <f t="shared" si="70"/>
        <v>0</v>
      </c>
      <c r="AD224" s="41">
        <f t="shared" si="71"/>
        <v>0</v>
      </c>
      <c r="AE224" s="41">
        <f t="shared" si="72"/>
        <v>0</v>
      </c>
      <c r="AF224" s="41">
        <f t="shared" si="73"/>
        <v>0</v>
      </c>
      <c r="AG224" s="41">
        <f t="shared" si="74"/>
        <v>0</v>
      </c>
      <c r="AH224" s="41">
        <f t="shared" si="75"/>
        <v>0</v>
      </c>
      <c r="AI224" s="41">
        <f t="shared" si="76"/>
        <v>43</v>
      </c>
      <c r="AJ224" s="41">
        <f t="shared" si="77"/>
        <v>365</v>
      </c>
      <c r="AK224" s="41">
        <f t="shared" si="78"/>
        <v>181</v>
      </c>
      <c r="AL224" s="42">
        <f t="shared" si="79"/>
        <v>3.1815369863013698</v>
      </c>
      <c r="AM224" s="42">
        <f t="shared" si="80"/>
        <v>575.85819452054795</v>
      </c>
      <c r="AN224" s="43">
        <f t="shared" si="65"/>
        <v>580630.5</v>
      </c>
      <c r="AO224" s="43"/>
      <c r="AP224" s="42">
        <f t="shared" si="81"/>
        <v>96771.75</v>
      </c>
      <c r="AQ224" s="43">
        <v>5</v>
      </c>
      <c r="AR224" s="44">
        <f t="shared" si="82"/>
        <v>0.8571428571428571</v>
      </c>
      <c r="AS224" s="45">
        <f t="shared" si="83"/>
        <v>1876.7854545454545</v>
      </c>
      <c r="AU224" s="1">
        <v>483858.75</v>
      </c>
      <c r="AV224" s="50">
        <v>96771.75</v>
      </c>
    </row>
    <row r="225" spans="1:48" s="1" customFormat="1" ht="37.200000000000003" thickTop="1" thickBot="1" x14ac:dyDescent="0.55000000000000004">
      <c r="A225" s="33">
        <v>218</v>
      </c>
      <c r="B225" s="34" t="s">
        <v>272</v>
      </c>
      <c r="C225" s="34" t="s">
        <v>965</v>
      </c>
      <c r="D225" s="35" t="s">
        <v>727</v>
      </c>
      <c r="E225" s="35" t="s">
        <v>966</v>
      </c>
      <c r="F225" s="36" t="s">
        <v>1182</v>
      </c>
      <c r="G225" s="36" t="s">
        <v>1420</v>
      </c>
      <c r="H225" s="36" t="s">
        <v>1421</v>
      </c>
      <c r="I225" s="36" t="s">
        <v>1421</v>
      </c>
      <c r="J225" s="36" t="s">
        <v>1421</v>
      </c>
      <c r="K225" s="36">
        <v>350</v>
      </c>
      <c r="L225" s="36" t="s">
        <v>1422</v>
      </c>
      <c r="M225" s="49">
        <v>4</v>
      </c>
      <c r="N225" s="37" t="s">
        <v>1640</v>
      </c>
      <c r="O225" s="37"/>
      <c r="P225" s="36">
        <v>1</v>
      </c>
      <c r="Q225" s="36" t="s">
        <v>2039</v>
      </c>
      <c r="R225" s="36" t="s">
        <v>2124</v>
      </c>
      <c r="S225" s="36" t="s">
        <v>1880</v>
      </c>
      <c r="T225" s="36" t="s">
        <v>1881</v>
      </c>
      <c r="U225" s="38">
        <v>45614</v>
      </c>
      <c r="V225" s="39">
        <v>673474</v>
      </c>
      <c r="W225" s="39" t="s">
        <v>2363</v>
      </c>
      <c r="X225" s="39" t="s">
        <v>2363</v>
      </c>
      <c r="Y225" s="40">
        <f t="shared" si="66"/>
        <v>33673.699999999997</v>
      </c>
      <c r="Z225" s="40">
        <f t="shared" si="67"/>
        <v>707147.7</v>
      </c>
      <c r="AA225" s="41" t="str">
        <f t="shared" si="68"/>
        <v>0.0018</v>
      </c>
      <c r="AB225" s="41">
        <f t="shared" si="69"/>
        <v>0</v>
      </c>
      <c r="AC225" s="41">
        <f t="shared" si="70"/>
        <v>0</v>
      </c>
      <c r="AD225" s="41">
        <f t="shared" si="71"/>
        <v>0</v>
      </c>
      <c r="AE225" s="41">
        <f t="shared" si="72"/>
        <v>0</v>
      </c>
      <c r="AF225" s="41">
        <f t="shared" si="73"/>
        <v>0</v>
      </c>
      <c r="AG225" s="41">
        <f t="shared" si="74"/>
        <v>0</v>
      </c>
      <c r="AH225" s="41">
        <f t="shared" si="75"/>
        <v>0</v>
      </c>
      <c r="AI225" s="41">
        <f t="shared" si="76"/>
        <v>43</v>
      </c>
      <c r="AJ225" s="41">
        <f t="shared" si="77"/>
        <v>365</v>
      </c>
      <c r="AK225" s="41">
        <f t="shared" si="78"/>
        <v>181</v>
      </c>
      <c r="AL225" s="42">
        <f t="shared" si="79"/>
        <v>3.321241643835616</v>
      </c>
      <c r="AM225" s="42">
        <f t="shared" si="80"/>
        <v>601.14473753424647</v>
      </c>
      <c r="AN225" s="43">
        <f t="shared" si="65"/>
        <v>639800.29999999993</v>
      </c>
      <c r="AO225" s="43"/>
      <c r="AP225" s="42">
        <f t="shared" si="81"/>
        <v>67347.400000000023</v>
      </c>
      <c r="AQ225" s="43">
        <v>6</v>
      </c>
      <c r="AR225" s="44">
        <f t="shared" si="82"/>
        <v>0.90476190476190477</v>
      </c>
      <c r="AS225" s="45">
        <f t="shared" si="83"/>
        <v>1924.2114285714285</v>
      </c>
      <c r="AU225" s="1">
        <v>606126.6</v>
      </c>
      <c r="AV225" s="50">
        <v>33673.699999999997</v>
      </c>
    </row>
    <row r="226" spans="1:48" s="1" customFormat="1" ht="37.200000000000003" thickTop="1" thickBot="1" x14ac:dyDescent="0.55000000000000004">
      <c r="A226" s="33">
        <v>219</v>
      </c>
      <c r="B226" s="34" t="s">
        <v>273</v>
      </c>
      <c r="C226" s="34" t="s">
        <v>965</v>
      </c>
      <c r="D226" s="35" t="s">
        <v>728</v>
      </c>
      <c r="E226" s="35" t="s">
        <v>966</v>
      </c>
      <c r="F226" s="36" t="s">
        <v>1183</v>
      </c>
      <c r="G226" s="36" t="s">
        <v>1420</v>
      </c>
      <c r="H226" s="36" t="s">
        <v>1421</v>
      </c>
      <c r="I226" s="36" t="s">
        <v>1421</v>
      </c>
      <c r="J226" s="36" t="s">
        <v>1421</v>
      </c>
      <c r="K226" s="36">
        <v>375</v>
      </c>
      <c r="L226" s="36" t="s">
        <v>1422</v>
      </c>
      <c r="M226" s="49">
        <v>4</v>
      </c>
      <c r="N226" s="37" t="s">
        <v>1641</v>
      </c>
      <c r="O226" s="37"/>
      <c r="P226" s="36">
        <v>1</v>
      </c>
      <c r="Q226" s="36" t="s">
        <v>2032</v>
      </c>
      <c r="R226" s="36" t="s">
        <v>2125</v>
      </c>
      <c r="S226" s="36" t="s">
        <v>1880</v>
      </c>
      <c r="T226" s="36" t="s">
        <v>1881</v>
      </c>
      <c r="U226" s="38">
        <v>45614</v>
      </c>
      <c r="V226" s="39">
        <v>589339</v>
      </c>
      <c r="W226" s="39" t="s">
        <v>2363</v>
      </c>
      <c r="X226" s="39" t="s">
        <v>2363</v>
      </c>
      <c r="Y226" s="40">
        <f t="shared" si="66"/>
        <v>29466.95</v>
      </c>
      <c r="Z226" s="40">
        <f t="shared" si="67"/>
        <v>618805.94999999995</v>
      </c>
      <c r="AA226" s="41" t="str">
        <f t="shared" si="68"/>
        <v>0.0018</v>
      </c>
      <c r="AB226" s="41">
        <f t="shared" si="69"/>
        <v>0</v>
      </c>
      <c r="AC226" s="41">
        <f t="shared" si="70"/>
        <v>0</v>
      </c>
      <c r="AD226" s="41">
        <f t="shared" si="71"/>
        <v>0</v>
      </c>
      <c r="AE226" s="41">
        <f t="shared" si="72"/>
        <v>0</v>
      </c>
      <c r="AF226" s="41">
        <f t="shared" si="73"/>
        <v>0</v>
      </c>
      <c r="AG226" s="41">
        <f t="shared" si="74"/>
        <v>0</v>
      </c>
      <c r="AH226" s="41">
        <f t="shared" si="75"/>
        <v>0</v>
      </c>
      <c r="AI226" s="41">
        <f t="shared" si="76"/>
        <v>43</v>
      </c>
      <c r="AJ226" s="41">
        <f t="shared" si="77"/>
        <v>365</v>
      </c>
      <c r="AK226" s="41">
        <f t="shared" si="78"/>
        <v>181</v>
      </c>
      <c r="AL226" s="42">
        <f t="shared" si="79"/>
        <v>2.906329315068493</v>
      </c>
      <c r="AM226" s="42">
        <f t="shared" si="80"/>
        <v>526.04560602739718</v>
      </c>
      <c r="AN226" s="43">
        <f t="shared" si="65"/>
        <v>530405.1</v>
      </c>
      <c r="AO226" s="43"/>
      <c r="AP226" s="42">
        <f t="shared" si="81"/>
        <v>88400.849999999977</v>
      </c>
      <c r="AQ226" s="43">
        <v>5</v>
      </c>
      <c r="AR226" s="44">
        <f t="shared" si="82"/>
        <v>0.85714285714285721</v>
      </c>
      <c r="AS226" s="45">
        <f t="shared" si="83"/>
        <v>1571.5706666666667</v>
      </c>
      <c r="AU226" s="1">
        <v>471471.2</v>
      </c>
      <c r="AV226" s="50">
        <v>58933.9</v>
      </c>
    </row>
    <row r="227" spans="1:48" s="1" customFormat="1" ht="37.200000000000003" thickTop="1" thickBot="1" x14ac:dyDescent="0.55000000000000004">
      <c r="A227" s="33">
        <v>220</v>
      </c>
      <c r="B227" s="34" t="s">
        <v>274</v>
      </c>
      <c r="C227" s="34" t="s">
        <v>965</v>
      </c>
      <c r="D227" s="35" t="s">
        <v>729</v>
      </c>
      <c r="E227" s="35" t="s">
        <v>966</v>
      </c>
      <c r="F227" s="36" t="s">
        <v>1184</v>
      </c>
      <c r="G227" s="36" t="s">
        <v>1420</v>
      </c>
      <c r="H227" s="36" t="s">
        <v>1421</v>
      </c>
      <c r="I227" s="36" t="s">
        <v>1421</v>
      </c>
      <c r="J227" s="36" t="s">
        <v>1421</v>
      </c>
      <c r="K227" s="36">
        <v>350</v>
      </c>
      <c r="L227" s="36" t="s">
        <v>1422</v>
      </c>
      <c r="M227" s="49">
        <v>4</v>
      </c>
      <c r="N227" s="37" t="s">
        <v>1642</v>
      </c>
      <c r="O227" s="37"/>
      <c r="P227" s="36">
        <v>1</v>
      </c>
      <c r="Q227" s="36" t="s">
        <v>1898</v>
      </c>
      <c r="R227" s="36" t="s">
        <v>2126</v>
      </c>
      <c r="S227" s="36" t="s">
        <v>1880</v>
      </c>
      <c r="T227" s="36" t="s">
        <v>1883</v>
      </c>
      <c r="U227" s="38">
        <v>45614</v>
      </c>
      <c r="V227" s="39">
        <v>716269.8</v>
      </c>
      <c r="W227" s="39" t="s">
        <v>2363</v>
      </c>
      <c r="X227" s="39" t="s">
        <v>2363</v>
      </c>
      <c r="Y227" s="40">
        <f t="shared" si="66"/>
        <v>35813.49</v>
      </c>
      <c r="Z227" s="40">
        <f t="shared" si="67"/>
        <v>752083.29</v>
      </c>
      <c r="AA227" s="41" t="str">
        <f t="shared" si="68"/>
        <v>0.0022</v>
      </c>
      <c r="AB227" s="41">
        <f t="shared" si="69"/>
        <v>0</v>
      </c>
      <c r="AC227" s="41">
        <f t="shared" si="70"/>
        <v>0</v>
      </c>
      <c r="AD227" s="41">
        <f t="shared" si="71"/>
        <v>0</v>
      </c>
      <c r="AE227" s="41">
        <f t="shared" si="72"/>
        <v>0</v>
      </c>
      <c r="AF227" s="41">
        <f t="shared" si="73"/>
        <v>0</v>
      </c>
      <c r="AG227" s="41">
        <f t="shared" si="74"/>
        <v>0</v>
      </c>
      <c r="AH227" s="41">
        <f t="shared" si="75"/>
        <v>0</v>
      </c>
      <c r="AI227" s="41">
        <f t="shared" si="76"/>
        <v>43</v>
      </c>
      <c r="AJ227" s="41">
        <f t="shared" si="77"/>
        <v>365</v>
      </c>
      <c r="AK227" s="41">
        <f t="shared" si="78"/>
        <v>181</v>
      </c>
      <c r="AL227" s="42">
        <f t="shared" si="79"/>
        <v>4.3172426301369873</v>
      </c>
      <c r="AM227" s="42">
        <f t="shared" si="80"/>
        <v>781.4209160547947</v>
      </c>
      <c r="AN227" s="43">
        <f t="shared" si="65"/>
        <v>680456.37999999989</v>
      </c>
      <c r="AO227" s="43"/>
      <c r="AP227" s="42">
        <f t="shared" si="81"/>
        <v>71626.910000000149</v>
      </c>
      <c r="AQ227" s="43">
        <v>6</v>
      </c>
      <c r="AR227" s="44">
        <f t="shared" si="82"/>
        <v>0.90476199783670219</v>
      </c>
      <c r="AS227" s="45">
        <f t="shared" si="83"/>
        <v>2046.485142857143</v>
      </c>
      <c r="AU227" s="1">
        <v>644642.87999999989</v>
      </c>
      <c r="AV227" s="50">
        <v>35813.5</v>
      </c>
    </row>
    <row r="228" spans="1:48" s="1" customFormat="1" ht="37.200000000000003" thickTop="1" thickBot="1" x14ac:dyDescent="0.55000000000000004">
      <c r="A228" s="33">
        <v>221</v>
      </c>
      <c r="B228" s="34" t="s">
        <v>275</v>
      </c>
      <c r="C228" s="34" t="s">
        <v>965</v>
      </c>
      <c r="D228" s="35" t="s">
        <v>730</v>
      </c>
      <c r="E228" s="35" t="s">
        <v>966</v>
      </c>
      <c r="F228" s="36" t="s">
        <v>1185</v>
      </c>
      <c r="G228" s="36" t="s">
        <v>1420</v>
      </c>
      <c r="H228" s="36" t="s">
        <v>1421</v>
      </c>
      <c r="I228" s="36" t="s">
        <v>1421</v>
      </c>
      <c r="J228" s="36" t="s">
        <v>1421</v>
      </c>
      <c r="K228" s="36">
        <v>375</v>
      </c>
      <c r="L228" s="36" t="s">
        <v>1422</v>
      </c>
      <c r="M228" s="49">
        <v>4</v>
      </c>
      <c r="N228" s="37" t="s">
        <v>1643</v>
      </c>
      <c r="O228" s="37"/>
      <c r="P228" s="36">
        <v>1</v>
      </c>
      <c r="Q228" s="36" t="s">
        <v>1962</v>
      </c>
      <c r="R228" s="36" t="s">
        <v>2127</v>
      </c>
      <c r="S228" s="36" t="s">
        <v>1880</v>
      </c>
      <c r="T228" s="36" t="s">
        <v>1883</v>
      </c>
      <c r="U228" s="38">
        <v>45615</v>
      </c>
      <c r="V228" s="39">
        <v>676974</v>
      </c>
      <c r="W228" s="39" t="s">
        <v>2363</v>
      </c>
      <c r="X228" s="39" t="s">
        <v>2363</v>
      </c>
      <c r="Y228" s="40">
        <f t="shared" si="66"/>
        <v>33848.699999999997</v>
      </c>
      <c r="Z228" s="40">
        <f t="shared" si="67"/>
        <v>710822.7</v>
      </c>
      <c r="AA228" s="41" t="str">
        <f t="shared" si="68"/>
        <v>0.0018</v>
      </c>
      <c r="AB228" s="41">
        <f t="shared" si="69"/>
        <v>0</v>
      </c>
      <c r="AC228" s="41">
        <f t="shared" si="70"/>
        <v>0</v>
      </c>
      <c r="AD228" s="41">
        <f t="shared" si="71"/>
        <v>0</v>
      </c>
      <c r="AE228" s="41">
        <f t="shared" si="72"/>
        <v>0</v>
      </c>
      <c r="AF228" s="41">
        <f t="shared" si="73"/>
        <v>0</v>
      </c>
      <c r="AG228" s="41">
        <f t="shared" si="74"/>
        <v>0</v>
      </c>
      <c r="AH228" s="41">
        <f t="shared" si="75"/>
        <v>0</v>
      </c>
      <c r="AI228" s="41">
        <f t="shared" si="76"/>
        <v>42</v>
      </c>
      <c r="AJ228" s="41">
        <f t="shared" si="77"/>
        <v>365</v>
      </c>
      <c r="AK228" s="41">
        <f t="shared" si="78"/>
        <v>181</v>
      </c>
      <c r="AL228" s="42">
        <f t="shared" si="79"/>
        <v>3.3385019178082191</v>
      </c>
      <c r="AM228" s="42">
        <f t="shared" si="80"/>
        <v>604.26884712328763</v>
      </c>
      <c r="AN228" s="43">
        <f t="shared" si="65"/>
        <v>643125.29999999993</v>
      </c>
      <c r="AO228" s="43"/>
      <c r="AP228" s="42">
        <f t="shared" si="81"/>
        <v>67697.400000000023</v>
      </c>
      <c r="AQ228" s="43">
        <v>6</v>
      </c>
      <c r="AR228" s="44">
        <f t="shared" si="82"/>
        <v>0.90476190476190477</v>
      </c>
      <c r="AS228" s="45">
        <f t="shared" si="83"/>
        <v>1805.2639999999999</v>
      </c>
      <c r="AU228" s="1">
        <v>609276.6</v>
      </c>
      <c r="AV228" s="50">
        <v>33848.699999999997</v>
      </c>
    </row>
    <row r="229" spans="1:48" s="1" customFormat="1" ht="37.200000000000003" thickTop="1" thickBot="1" x14ac:dyDescent="0.55000000000000004">
      <c r="A229" s="33">
        <v>222</v>
      </c>
      <c r="B229" s="34" t="s">
        <v>276</v>
      </c>
      <c r="C229" s="34" t="s">
        <v>965</v>
      </c>
      <c r="D229" s="35" t="s">
        <v>731</v>
      </c>
      <c r="E229" s="35" t="s">
        <v>966</v>
      </c>
      <c r="F229" s="36" t="s">
        <v>1186</v>
      </c>
      <c r="G229" s="36" t="s">
        <v>1420</v>
      </c>
      <c r="H229" s="36" t="s">
        <v>1421</v>
      </c>
      <c r="I229" s="36" t="s">
        <v>1421</v>
      </c>
      <c r="J229" s="36" t="s">
        <v>1421</v>
      </c>
      <c r="K229" s="36">
        <v>375</v>
      </c>
      <c r="L229" s="36" t="s">
        <v>1422</v>
      </c>
      <c r="M229" s="49">
        <v>4</v>
      </c>
      <c r="N229" s="37" t="s">
        <v>1644</v>
      </c>
      <c r="O229" s="37"/>
      <c r="P229" s="36">
        <v>1</v>
      </c>
      <c r="Q229" s="36" t="s">
        <v>1954</v>
      </c>
      <c r="R229" s="36" t="s">
        <v>2128</v>
      </c>
      <c r="S229" s="36" t="s">
        <v>1880</v>
      </c>
      <c r="T229" s="36" t="s">
        <v>1881</v>
      </c>
      <c r="U229" s="38">
        <v>45615</v>
      </c>
      <c r="V229" s="39">
        <v>589349</v>
      </c>
      <c r="W229" s="39" t="s">
        <v>2363</v>
      </c>
      <c r="X229" s="39" t="s">
        <v>2363</v>
      </c>
      <c r="Y229" s="40">
        <f t="shared" si="66"/>
        <v>29467.45</v>
      </c>
      <c r="Z229" s="40">
        <f t="shared" si="67"/>
        <v>618816.44999999995</v>
      </c>
      <c r="AA229" s="41" t="str">
        <f t="shared" si="68"/>
        <v>0.0018</v>
      </c>
      <c r="AB229" s="41">
        <f t="shared" si="69"/>
        <v>0</v>
      </c>
      <c r="AC229" s="41">
        <f t="shared" si="70"/>
        <v>0</v>
      </c>
      <c r="AD229" s="41">
        <f t="shared" si="71"/>
        <v>0</v>
      </c>
      <c r="AE229" s="41">
        <f t="shared" si="72"/>
        <v>0</v>
      </c>
      <c r="AF229" s="41">
        <f t="shared" si="73"/>
        <v>0</v>
      </c>
      <c r="AG229" s="41">
        <f t="shared" si="74"/>
        <v>0</v>
      </c>
      <c r="AH229" s="41">
        <f t="shared" si="75"/>
        <v>0</v>
      </c>
      <c r="AI229" s="41">
        <f t="shared" si="76"/>
        <v>42</v>
      </c>
      <c r="AJ229" s="41">
        <f t="shared" si="77"/>
        <v>365</v>
      </c>
      <c r="AK229" s="41">
        <f t="shared" si="78"/>
        <v>181</v>
      </c>
      <c r="AL229" s="42">
        <f t="shared" si="79"/>
        <v>2.9063786301369863</v>
      </c>
      <c r="AM229" s="42">
        <f t="shared" si="80"/>
        <v>526.05453205479455</v>
      </c>
      <c r="AN229" s="43">
        <f t="shared" si="65"/>
        <v>559881.55000000005</v>
      </c>
      <c r="AO229" s="43"/>
      <c r="AP229" s="42">
        <f t="shared" si="81"/>
        <v>58934.899999999907</v>
      </c>
      <c r="AQ229" s="43">
        <v>5</v>
      </c>
      <c r="AR229" s="44">
        <f t="shared" si="82"/>
        <v>0.90476190476190488</v>
      </c>
      <c r="AS229" s="45">
        <f t="shared" si="83"/>
        <v>1571.5973333333334</v>
      </c>
      <c r="AU229" s="1">
        <v>559881.55000000005</v>
      </c>
      <c r="AV229" s="50">
        <v>0</v>
      </c>
    </row>
    <row r="230" spans="1:48" s="1" customFormat="1" ht="37.200000000000003" thickTop="1" thickBot="1" x14ac:dyDescent="0.55000000000000004">
      <c r="A230" s="33">
        <v>223</v>
      </c>
      <c r="B230" s="34" t="s">
        <v>277</v>
      </c>
      <c r="C230" s="34" t="s">
        <v>965</v>
      </c>
      <c r="D230" s="35" t="s">
        <v>732</v>
      </c>
      <c r="E230" s="35" t="s">
        <v>966</v>
      </c>
      <c r="F230" s="36" t="s">
        <v>1187</v>
      </c>
      <c r="G230" s="36" t="s">
        <v>1420</v>
      </c>
      <c r="H230" s="36" t="s">
        <v>1421</v>
      </c>
      <c r="I230" s="36" t="s">
        <v>1421</v>
      </c>
      <c r="J230" s="36" t="s">
        <v>1421</v>
      </c>
      <c r="K230" s="36">
        <v>375</v>
      </c>
      <c r="L230" s="36" t="s">
        <v>1422</v>
      </c>
      <c r="M230" s="49">
        <v>4</v>
      </c>
      <c r="N230" s="37" t="s">
        <v>1645</v>
      </c>
      <c r="O230" s="37"/>
      <c r="P230" s="36">
        <v>1</v>
      </c>
      <c r="Q230" s="36" t="s">
        <v>1931</v>
      </c>
      <c r="R230" s="36" t="s">
        <v>2129</v>
      </c>
      <c r="S230" s="36" t="s">
        <v>1880</v>
      </c>
      <c r="T230" s="36" t="s">
        <v>1881</v>
      </c>
      <c r="U230" s="38">
        <v>45615</v>
      </c>
      <c r="V230" s="39">
        <v>605543</v>
      </c>
      <c r="W230" s="39" t="s">
        <v>2363</v>
      </c>
      <c r="X230" s="39" t="s">
        <v>2363</v>
      </c>
      <c r="Y230" s="40">
        <f t="shared" si="66"/>
        <v>30277.15</v>
      </c>
      <c r="Z230" s="40">
        <f t="shared" si="67"/>
        <v>635820.15</v>
      </c>
      <c r="AA230" s="41" t="str">
        <f t="shared" si="68"/>
        <v>0.0018</v>
      </c>
      <c r="AB230" s="41">
        <f t="shared" si="69"/>
        <v>0</v>
      </c>
      <c r="AC230" s="41">
        <f t="shared" si="70"/>
        <v>0</v>
      </c>
      <c r="AD230" s="41">
        <f t="shared" si="71"/>
        <v>0</v>
      </c>
      <c r="AE230" s="41">
        <f t="shared" si="72"/>
        <v>0</v>
      </c>
      <c r="AF230" s="41">
        <f t="shared" si="73"/>
        <v>0</v>
      </c>
      <c r="AG230" s="41">
        <f t="shared" si="74"/>
        <v>0</v>
      </c>
      <c r="AH230" s="41">
        <f t="shared" si="75"/>
        <v>0</v>
      </c>
      <c r="AI230" s="41">
        <f t="shared" si="76"/>
        <v>42</v>
      </c>
      <c r="AJ230" s="41">
        <f t="shared" si="77"/>
        <v>365</v>
      </c>
      <c r="AK230" s="41">
        <f t="shared" si="78"/>
        <v>181</v>
      </c>
      <c r="AL230" s="42">
        <f t="shared" si="79"/>
        <v>2.9862394520547944</v>
      </c>
      <c r="AM230" s="42">
        <f t="shared" si="80"/>
        <v>540.50934082191782</v>
      </c>
      <c r="AN230" s="43">
        <f t="shared" si="65"/>
        <v>575265.85</v>
      </c>
      <c r="AO230" s="43"/>
      <c r="AP230" s="42">
        <f t="shared" si="81"/>
        <v>60554.300000000047</v>
      </c>
      <c r="AQ230" s="43">
        <v>5</v>
      </c>
      <c r="AR230" s="44">
        <f t="shared" si="82"/>
        <v>0.90476190476190466</v>
      </c>
      <c r="AS230" s="45">
        <f t="shared" si="83"/>
        <v>1614.7813333333334</v>
      </c>
      <c r="AU230" s="1">
        <v>484434.4</v>
      </c>
      <c r="AV230" s="50">
        <v>90831.45</v>
      </c>
    </row>
    <row r="231" spans="1:48" s="1" customFormat="1" ht="37.200000000000003" thickTop="1" thickBot="1" x14ac:dyDescent="0.55000000000000004">
      <c r="A231" s="33">
        <v>224</v>
      </c>
      <c r="B231" s="34" t="s">
        <v>278</v>
      </c>
      <c r="C231" s="34" t="s">
        <v>965</v>
      </c>
      <c r="D231" s="35" t="s">
        <v>733</v>
      </c>
      <c r="E231" s="35" t="s">
        <v>966</v>
      </c>
      <c r="F231" s="36" t="s">
        <v>1188</v>
      </c>
      <c r="G231" s="36" t="s">
        <v>1420</v>
      </c>
      <c r="H231" s="36" t="s">
        <v>1421</v>
      </c>
      <c r="I231" s="36" t="s">
        <v>1421</v>
      </c>
      <c r="J231" s="36" t="s">
        <v>1421</v>
      </c>
      <c r="K231" s="36">
        <v>350</v>
      </c>
      <c r="L231" s="36" t="s">
        <v>1422</v>
      </c>
      <c r="M231" s="49">
        <v>4</v>
      </c>
      <c r="N231" s="37" t="s">
        <v>1646</v>
      </c>
      <c r="O231" s="37"/>
      <c r="P231" s="36">
        <v>1</v>
      </c>
      <c r="Q231" s="36" t="s">
        <v>2039</v>
      </c>
      <c r="R231" s="36" t="s">
        <v>2130</v>
      </c>
      <c r="S231" s="36" t="s">
        <v>1880</v>
      </c>
      <c r="T231" s="36" t="s">
        <v>1881</v>
      </c>
      <c r="U231" s="38">
        <v>45615</v>
      </c>
      <c r="V231" s="39">
        <v>783250</v>
      </c>
      <c r="W231" s="39" t="s">
        <v>2363</v>
      </c>
      <c r="X231" s="39" t="s">
        <v>2363</v>
      </c>
      <c r="Y231" s="40">
        <f t="shared" si="66"/>
        <v>39162.5</v>
      </c>
      <c r="Z231" s="40">
        <f t="shared" si="67"/>
        <v>822412.5</v>
      </c>
      <c r="AA231" s="41" t="str">
        <f t="shared" si="68"/>
        <v>0.0022</v>
      </c>
      <c r="AB231" s="41">
        <f t="shared" si="69"/>
        <v>0</v>
      </c>
      <c r="AC231" s="41">
        <f t="shared" si="70"/>
        <v>0</v>
      </c>
      <c r="AD231" s="41">
        <f t="shared" si="71"/>
        <v>0</v>
      </c>
      <c r="AE231" s="41">
        <f t="shared" si="72"/>
        <v>0</v>
      </c>
      <c r="AF231" s="41">
        <f t="shared" si="73"/>
        <v>0</v>
      </c>
      <c r="AG231" s="41">
        <f t="shared" si="74"/>
        <v>0</v>
      </c>
      <c r="AH231" s="41">
        <f t="shared" si="75"/>
        <v>0</v>
      </c>
      <c r="AI231" s="41">
        <f t="shared" si="76"/>
        <v>42</v>
      </c>
      <c r="AJ231" s="41">
        <f t="shared" si="77"/>
        <v>365</v>
      </c>
      <c r="AK231" s="41">
        <f t="shared" si="78"/>
        <v>181</v>
      </c>
      <c r="AL231" s="42">
        <f t="shared" si="79"/>
        <v>4.7209589041095894</v>
      </c>
      <c r="AM231" s="42">
        <f t="shared" si="80"/>
        <v>854.49356164383573</v>
      </c>
      <c r="AN231" s="43">
        <f t="shared" si="65"/>
        <v>744087.5</v>
      </c>
      <c r="AO231" s="43"/>
      <c r="AP231" s="42">
        <f t="shared" si="81"/>
        <v>78325</v>
      </c>
      <c r="AQ231" s="43">
        <v>6</v>
      </c>
      <c r="AR231" s="44">
        <f t="shared" si="82"/>
        <v>0.90476190476190477</v>
      </c>
      <c r="AS231" s="45">
        <f t="shared" si="83"/>
        <v>2237.8571428571427</v>
      </c>
      <c r="AU231" s="1">
        <v>704925</v>
      </c>
      <c r="AV231" s="50">
        <v>39162.5</v>
      </c>
    </row>
    <row r="232" spans="1:48" s="1" customFormat="1" ht="37.200000000000003" thickTop="1" thickBot="1" x14ac:dyDescent="0.55000000000000004">
      <c r="A232" s="33">
        <v>225</v>
      </c>
      <c r="B232" s="34" t="s">
        <v>279</v>
      </c>
      <c r="C232" s="34" t="s">
        <v>965</v>
      </c>
      <c r="D232" s="35" t="s">
        <v>734</v>
      </c>
      <c r="E232" s="35" t="s">
        <v>966</v>
      </c>
      <c r="F232" s="36" t="s">
        <v>1189</v>
      </c>
      <c r="G232" s="36" t="s">
        <v>1420</v>
      </c>
      <c r="H232" s="36" t="s">
        <v>1421</v>
      </c>
      <c r="I232" s="36" t="s">
        <v>1421</v>
      </c>
      <c r="J232" s="36" t="s">
        <v>1421</v>
      </c>
      <c r="K232" s="36">
        <v>350</v>
      </c>
      <c r="L232" s="36" t="s">
        <v>1422</v>
      </c>
      <c r="M232" s="49">
        <v>4</v>
      </c>
      <c r="N232" s="37" t="s">
        <v>1647</v>
      </c>
      <c r="O232" s="37"/>
      <c r="P232" s="36">
        <v>1</v>
      </c>
      <c r="Q232" s="36" t="s">
        <v>1915</v>
      </c>
      <c r="R232" s="36" t="s">
        <v>2131</v>
      </c>
      <c r="S232" s="36" t="s">
        <v>1880</v>
      </c>
      <c r="T232" s="36" t="s">
        <v>1881</v>
      </c>
      <c r="U232" s="38">
        <v>45615</v>
      </c>
      <c r="V232" s="39">
        <v>601594</v>
      </c>
      <c r="W232" s="39" t="s">
        <v>2363</v>
      </c>
      <c r="X232" s="39" t="s">
        <v>2363</v>
      </c>
      <c r="Y232" s="40">
        <f t="shared" si="66"/>
        <v>30079.7</v>
      </c>
      <c r="Z232" s="40">
        <f t="shared" si="67"/>
        <v>631673.69999999995</v>
      </c>
      <c r="AA232" s="41" t="str">
        <f t="shared" si="68"/>
        <v>0.0018</v>
      </c>
      <c r="AB232" s="41">
        <f t="shared" si="69"/>
        <v>0</v>
      </c>
      <c r="AC232" s="41">
        <f t="shared" si="70"/>
        <v>0</v>
      </c>
      <c r="AD232" s="41">
        <f t="shared" si="71"/>
        <v>0</v>
      </c>
      <c r="AE232" s="41">
        <f t="shared" si="72"/>
        <v>0</v>
      </c>
      <c r="AF232" s="41">
        <f t="shared" si="73"/>
        <v>0</v>
      </c>
      <c r="AG232" s="41">
        <f t="shared" si="74"/>
        <v>0</v>
      </c>
      <c r="AH232" s="41">
        <f t="shared" si="75"/>
        <v>0</v>
      </c>
      <c r="AI232" s="41">
        <f t="shared" si="76"/>
        <v>42</v>
      </c>
      <c r="AJ232" s="41">
        <f t="shared" si="77"/>
        <v>365</v>
      </c>
      <c r="AK232" s="41">
        <f t="shared" si="78"/>
        <v>181</v>
      </c>
      <c r="AL232" s="42">
        <f t="shared" si="79"/>
        <v>2.9667649315068489</v>
      </c>
      <c r="AM232" s="42">
        <f t="shared" si="80"/>
        <v>536.98445260273968</v>
      </c>
      <c r="AN232" s="43">
        <f t="shared" si="65"/>
        <v>571514.29999999993</v>
      </c>
      <c r="AO232" s="43"/>
      <c r="AP232" s="42">
        <f t="shared" si="81"/>
        <v>60159.400000000023</v>
      </c>
      <c r="AQ232" s="43">
        <v>6</v>
      </c>
      <c r="AR232" s="44">
        <f t="shared" si="82"/>
        <v>0.90476190476190477</v>
      </c>
      <c r="AS232" s="45">
        <f t="shared" si="83"/>
        <v>1718.84</v>
      </c>
      <c r="AU232" s="1">
        <v>541434.6</v>
      </c>
      <c r="AV232" s="50">
        <v>30079.7</v>
      </c>
    </row>
    <row r="233" spans="1:48" s="1" customFormat="1" ht="37.200000000000003" thickTop="1" thickBot="1" x14ac:dyDescent="0.55000000000000004">
      <c r="A233" s="33">
        <v>226</v>
      </c>
      <c r="B233" s="34" t="s">
        <v>280</v>
      </c>
      <c r="C233" s="34" t="s">
        <v>965</v>
      </c>
      <c r="D233" s="35" t="s">
        <v>735</v>
      </c>
      <c r="E233" s="35" t="s">
        <v>966</v>
      </c>
      <c r="F233" s="36" t="s">
        <v>1190</v>
      </c>
      <c r="G233" s="36" t="s">
        <v>1420</v>
      </c>
      <c r="H233" s="36" t="s">
        <v>1421</v>
      </c>
      <c r="I233" s="36" t="s">
        <v>1421</v>
      </c>
      <c r="J233" s="36" t="s">
        <v>1421</v>
      </c>
      <c r="K233" s="36">
        <v>375</v>
      </c>
      <c r="L233" s="36" t="s">
        <v>1422</v>
      </c>
      <c r="M233" s="49">
        <v>4</v>
      </c>
      <c r="N233" s="37" t="s">
        <v>1648</v>
      </c>
      <c r="O233" s="37"/>
      <c r="P233" s="36">
        <v>1</v>
      </c>
      <c r="Q233" s="36" t="s">
        <v>1943</v>
      </c>
      <c r="R233" s="36" t="s">
        <v>2132</v>
      </c>
      <c r="S233" s="36" t="s">
        <v>1880</v>
      </c>
      <c r="T233" s="36" t="s">
        <v>1881</v>
      </c>
      <c r="U233" s="38">
        <v>45615</v>
      </c>
      <c r="V233" s="39">
        <v>589349</v>
      </c>
      <c r="W233" s="39" t="s">
        <v>2363</v>
      </c>
      <c r="X233" s="39" t="s">
        <v>2363</v>
      </c>
      <c r="Y233" s="40">
        <f t="shared" si="66"/>
        <v>29467.45</v>
      </c>
      <c r="Z233" s="40">
        <f t="shared" si="67"/>
        <v>618816.44999999995</v>
      </c>
      <c r="AA233" s="41" t="str">
        <f t="shared" si="68"/>
        <v>0.0018</v>
      </c>
      <c r="AB233" s="41">
        <f t="shared" si="69"/>
        <v>0</v>
      </c>
      <c r="AC233" s="41">
        <f t="shared" si="70"/>
        <v>0</v>
      </c>
      <c r="AD233" s="41">
        <f t="shared" si="71"/>
        <v>0</v>
      </c>
      <c r="AE233" s="41">
        <f t="shared" si="72"/>
        <v>0</v>
      </c>
      <c r="AF233" s="41">
        <f t="shared" si="73"/>
        <v>0</v>
      </c>
      <c r="AG233" s="41">
        <f t="shared" si="74"/>
        <v>0</v>
      </c>
      <c r="AH233" s="41">
        <f t="shared" si="75"/>
        <v>0</v>
      </c>
      <c r="AI233" s="41">
        <f t="shared" si="76"/>
        <v>42</v>
      </c>
      <c r="AJ233" s="41">
        <f t="shared" si="77"/>
        <v>365</v>
      </c>
      <c r="AK233" s="41">
        <f t="shared" si="78"/>
        <v>181</v>
      </c>
      <c r="AL233" s="42">
        <f t="shared" si="79"/>
        <v>2.9063786301369863</v>
      </c>
      <c r="AM233" s="42">
        <f t="shared" si="80"/>
        <v>526.05453205479455</v>
      </c>
      <c r="AN233" s="43">
        <f t="shared" si="65"/>
        <v>559881.54999999993</v>
      </c>
      <c r="AO233" s="43"/>
      <c r="AP233" s="42">
        <f t="shared" si="81"/>
        <v>58934.900000000023</v>
      </c>
      <c r="AQ233" s="43">
        <v>6</v>
      </c>
      <c r="AR233" s="44">
        <f t="shared" si="82"/>
        <v>0.90476190476190477</v>
      </c>
      <c r="AS233" s="45">
        <f t="shared" si="83"/>
        <v>1571.5973333333334</v>
      </c>
      <c r="AU233" s="1">
        <v>530414.1</v>
      </c>
      <c r="AV233" s="50">
        <v>29467.45</v>
      </c>
    </row>
    <row r="234" spans="1:48" s="1" customFormat="1" ht="37.200000000000003" thickTop="1" thickBot="1" x14ac:dyDescent="0.55000000000000004">
      <c r="A234" s="33">
        <v>227</v>
      </c>
      <c r="B234" s="34" t="s">
        <v>281</v>
      </c>
      <c r="C234" s="34" t="s">
        <v>965</v>
      </c>
      <c r="D234" s="35" t="s">
        <v>736</v>
      </c>
      <c r="E234" s="35" t="s">
        <v>966</v>
      </c>
      <c r="F234" s="36" t="s">
        <v>1191</v>
      </c>
      <c r="G234" s="36" t="s">
        <v>1420</v>
      </c>
      <c r="H234" s="36" t="s">
        <v>1421</v>
      </c>
      <c r="I234" s="36" t="s">
        <v>1421</v>
      </c>
      <c r="J234" s="36" t="s">
        <v>1421</v>
      </c>
      <c r="K234" s="36">
        <v>362.5</v>
      </c>
      <c r="L234" s="36" t="s">
        <v>1422</v>
      </c>
      <c r="M234" s="49">
        <v>4</v>
      </c>
      <c r="N234" s="37" t="s">
        <v>1649</v>
      </c>
      <c r="O234" s="37"/>
      <c r="P234" s="36">
        <v>1</v>
      </c>
      <c r="Q234" s="36" t="s">
        <v>1964</v>
      </c>
      <c r="R234" s="36" t="s">
        <v>2133</v>
      </c>
      <c r="S234" s="36" t="s">
        <v>1880</v>
      </c>
      <c r="T234" s="36" t="s">
        <v>1881</v>
      </c>
      <c r="U234" s="38">
        <v>45616</v>
      </c>
      <c r="V234" s="39">
        <v>584525</v>
      </c>
      <c r="W234" s="39" t="s">
        <v>2363</v>
      </c>
      <c r="X234" s="39" t="s">
        <v>2363</v>
      </c>
      <c r="Y234" s="40">
        <f t="shared" si="66"/>
        <v>29226.25</v>
      </c>
      <c r="Z234" s="40">
        <f t="shared" si="67"/>
        <v>613751.25</v>
      </c>
      <c r="AA234" s="41" t="str">
        <f t="shared" si="68"/>
        <v>0.0018</v>
      </c>
      <c r="AB234" s="41">
        <f t="shared" si="69"/>
        <v>0</v>
      </c>
      <c r="AC234" s="41">
        <f t="shared" si="70"/>
        <v>0</v>
      </c>
      <c r="AD234" s="41">
        <f t="shared" si="71"/>
        <v>0</v>
      </c>
      <c r="AE234" s="41">
        <f t="shared" si="72"/>
        <v>0</v>
      </c>
      <c r="AF234" s="41">
        <f t="shared" si="73"/>
        <v>0</v>
      </c>
      <c r="AG234" s="41">
        <f t="shared" si="74"/>
        <v>0</v>
      </c>
      <c r="AH234" s="41">
        <f t="shared" si="75"/>
        <v>0</v>
      </c>
      <c r="AI234" s="41">
        <f t="shared" si="76"/>
        <v>41</v>
      </c>
      <c r="AJ234" s="41">
        <f t="shared" si="77"/>
        <v>365</v>
      </c>
      <c r="AK234" s="41">
        <f t="shared" si="78"/>
        <v>181</v>
      </c>
      <c r="AL234" s="42">
        <f t="shared" si="79"/>
        <v>2.8825890410958905</v>
      </c>
      <c r="AM234" s="42">
        <f t="shared" si="80"/>
        <v>521.74861643835618</v>
      </c>
      <c r="AN234" s="43">
        <f t="shared" si="65"/>
        <v>555298.75</v>
      </c>
      <c r="AO234" s="43"/>
      <c r="AP234" s="42">
        <f t="shared" si="81"/>
        <v>58452.5</v>
      </c>
      <c r="AQ234" s="43">
        <v>6</v>
      </c>
      <c r="AR234" s="44">
        <f t="shared" si="82"/>
        <v>0.90476190476190477</v>
      </c>
      <c r="AS234" s="45">
        <f t="shared" si="83"/>
        <v>1612.4827586206898</v>
      </c>
      <c r="AU234" s="1">
        <v>526072.5</v>
      </c>
      <c r="AV234" s="50">
        <v>29226.25</v>
      </c>
    </row>
    <row r="235" spans="1:48" s="1" customFormat="1" ht="37.200000000000003" thickTop="1" thickBot="1" x14ac:dyDescent="0.55000000000000004">
      <c r="A235" s="33">
        <v>228</v>
      </c>
      <c r="B235" s="34" t="s">
        <v>282</v>
      </c>
      <c r="C235" s="34" t="s">
        <v>965</v>
      </c>
      <c r="D235" s="35" t="s">
        <v>737</v>
      </c>
      <c r="E235" s="35" t="s">
        <v>966</v>
      </c>
      <c r="F235" s="36" t="s">
        <v>1192</v>
      </c>
      <c r="G235" s="36" t="s">
        <v>1420</v>
      </c>
      <c r="H235" s="36" t="s">
        <v>1421</v>
      </c>
      <c r="I235" s="36" t="s">
        <v>1421</v>
      </c>
      <c r="J235" s="36" t="s">
        <v>1421</v>
      </c>
      <c r="K235" s="36">
        <v>350</v>
      </c>
      <c r="L235" s="36" t="s">
        <v>1422</v>
      </c>
      <c r="M235" s="49">
        <v>4</v>
      </c>
      <c r="N235" s="37" t="s">
        <v>1650</v>
      </c>
      <c r="O235" s="37"/>
      <c r="P235" s="36">
        <v>1</v>
      </c>
      <c r="Q235" s="36" t="s">
        <v>1995</v>
      </c>
      <c r="R235" s="36" t="s">
        <v>2134</v>
      </c>
      <c r="S235" s="36" t="s">
        <v>1880</v>
      </c>
      <c r="T235" s="36" t="s">
        <v>1901</v>
      </c>
      <c r="U235" s="38">
        <v>45616</v>
      </c>
      <c r="V235" s="39">
        <v>715976</v>
      </c>
      <c r="W235" s="39" t="s">
        <v>2363</v>
      </c>
      <c r="X235" s="39" t="s">
        <v>2363</v>
      </c>
      <c r="Y235" s="40">
        <f t="shared" si="66"/>
        <v>35798.800000000003</v>
      </c>
      <c r="Z235" s="40">
        <f t="shared" si="67"/>
        <v>751774.8</v>
      </c>
      <c r="AA235" s="41" t="str">
        <f t="shared" si="68"/>
        <v>0.0022</v>
      </c>
      <c r="AB235" s="41">
        <f t="shared" si="69"/>
        <v>0</v>
      </c>
      <c r="AC235" s="41">
        <f t="shared" si="70"/>
        <v>0</v>
      </c>
      <c r="AD235" s="41">
        <f t="shared" si="71"/>
        <v>0</v>
      </c>
      <c r="AE235" s="41">
        <f t="shared" si="72"/>
        <v>0</v>
      </c>
      <c r="AF235" s="41">
        <f t="shared" si="73"/>
        <v>0</v>
      </c>
      <c r="AG235" s="41">
        <f t="shared" si="74"/>
        <v>0</v>
      </c>
      <c r="AH235" s="41">
        <f t="shared" si="75"/>
        <v>0</v>
      </c>
      <c r="AI235" s="41">
        <f t="shared" si="76"/>
        <v>41</v>
      </c>
      <c r="AJ235" s="41">
        <f t="shared" si="77"/>
        <v>365</v>
      </c>
      <c r="AK235" s="41">
        <f t="shared" si="78"/>
        <v>181</v>
      </c>
      <c r="AL235" s="42">
        <f t="shared" si="79"/>
        <v>4.3154717808219178</v>
      </c>
      <c r="AM235" s="42">
        <f t="shared" si="80"/>
        <v>781.10039232876716</v>
      </c>
      <c r="AN235" s="43">
        <f t="shared" si="65"/>
        <v>680177.20000000007</v>
      </c>
      <c r="AO235" s="43"/>
      <c r="AP235" s="42">
        <f t="shared" si="81"/>
        <v>71597.599999999977</v>
      </c>
      <c r="AQ235" s="43">
        <v>6</v>
      </c>
      <c r="AR235" s="44">
        <f t="shared" si="82"/>
        <v>0.90476190476190477</v>
      </c>
      <c r="AS235" s="45">
        <f t="shared" si="83"/>
        <v>2045.6457142857143</v>
      </c>
      <c r="AU235" s="1">
        <v>644378.4</v>
      </c>
      <c r="AV235" s="50">
        <v>35798.800000000003</v>
      </c>
    </row>
    <row r="236" spans="1:48" s="1" customFormat="1" ht="37.200000000000003" thickTop="1" thickBot="1" x14ac:dyDescent="0.55000000000000004">
      <c r="A236" s="33">
        <v>229</v>
      </c>
      <c r="B236" s="34" t="s">
        <v>283</v>
      </c>
      <c r="C236" s="34" t="s">
        <v>965</v>
      </c>
      <c r="D236" s="35" t="s">
        <v>738</v>
      </c>
      <c r="E236" s="35" t="s">
        <v>966</v>
      </c>
      <c r="F236" s="36" t="s">
        <v>1193</v>
      </c>
      <c r="G236" s="36" t="s">
        <v>1420</v>
      </c>
      <c r="H236" s="36" t="s">
        <v>1421</v>
      </c>
      <c r="I236" s="36" t="s">
        <v>1421</v>
      </c>
      <c r="J236" s="36" t="s">
        <v>1421</v>
      </c>
      <c r="K236" s="36">
        <v>375</v>
      </c>
      <c r="L236" s="36" t="s">
        <v>1422</v>
      </c>
      <c r="M236" s="49">
        <v>4</v>
      </c>
      <c r="N236" s="37" t="s">
        <v>1651</v>
      </c>
      <c r="O236" s="37"/>
      <c r="P236" s="36">
        <v>1</v>
      </c>
      <c r="Q236" s="36" t="s">
        <v>1943</v>
      </c>
      <c r="R236" s="36" t="s">
        <v>2135</v>
      </c>
      <c r="S236" s="36" t="s">
        <v>1880</v>
      </c>
      <c r="T236" s="36" t="s">
        <v>1881</v>
      </c>
      <c r="U236" s="38">
        <v>45616</v>
      </c>
      <c r="V236" s="39">
        <v>673974</v>
      </c>
      <c r="W236" s="39" t="s">
        <v>2363</v>
      </c>
      <c r="X236" s="39" t="s">
        <v>2363</v>
      </c>
      <c r="Y236" s="40">
        <f t="shared" si="66"/>
        <v>33698.699999999997</v>
      </c>
      <c r="Z236" s="40">
        <f t="shared" si="67"/>
        <v>707672.7</v>
      </c>
      <c r="AA236" s="41" t="str">
        <f t="shared" si="68"/>
        <v>0.0018</v>
      </c>
      <c r="AB236" s="41">
        <f t="shared" si="69"/>
        <v>0</v>
      </c>
      <c r="AC236" s="41">
        <f t="shared" si="70"/>
        <v>0</v>
      </c>
      <c r="AD236" s="41">
        <f t="shared" si="71"/>
        <v>0</v>
      </c>
      <c r="AE236" s="41">
        <f t="shared" si="72"/>
        <v>0</v>
      </c>
      <c r="AF236" s="41">
        <f t="shared" si="73"/>
        <v>0</v>
      </c>
      <c r="AG236" s="41">
        <f t="shared" si="74"/>
        <v>0</v>
      </c>
      <c r="AH236" s="41">
        <f t="shared" si="75"/>
        <v>0</v>
      </c>
      <c r="AI236" s="41">
        <f t="shared" si="76"/>
        <v>41</v>
      </c>
      <c r="AJ236" s="41">
        <f t="shared" si="77"/>
        <v>365</v>
      </c>
      <c r="AK236" s="41">
        <f t="shared" si="78"/>
        <v>181</v>
      </c>
      <c r="AL236" s="42">
        <f t="shared" si="79"/>
        <v>3.3237073972602738</v>
      </c>
      <c r="AM236" s="42">
        <f t="shared" si="80"/>
        <v>601.5910389041095</v>
      </c>
      <c r="AN236" s="43">
        <f t="shared" si="65"/>
        <v>606576.6</v>
      </c>
      <c r="AO236" s="43"/>
      <c r="AP236" s="42">
        <f t="shared" si="81"/>
        <v>101096.09999999998</v>
      </c>
      <c r="AQ236" s="43">
        <v>5</v>
      </c>
      <c r="AR236" s="44">
        <f t="shared" si="82"/>
        <v>0.85714285714285721</v>
      </c>
      <c r="AS236" s="45">
        <f t="shared" si="83"/>
        <v>1797.2639999999999</v>
      </c>
      <c r="AU236" s="1">
        <v>606576.6</v>
      </c>
      <c r="AV236" s="50">
        <v>0</v>
      </c>
    </row>
    <row r="237" spans="1:48" s="1" customFormat="1" ht="37.200000000000003" thickTop="1" thickBot="1" x14ac:dyDescent="0.55000000000000004">
      <c r="A237" s="33">
        <v>230</v>
      </c>
      <c r="B237" s="34" t="s">
        <v>284</v>
      </c>
      <c r="C237" s="34" t="s">
        <v>965</v>
      </c>
      <c r="D237" s="35" t="s">
        <v>739</v>
      </c>
      <c r="E237" s="35" t="s">
        <v>966</v>
      </c>
      <c r="F237" s="36" t="s">
        <v>1194</v>
      </c>
      <c r="G237" s="36" t="s">
        <v>1420</v>
      </c>
      <c r="H237" s="36" t="s">
        <v>1421</v>
      </c>
      <c r="I237" s="36" t="s">
        <v>1421</v>
      </c>
      <c r="J237" s="36" t="s">
        <v>1421</v>
      </c>
      <c r="K237" s="36">
        <v>354.5</v>
      </c>
      <c r="L237" s="36" t="s">
        <v>1422</v>
      </c>
      <c r="M237" s="49">
        <v>4</v>
      </c>
      <c r="N237" s="37" t="s">
        <v>1652</v>
      </c>
      <c r="O237" s="37"/>
      <c r="P237" s="36">
        <v>1</v>
      </c>
      <c r="Q237" s="36" t="s">
        <v>1931</v>
      </c>
      <c r="R237" s="36" t="s">
        <v>2136</v>
      </c>
      <c r="S237" s="36" t="s">
        <v>1880</v>
      </c>
      <c r="T237" s="36" t="s">
        <v>1881</v>
      </c>
      <c r="U237" s="38">
        <v>45616</v>
      </c>
      <c r="V237" s="39">
        <v>785500</v>
      </c>
      <c r="W237" s="39" t="s">
        <v>2363</v>
      </c>
      <c r="X237" s="39" t="s">
        <v>2363</v>
      </c>
      <c r="Y237" s="40">
        <f t="shared" si="66"/>
        <v>39275</v>
      </c>
      <c r="Z237" s="40">
        <f t="shared" si="67"/>
        <v>824775</v>
      </c>
      <c r="AA237" s="41" t="str">
        <f t="shared" si="68"/>
        <v>0.0022</v>
      </c>
      <c r="AB237" s="41">
        <f t="shared" si="69"/>
        <v>0</v>
      </c>
      <c r="AC237" s="41">
        <f t="shared" si="70"/>
        <v>0</v>
      </c>
      <c r="AD237" s="41">
        <f t="shared" si="71"/>
        <v>0</v>
      </c>
      <c r="AE237" s="41">
        <f t="shared" si="72"/>
        <v>0</v>
      </c>
      <c r="AF237" s="41">
        <f t="shared" si="73"/>
        <v>0</v>
      </c>
      <c r="AG237" s="41">
        <f t="shared" si="74"/>
        <v>0</v>
      </c>
      <c r="AH237" s="41">
        <f t="shared" si="75"/>
        <v>0</v>
      </c>
      <c r="AI237" s="41">
        <f t="shared" si="76"/>
        <v>41</v>
      </c>
      <c r="AJ237" s="41">
        <f t="shared" si="77"/>
        <v>365</v>
      </c>
      <c r="AK237" s="41">
        <f t="shared" si="78"/>
        <v>181</v>
      </c>
      <c r="AL237" s="42">
        <f t="shared" si="79"/>
        <v>4.7345205479452055</v>
      </c>
      <c r="AM237" s="42">
        <f t="shared" si="80"/>
        <v>856.94821917808224</v>
      </c>
      <c r="AN237" s="43">
        <f t="shared" si="65"/>
        <v>706950</v>
      </c>
      <c r="AO237" s="43"/>
      <c r="AP237" s="42">
        <f t="shared" si="81"/>
        <v>117825</v>
      </c>
      <c r="AQ237" s="43">
        <v>5</v>
      </c>
      <c r="AR237" s="44">
        <f t="shared" si="82"/>
        <v>0.8571428571428571</v>
      </c>
      <c r="AS237" s="45">
        <f t="shared" si="83"/>
        <v>2215.7968970380816</v>
      </c>
      <c r="AU237" s="1">
        <v>589125</v>
      </c>
      <c r="AV237" s="50">
        <v>117825</v>
      </c>
    </row>
    <row r="238" spans="1:48" s="1" customFormat="1" ht="37.200000000000003" thickTop="1" thickBot="1" x14ac:dyDescent="0.55000000000000004">
      <c r="A238" s="33">
        <v>231</v>
      </c>
      <c r="B238" s="34" t="s">
        <v>285</v>
      </c>
      <c r="C238" s="34" t="s">
        <v>965</v>
      </c>
      <c r="D238" s="35" t="s">
        <v>740</v>
      </c>
      <c r="E238" s="35" t="s">
        <v>966</v>
      </c>
      <c r="F238" s="36" t="s">
        <v>1195</v>
      </c>
      <c r="G238" s="36" t="s">
        <v>1420</v>
      </c>
      <c r="H238" s="36" t="s">
        <v>1421</v>
      </c>
      <c r="I238" s="36" t="s">
        <v>1421</v>
      </c>
      <c r="J238" s="36" t="s">
        <v>1421</v>
      </c>
      <c r="K238" s="36">
        <v>350</v>
      </c>
      <c r="L238" s="36" t="s">
        <v>1422</v>
      </c>
      <c r="M238" s="49">
        <v>4</v>
      </c>
      <c r="N238" s="37" t="s">
        <v>1653</v>
      </c>
      <c r="O238" s="37"/>
      <c r="P238" s="36">
        <v>1</v>
      </c>
      <c r="Q238" s="36" t="s">
        <v>2039</v>
      </c>
      <c r="R238" s="36" t="s">
        <v>2137</v>
      </c>
      <c r="S238" s="36" t="s">
        <v>1880</v>
      </c>
      <c r="T238" s="36" t="s">
        <v>1881</v>
      </c>
      <c r="U238" s="38">
        <v>45616</v>
      </c>
      <c r="V238" s="39">
        <v>750260</v>
      </c>
      <c r="W238" s="39" t="s">
        <v>2363</v>
      </c>
      <c r="X238" s="39" t="s">
        <v>2363</v>
      </c>
      <c r="Y238" s="40">
        <f t="shared" si="66"/>
        <v>37513</v>
      </c>
      <c r="Z238" s="40">
        <f t="shared" si="67"/>
        <v>787773</v>
      </c>
      <c r="AA238" s="41" t="str">
        <f t="shared" si="68"/>
        <v>0.0022</v>
      </c>
      <c r="AB238" s="41">
        <f t="shared" si="69"/>
        <v>0</v>
      </c>
      <c r="AC238" s="41">
        <f t="shared" si="70"/>
        <v>0</v>
      </c>
      <c r="AD238" s="41">
        <f t="shared" si="71"/>
        <v>0</v>
      </c>
      <c r="AE238" s="41">
        <f t="shared" si="72"/>
        <v>0</v>
      </c>
      <c r="AF238" s="41">
        <f t="shared" si="73"/>
        <v>0</v>
      </c>
      <c r="AG238" s="41">
        <f t="shared" si="74"/>
        <v>0</v>
      </c>
      <c r="AH238" s="41">
        <f t="shared" si="75"/>
        <v>0</v>
      </c>
      <c r="AI238" s="41">
        <f t="shared" si="76"/>
        <v>41</v>
      </c>
      <c r="AJ238" s="41">
        <f t="shared" si="77"/>
        <v>365</v>
      </c>
      <c r="AK238" s="41">
        <f t="shared" si="78"/>
        <v>181</v>
      </c>
      <c r="AL238" s="42">
        <f t="shared" si="79"/>
        <v>4.522115068493151</v>
      </c>
      <c r="AM238" s="42">
        <f t="shared" si="80"/>
        <v>818.50282739726038</v>
      </c>
      <c r="AN238" s="43">
        <f t="shared" si="65"/>
        <v>712747</v>
      </c>
      <c r="AO238" s="43"/>
      <c r="AP238" s="42">
        <f t="shared" si="81"/>
        <v>75026</v>
      </c>
      <c r="AQ238" s="43">
        <v>6</v>
      </c>
      <c r="AR238" s="44">
        <f t="shared" si="82"/>
        <v>0.90476190476190477</v>
      </c>
      <c r="AS238" s="45">
        <f t="shared" si="83"/>
        <v>2143.6</v>
      </c>
      <c r="AU238" s="1">
        <v>675234</v>
      </c>
      <c r="AV238" s="50">
        <v>37513</v>
      </c>
    </row>
    <row r="239" spans="1:48" s="1" customFormat="1" ht="37.200000000000003" thickTop="1" thickBot="1" x14ac:dyDescent="0.55000000000000004">
      <c r="A239" s="33">
        <v>232</v>
      </c>
      <c r="B239" s="34" t="s">
        <v>286</v>
      </c>
      <c r="C239" s="34" t="s">
        <v>965</v>
      </c>
      <c r="D239" s="35" t="s">
        <v>741</v>
      </c>
      <c r="E239" s="35" t="s">
        <v>966</v>
      </c>
      <c r="F239" s="36" t="s">
        <v>1196</v>
      </c>
      <c r="G239" s="36" t="s">
        <v>1420</v>
      </c>
      <c r="H239" s="36" t="s">
        <v>1421</v>
      </c>
      <c r="I239" s="36" t="s">
        <v>1421</v>
      </c>
      <c r="J239" s="36" t="s">
        <v>1421</v>
      </c>
      <c r="K239" s="36">
        <v>375</v>
      </c>
      <c r="L239" s="36" t="s">
        <v>1422</v>
      </c>
      <c r="M239" s="49">
        <v>4</v>
      </c>
      <c r="N239" s="37" t="s">
        <v>1654</v>
      </c>
      <c r="O239" s="37"/>
      <c r="P239" s="36">
        <v>1</v>
      </c>
      <c r="Q239" s="36" t="s">
        <v>1962</v>
      </c>
      <c r="R239" s="36" t="s">
        <v>2138</v>
      </c>
      <c r="S239" s="36" t="s">
        <v>1880</v>
      </c>
      <c r="T239" s="36" t="s">
        <v>1881</v>
      </c>
      <c r="U239" s="38">
        <v>45617</v>
      </c>
      <c r="V239" s="39">
        <v>858270</v>
      </c>
      <c r="W239" s="39" t="s">
        <v>2363</v>
      </c>
      <c r="X239" s="39" t="s">
        <v>2363</v>
      </c>
      <c r="Y239" s="40">
        <f t="shared" si="66"/>
        <v>42913.5</v>
      </c>
      <c r="Z239" s="40">
        <f t="shared" si="67"/>
        <v>901183.5</v>
      </c>
      <c r="AA239" s="41" t="str">
        <f t="shared" si="68"/>
        <v>0.0022</v>
      </c>
      <c r="AB239" s="41">
        <f t="shared" si="69"/>
        <v>0</v>
      </c>
      <c r="AC239" s="41">
        <f t="shared" si="70"/>
        <v>0</v>
      </c>
      <c r="AD239" s="41">
        <f t="shared" si="71"/>
        <v>0</v>
      </c>
      <c r="AE239" s="41">
        <f t="shared" si="72"/>
        <v>0</v>
      </c>
      <c r="AF239" s="41">
        <f t="shared" si="73"/>
        <v>0</v>
      </c>
      <c r="AG239" s="41">
        <f t="shared" si="74"/>
        <v>0</v>
      </c>
      <c r="AH239" s="41">
        <f t="shared" si="75"/>
        <v>0</v>
      </c>
      <c r="AI239" s="41">
        <f t="shared" si="76"/>
        <v>40</v>
      </c>
      <c r="AJ239" s="41">
        <f t="shared" si="77"/>
        <v>365</v>
      </c>
      <c r="AK239" s="41">
        <f t="shared" si="78"/>
        <v>181</v>
      </c>
      <c r="AL239" s="42">
        <f t="shared" si="79"/>
        <v>5.1731342465753434</v>
      </c>
      <c r="AM239" s="42">
        <f t="shared" si="80"/>
        <v>936.33729863013718</v>
      </c>
      <c r="AN239" s="43">
        <f t="shared" si="65"/>
        <v>815356.5</v>
      </c>
      <c r="AO239" s="43"/>
      <c r="AP239" s="42">
        <f t="shared" si="81"/>
        <v>85827</v>
      </c>
      <c r="AQ239" s="43">
        <v>6</v>
      </c>
      <c r="AR239" s="44">
        <f t="shared" si="82"/>
        <v>0.90476190476190477</v>
      </c>
      <c r="AS239" s="45">
        <f t="shared" si="83"/>
        <v>2288.7199999999998</v>
      </c>
      <c r="AU239" s="1">
        <v>772443</v>
      </c>
      <c r="AV239" s="50">
        <v>42913.5</v>
      </c>
    </row>
    <row r="240" spans="1:48" s="1" customFormat="1" ht="37.200000000000003" thickTop="1" thickBot="1" x14ac:dyDescent="0.55000000000000004">
      <c r="A240" s="33">
        <v>233</v>
      </c>
      <c r="B240" s="34" t="s">
        <v>287</v>
      </c>
      <c r="C240" s="34" t="s">
        <v>965</v>
      </c>
      <c r="D240" s="35" t="s">
        <v>742</v>
      </c>
      <c r="E240" s="35" t="s">
        <v>966</v>
      </c>
      <c r="F240" s="36" t="s">
        <v>1197</v>
      </c>
      <c r="G240" s="36" t="s">
        <v>1420</v>
      </c>
      <c r="H240" s="36" t="s">
        <v>1421</v>
      </c>
      <c r="I240" s="36" t="s">
        <v>1421</v>
      </c>
      <c r="J240" s="36" t="s">
        <v>1421</v>
      </c>
      <c r="K240" s="36">
        <v>375</v>
      </c>
      <c r="L240" s="36" t="s">
        <v>1422</v>
      </c>
      <c r="M240" s="49">
        <v>4</v>
      </c>
      <c r="N240" s="37" t="s">
        <v>1655</v>
      </c>
      <c r="O240" s="37"/>
      <c r="P240" s="36">
        <v>1</v>
      </c>
      <c r="Q240" s="36" t="s">
        <v>1935</v>
      </c>
      <c r="R240" s="36" t="s">
        <v>2139</v>
      </c>
      <c r="S240" s="36" t="s">
        <v>1880</v>
      </c>
      <c r="T240" s="36" t="s">
        <v>1881</v>
      </c>
      <c r="U240" s="38">
        <v>45617</v>
      </c>
      <c r="V240" s="39">
        <v>759340</v>
      </c>
      <c r="W240" s="39" t="s">
        <v>2363</v>
      </c>
      <c r="X240" s="39" t="s">
        <v>2363</v>
      </c>
      <c r="Y240" s="40">
        <f t="shared" si="66"/>
        <v>37967</v>
      </c>
      <c r="Z240" s="40">
        <f t="shared" si="67"/>
        <v>797307</v>
      </c>
      <c r="AA240" s="41" t="str">
        <f t="shared" si="68"/>
        <v>0.0022</v>
      </c>
      <c r="AB240" s="41">
        <f t="shared" si="69"/>
        <v>0</v>
      </c>
      <c r="AC240" s="41">
        <f t="shared" si="70"/>
        <v>0</v>
      </c>
      <c r="AD240" s="41">
        <f t="shared" si="71"/>
        <v>0</v>
      </c>
      <c r="AE240" s="41">
        <f t="shared" si="72"/>
        <v>0</v>
      </c>
      <c r="AF240" s="41">
        <f t="shared" si="73"/>
        <v>0</v>
      </c>
      <c r="AG240" s="41">
        <f t="shared" si="74"/>
        <v>0</v>
      </c>
      <c r="AH240" s="41">
        <f t="shared" si="75"/>
        <v>0</v>
      </c>
      <c r="AI240" s="41">
        <f t="shared" si="76"/>
        <v>40</v>
      </c>
      <c r="AJ240" s="41">
        <f t="shared" si="77"/>
        <v>365</v>
      </c>
      <c r="AK240" s="41">
        <f t="shared" si="78"/>
        <v>181</v>
      </c>
      <c r="AL240" s="42">
        <f t="shared" si="79"/>
        <v>4.5768438356164385</v>
      </c>
      <c r="AM240" s="42">
        <f t="shared" si="80"/>
        <v>828.40873424657536</v>
      </c>
      <c r="AN240" s="43">
        <f t="shared" si="65"/>
        <v>683406</v>
      </c>
      <c r="AO240" s="43"/>
      <c r="AP240" s="42">
        <f t="shared" si="81"/>
        <v>113901</v>
      </c>
      <c r="AQ240" s="43">
        <v>5</v>
      </c>
      <c r="AR240" s="44">
        <f t="shared" si="82"/>
        <v>0.8571428571428571</v>
      </c>
      <c r="AS240" s="45">
        <f t="shared" si="83"/>
        <v>2024.9066666666668</v>
      </c>
      <c r="AU240" s="1">
        <v>569505</v>
      </c>
      <c r="AV240" s="50">
        <v>113901</v>
      </c>
    </row>
    <row r="241" spans="1:48" s="1" customFormat="1" ht="37.200000000000003" thickTop="1" thickBot="1" x14ac:dyDescent="0.55000000000000004">
      <c r="A241" s="33">
        <v>234</v>
      </c>
      <c r="B241" s="34" t="s">
        <v>288</v>
      </c>
      <c r="C241" s="34" t="s">
        <v>965</v>
      </c>
      <c r="D241" s="35" t="s">
        <v>743</v>
      </c>
      <c r="E241" s="35" t="s">
        <v>966</v>
      </c>
      <c r="F241" s="36" t="s">
        <v>1198</v>
      </c>
      <c r="G241" s="36" t="s">
        <v>1420</v>
      </c>
      <c r="H241" s="36" t="s">
        <v>1421</v>
      </c>
      <c r="I241" s="36" t="s">
        <v>1421</v>
      </c>
      <c r="J241" s="36" t="s">
        <v>1421</v>
      </c>
      <c r="K241" s="36">
        <v>356.25</v>
      </c>
      <c r="L241" s="36" t="s">
        <v>1422</v>
      </c>
      <c r="M241" s="49">
        <v>4</v>
      </c>
      <c r="N241" s="37" t="s">
        <v>1656</v>
      </c>
      <c r="O241" s="37"/>
      <c r="P241" s="36">
        <v>1</v>
      </c>
      <c r="Q241" s="36" t="s">
        <v>1956</v>
      </c>
      <c r="R241" s="36" t="s">
        <v>2140</v>
      </c>
      <c r="S241" s="36" t="s">
        <v>1880</v>
      </c>
      <c r="T241" s="36" t="s">
        <v>1881</v>
      </c>
      <c r="U241" s="38">
        <v>45617</v>
      </c>
      <c r="V241" s="39">
        <v>852315</v>
      </c>
      <c r="W241" s="39" t="s">
        <v>2363</v>
      </c>
      <c r="X241" s="39" t="s">
        <v>2363</v>
      </c>
      <c r="Y241" s="40">
        <f t="shared" si="66"/>
        <v>42615.75</v>
      </c>
      <c r="Z241" s="40">
        <f t="shared" si="67"/>
        <v>894930.75</v>
      </c>
      <c r="AA241" s="41" t="str">
        <f t="shared" si="68"/>
        <v>0.0022</v>
      </c>
      <c r="AB241" s="41">
        <f t="shared" si="69"/>
        <v>0</v>
      </c>
      <c r="AC241" s="41">
        <f t="shared" si="70"/>
        <v>0</v>
      </c>
      <c r="AD241" s="41">
        <f t="shared" si="71"/>
        <v>0</v>
      </c>
      <c r="AE241" s="41">
        <f t="shared" si="72"/>
        <v>0</v>
      </c>
      <c r="AF241" s="41">
        <f t="shared" si="73"/>
        <v>0</v>
      </c>
      <c r="AG241" s="41">
        <f t="shared" si="74"/>
        <v>0</v>
      </c>
      <c r="AH241" s="41">
        <f t="shared" si="75"/>
        <v>0</v>
      </c>
      <c r="AI241" s="41">
        <f t="shared" si="76"/>
        <v>40</v>
      </c>
      <c r="AJ241" s="41">
        <f t="shared" si="77"/>
        <v>365</v>
      </c>
      <c r="AK241" s="41">
        <f t="shared" si="78"/>
        <v>181</v>
      </c>
      <c r="AL241" s="42">
        <f t="shared" si="79"/>
        <v>5.1372410958904116</v>
      </c>
      <c r="AM241" s="42">
        <f t="shared" si="80"/>
        <v>929.8406383561645</v>
      </c>
      <c r="AN241" s="43">
        <f t="shared" si="65"/>
        <v>809699.25</v>
      </c>
      <c r="AO241" s="43"/>
      <c r="AP241" s="42">
        <f t="shared" si="81"/>
        <v>85231.5</v>
      </c>
      <c r="AQ241" s="43">
        <v>6</v>
      </c>
      <c r="AR241" s="44">
        <f t="shared" si="82"/>
        <v>0.90476190476190477</v>
      </c>
      <c r="AS241" s="45">
        <f t="shared" si="83"/>
        <v>2392.4631578947369</v>
      </c>
      <c r="AU241" s="1">
        <v>767083.5</v>
      </c>
      <c r="AV241" s="50">
        <v>42615.75</v>
      </c>
    </row>
    <row r="242" spans="1:48" s="1" customFormat="1" ht="37.200000000000003" thickTop="1" thickBot="1" x14ac:dyDescent="0.55000000000000004">
      <c r="A242" s="33">
        <v>235</v>
      </c>
      <c r="B242" s="34" t="s">
        <v>289</v>
      </c>
      <c r="C242" s="34" t="s">
        <v>965</v>
      </c>
      <c r="D242" s="35" t="s">
        <v>744</v>
      </c>
      <c r="E242" s="35" t="s">
        <v>966</v>
      </c>
      <c r="F242" s="36" t="s">
        <v>1199</v>
      </c>
      <c r="G242" s="36" t="s">
        <v>1420</v>
      </c>
      <c r="H242" s="36" t="s">
        <v>1421</v>
      </c>
      <c r="I242" s="36" t="s">
        <v>1421</v>
      </c>
      <c r="J242" s="36" t="s">
        <v>1421</v>
      </c>
      <c r="K242" s="36">
        <v>400</v>
      </c>
      <c r="L242" s="36" t="s">
        <v>1422</v>
      </c>
      <c r="M242" s="49">
        <v>4</v>
      </c>
      <c r="N242" s="37" t="s">
        <v>1657</v>
      </c>
      <c r="O242" s="37"/>
      <c r="P242" s="36">
        <v>2</v>
      </c>
      <c r="Q242" s="36" t="s">
        <v>1962</v>
      </c>
      <c r="R242" s="36" t="s">
        <v>2141</v>
      </c>
      <c r="S242" s="36" t="s">
        <v>1880</v>
      </c>
      <c r="T242" s="36" t="s">
        <v>1881</v>
      </c>
      <c r="U242" s="38">
        <v>45617</v>
      </c>
      <c r="V242" s="39">
        <v>667770</v>
      </c>
      <c r="W242" s="39" t="s">
        <v>2363</v>
      </c>
      <c r="X242" s="39" t="s">
        <v>2363</v>
      </c>
      <c r="Y242" s="40">
        <f t="shared" si="66"/>
        <v>33388.5</v>
      </c>
      <c r="Z242" s="40">
        <f t="shared" si="67"/>
        <v>701158.5</v>
      </c>
      <c r="AA242" s="41" t="str">
        <f t="shared" si="68"/>
        <v>0.0018</v>
      </c>
      <c r="AB242" s="41">
        <f t="shared" si="69"/>
        <v>0</v>
      </c>
      <c r="AC242" s="41">
        <f t="shared" si="70"/>
        <v>0</v>
      </c>
      <c r="AD242" s="41">
        <f t="shared" si="71"/>
        <v>0</v>
      </c>
      <c r="AE242" s="41">
        <f t="shared" si="72"/>
        <v>0</v>
      </c>
      <c r="AF242" s="41">
        <f t="shared" si="73"/>
        <v>0</v>
      </c>
      <c r="AG242" s="41">
        <f t="shared" si="74"/>
        <v>0</v>
      </c>
      <c r="AH242" s="41">
        <f t="shared" si="75"/>
        <v>0</v>
      </c>
      <c r="AI242" s="41">
        <f t="shared" si="76"/>
        <v>40</v>
      </c>
      <c r="AJ242" s="41">
        <f t="shared" si="77"/>
        <v>365</v>
      </c>
      <c r="AK242" s="41">
        <f t="shared" si="78"/>
        <v>181</v>
      </c>
      <c r="AL242" s="42">
        <f t="shared" si="79"/>
        <v>3.2931123287671231</v>
      </c>
      <c r="AM242" s="42">
        <f t="shared" si="80"/>
        <v>596.0533315068493</v>
      </c>
      <c r="AN242" s="43">
        <f t="shared" si="65"/>
        <v>634381.5</v>
      </c>
      <c r="AO242" s="43"/>
      <c r="AP242" s="42">
        <f t="shared" si="81"/>
        <v>66777</v>
      </c>
      <c r="AQ242" s="43">
        <v>6</v>
      </c>
      <c r="AR242" s="44">
        <f t="shared" si="82"/>
        <v>0.90476190476190477</v>
      </c>
      <c r="AS242" s="45">
        <f t="shared" si="83"/>
        <v>1669.425</v>
      </c>
      <c r="AU242" s="1">
        <v>600993</v>
      </c>
      <c r="AV242" s="50">
        <v>33388.5</v>
      </c>
    </row>
    <row r="243" spans="1:48" s="1" customFormat="1" ht="37.200000000000003" thickTop="1" thickBot="1" x14ac:dyDescent="0.55000000000000004">
      <c r="A243" s="33">
        <v>236</v>
      </c>
      <c r="B243" s="34" t="s">
        <v>290</v>
      </c>
      <c r="C243" s="34" t="s">
        <v>965</v>
      </c>
      <c r="D243" s="35" t="s">
        <v>745</v>
      </c>
      <c r="E243" s="35" t="s">
        <v>966</v>
      </c>
      <c r="F243" s="36" t="s">
        <v>1200</v>
      </c>
      <c r="G243" s="36" t="s">
        <v>1420</v>
      </c>
      <c r="H243" s="36" t="s">
        <v>1421</v>
      </c>
      <c r="I243" s="36" t="s">
        <v>1421</v>
      </c>
      <c r="J243" s="36" t="s">
        <v>1421</v>
      </c>
      <c r="K243" s="36">
        <v>375</v>
      </c>
      <c r="L243" s="36" t="s">
        <v>1422</v>
      </c>
      <c r="M243" s="49">
        <v>4</v>
      </c>
      <c r="N243" s="37" t="s">
        <v>1658</v>
      </c>
      <c r="O243" s="37"/>
      <c r="P243" s="36">
        <v>1</v>
      </c>
      <c r="Q243" s="36" t="s">
        <v>1935</v>
      </c>
      <c r="R243" s="36" t="s">
        <v>2142</v>
      </c>
      <c r="S243" s="36" t="s">
        <v>1880</v>
      </c>
      <c r="T243" s="36" t="s">
        <v>1881</v>
      </c>
      <c r="U243" s="38">
        <v>45617</v>
      </c>
      <c r="V243" s="39">
        <v>589339</v>
      </c>
      <c r="W243" s="39" t="s">
        <v>2363</v>
      </c>
      <c r="X243" s="39" t="s">
        <v>2363</v>
      </c>
      <c r="Y243" s="40">
        <f t="shared" si="66"/>
        <v>29466.95</v>
      </c>
      <c r="Z243" s="40">
        <f t="shared" si="67"/>
        <v>618805.94999999995</v>
      </c>
      <c r="AA243" s="41" t="str">
        <f t="shared" si="68"/>
        <v>0.0018</v>
      </c>
      <c r="AB243" s="41">
        <f t="shared" si="69"/>
        <v>0</v>
      </c>
      <c r="AC243" s="41">
        <f t="shared" si="70"/>
        <v>0</v>
      </c>
      <c r="AD243" s="41">
        <f t="shared" si="71"/>
        <v>0</v>
      </c>
      <c r="AE243" s="41">
        <f t="shared" si="72"/>
        <v>0</v>
      </c>
      <c r="AF243" s="41">
        <f t="shared" si="73"/>
        <v>0</v>
      </c>
      <c r="AG243" s="41">
        <f t="shared" si="74"/>
        <v>0</v>
      </c>
      <c r="AH243" s="41">
        <f t="shared" si="75"/>
        <v>0</v>
      </c>
      <c r="AI243" s="41">
        <f t="shared" si="76"/>
        <v>40</v>
      </c>
      <c r="AJ243" s="41">
        <f t="shared" si="77"/>
        <v>365</v>
      </c>
      <c r="AK243" s="41">
        <f t="shared" si="78"/>
        <v>181</v>
      </c>
      <c r="AL243" s="42">
        <f t="shared" si="79"/>
        <v>2.906329315068493</v>
      </c>
      <c r="AM243" s="42">
        <f t="shared" si="80"/>
        <v>526.04560602739718</v>
      </c>
      <c r="AN243" s="43">
        <f t="shared" si="65"/>
        <v>530405.10000000009</v>
      </c>
      <c r="AO243" s="43"/>
      <c r="AP243" s="42">
        <f t="shared" si="81"/>
        <v>88400.84999999986</v>
      </c>
      <c r="AQ243" s="43">
        <v>5</v>
      </c>
      <c r="AR243" s="44">
        <f t="shared" si="82"/>
        <v>0.85714285714285732</v>
      </c>
      <c r="AS243" s="45">
        <f t="shared" si="83"/>
        <v>1571.5706666666667</v>
      </c>
      <c r="AU243" s="1">
        <v>353603.4</v>
      </c>
      <c r="AV243" s="50">
        <v>176801.7</v>
      </c>
    </row>
    <row r="244" spans="1:48" s="1" customFormat="1" ht="37.200000000000003" thickTop="1" thickBot="1" x14ac:dyDescent="0.55000000000000004">
      <c r="A244" s="33">
        <v>237</v>
      </c>
      <c r="B244" s="34" t="s">
        <v>291</v>
      </c>
      <c r="C244" s="34" t="s">
        <v>965</v>
      </c>
      <c r="D244" s="35" t="s">
        <v>746</v>
      </c>
      <c r="E244" s="35" t="s">
        <v>966</v>
      </c>
      <c r="F244" s="36" t="s">
        <v>1201</v>
      </c>
      <c r="G244" s="36" t="s">
        <v>1420</v>
      </c>
      <c r="H244" s="36" t="s">
        <v>1421</v>
      </c>
      <c r="I244" s="36" t="s">
        <v>1421</v>
      </c>
      <c r="J244" s="36" t="s">
        <v>1421</v>
      </c>
      <c r="K244" s="36">
        <v>350</v>
      </c>
      <c r="L244" s="36" t="s">
        <v>1422</v>
      </c>
      <c r="M244" s="49">
        <v>4</v>
      </c>
      <c r="N244" s="37" t="s">
        <v>1659</v>
      </c>
      <c r="O244" s="37"/>
      <c r="P244" s="36">
        <v>1</v>
      </c>
      <c r="Q244" s="36" t="s">
        <v>1915</v>
      </c>
      <c r="R244" s="36" t="s">
        <v>2143</v>
      </c>
      <c r="S244" s="36" t="s">
        <v>1880</v>
      </c>
      <c r="T244" s="36" t="s">
        <v>1881</v>
      </c>
      <c r="U244" s="38">
        <v>45619</v>
      </c>
      <c r="V244" s="39">
        <v>535000</v>
      </c>
      <c r="W244" s="39" t="s">
        <v>2363</v>
      </c>
      <c r="X244" s="39" t="s">
        <v>2363</v>
      </c>
      <c r="Y244" s="40">
        <f t="shared" si="66"/>
        <v>26750</v>
      </c>
      <c r="Z244" s="40">
        <f t="shared" si="67"/>
        <v>561750</v>
      </c>
      <c r="AA244" s="41" t="str">
        <f t="shared" si="68"/>
        <v>0.0018</v>
      </c>
      <c r="AB244" s="41">
        <f t="shared" si="69"/>
        <v>0</v>
      </c>
      <c r="AC244" s="41">
        <f t="shared" si="70"/>
        <v>0</v>
      </c>
      <c r="AD244" s="41">
        <f t="shared" si="71"/>
        <v>0</v>
      </c>
      <c r="AE244" s="41">
        <f t="shared" si="72"/>
        <v>0</v>
      </c>
      <c r="AF244" s="41">
        <f t="shared" si="73"/>
        <v>0</v>
      </c>
      <c r="AG244" s="41">
        <f t="shared" si="74"/>
        <v>0</v>
      </c>
      <c r="AH244" s="41">
        <f t="shared" si="75"/>
        <v>0</v>
      </c>
      <c r="AI244" s="41">
        <f t="shared" si="76"/>
        <v>38</v>
      </c>
      <c r="AJ244" s="41">
        <f t="shared" si="77"/>
        <v>365</v>
      </c>
      <c r="AK244" s="41">
        <f t="shared" si="78"/>
        <v>181</v>
      </c>
      <c r="AL244" s="42">
        <f t="shared" si="79"/>
        <v>2.6383561643835618</v>
      </c>
      <c r="AM244" s="42">
        <f t="shared" si="80"/>
        <v>477.54246575342466</v>
      </c>
      <c r="AN244" s="43">
        <f t="shared" si="65"/>
        <v>508250</v>
      </c>
      <c r="AO244" s="43"/>
      <c r="AP244" s="42">
        <f t="shared" si="81"/>
        <v>53500</v>
      </c>
      <c r="AQ244" s="43">
        <v>6</v>
      </c>
      <c r="AR244" s="44">
        <f t="shared" si="82"/>
        <v>0.90476190476190477</v>
      </c>
      <c r="AS244" s="45">
        <f t="shared" si="83"/>
        <v>1528.5714285714287</v>
      </c>
      <c r="AU244" s="1">
        <v>481500</v>
      </c>
      <c r="AV244" s="50">
        <v>26750</v>
      </c>
    </row>
    <row r="245" spans="1:48" s="1" customFormat="1" ht="37.200000000000003" thickTop="1" thickBot="1" x14ac:dyDescent="0.55000000000000004">
      <c r="A245" s="33">
        <v>238</v>
      </c>
      <c r="B245" s="34" t="s">
        <v>292</v>
      </c>
      <c r="C245" s="34" t="s">
        <v>965</v>
      </c>
      <c r="D245" s="35" t="s">
        <v>747</v>
      </c>
      <c r="E245" s="35" t="s">
        <v>966</v>
      </c>
      <c r="F245" s="36" t="s">
        <v>1202</v>
      </c>
      <c r="G245" s="36" t="s">
        <v>1420</v>
      </c>
      <c r="H245" s="36" t="s">
        <v>1421</v>
      </c>
      <c r="I245" s="36" t="s">
        <v>1421</v>
      </c>
      <c r="J245" s="36" t="s">
        <v>1421</v>
      </c>
      <c r="K245" s="36">
        <v>375</v>
      </c>
      <c r="L245" s="36" t="s">
        <v>1422</v>
      </c>
      <c r="M245" s="49">
        <v>4</v>
      </c>
      <c r="N245" s="37" t="s">
        <v>1660</v>
      </c>
      <c r="O245" s="37"/>
      <c r="P245" s="36">
        <v>1</v>
      </c>
      <c r="Q245" s="36" t="s">
        <v>1929</v>
      </c>
      <c r="R245" s="36" t="s">
        <v>2144</v>
      </c>
      <c r="S245" s="36" t="s">
        <v>1880</v>
      </c>
      <c r="T245" s="36" t="s">
        <v>1881</v>
      </c>
      <c r="U245" s="38">
        <v>45619</v>
      </c>
      <c r="V245" s="39">
        <v>699080</v>
      </c>
      <c r="W245" s="39" t="s">
        <v>2363</v>
      </c>
      <c r="X245" s="39" t="s">
        <v>2363</v>
      </c>
      <c r="Y245" s="40">
        <f t="shared" si="66"/>
        <v>34954</v>
      </c>
      <c r="Z245" s="40">
        <f t="shared" si="67"/>
        <v>734034</v>
      </c>
      <c r="AA245" s="41" t="str">
        <f t="shared" si="68"/>
        <v>0.0018</v>
      </c>
      <c r="AB245" s="41">
        <f t="shared" si="69"/>
        <v>0</v>
      </c>
      <c r="AC245" s="41">
        <f t="shared" si="70"/>
        <v>0</v>
      </c>
      <c r="AD245" s="41">
        <f t="shared" si="71"/>
        <v>0</v>
      </c>
      <c r="AE245" s="41">
        <f t="shared" si="72"/>
        <v>0</v>
      </c>
      <c r="AF245" s="41">
        <f t="shared" si="73"/>
        <v>0</v>
      </c>
      <c r="AG245" s="41">
        <f t="shared" si="74"/>
        <v>0</v>
      </c>
      <c r="AH245" s="41">
        <f t="shared" si="75"/>
        <v>0</v>
      </c>
      <c r="AI245" s="41">
        <f t="shared" si="76"/>
        <v>38</v>
      </c>
      <c r="AJ245" s="41">
        <f t="shared" si="77"/>
        <v>365</v>
      </c>
      <c r="AK245" s="41">
        <f t="shared" si="78"/>
        <v>181</v>
      </c>
      <c r="AL245" s="42">
        <f t="shared" si="79"/>
        <v>3.4475178082191782</v>
      </c>
      <c r="AM245" s="42">
        <f t="shared" si="80"/>
        <v>624.00072328767124</v>
      </c>
      <c r="AN245" s="43">
        <f t="shared" si="65"/>
        <v>664126</v>
      </c>
      <c r="AO245" s="43"/>
      <c r="AP245" s="42">
        <f t="shared" si="81"/>
        <v>69908</v>
      </c>
      <c r="AQ245" s="43">
        <v>6</v>
      </c>
      <c r="AR245" s="44">
        <f t="shared" si="82"/>
        <v>0.90476190476190477</v>
      </c>
      <c r="AS245" s="45">
        <f t="shared" si="83"/>
        <v>1864.2133333333334</v>
      </c>
      <c r="AU245" s="1">
        <v>629172</v>
      </c>
      <c r="AV245" s="50">
        <v>34954</v>
      </c>
    </row>
    <row r="246" spans="1:48" s="1" customFormat="1" ht="37.200000000000003" thickTop="1" thickBot="1" x14ac:dyDescent="0.55000000000000004">
      <c r="A246" s="33">
        <v>239</v>
      </c>
      <c r="B246" s="34" t="s">
        <v>293</v>
      </c>
      <c r="C246" s="34" t="s">
        <v>965</v>
      </c>
      <c r="D246" s="35" t="s">
        <v>748</v>
      </c>
      <c r="E246" s="35" t="s">
        <v>966</v>
      </c>
      <c r="F246" s="36" t="s">
        <v>1203</v>
      </c>
      <c r="G246" s="36" t="s">
        <v>1420</v>
      </c>
      <c r="H246" s="36" t="s">
        <v>1421</v>
      </c>
      <c r="I246" s="36" t="s">
        <v>1421</v>
      </c>
      <c r="J246" s="36" t="s">
        <v>1421</v>
      </c>
      <c r="K246" s="36">
        <v>368.75</v>
      </c>
      <c r="L246" s="36" t="s">
        <v>1422</v>
      </c>
      <c r="M246" s="49">
        <v>4</v>
      </c>
      <c r="N246" s="37" t="s">
        <v>1661</v>
      </c>
      <c r="O246" s="37"/>
      <c r="P246" s="36">
        <v>1</v>
      </c>
      <c r="Q246" s="36" t="s">
        <v>1931</v>
      </c>
      <c r="R246" s="36" t="s">
        <v>2145</v>
      </c>
      <c r="S246" s="36" t="s">
        <v>1880</v>
      </c>
      <c r="T246" s="36" t="s">
        <v>1881</v>
      </c>
      <c r="U246" s="38">
        <v>45620</v>
      </c>
      <c r="V246" s="39">
        <v>704645</v>
      </c>
      <c r="W246" s="39" t="s">
        <v>2363</v>
      </c>
      <c r="X246" s="39" t="s">
        <v>2363</v>
      </c>
      <c r="Y246" s="40">
        <f t="shared" si="66"/>
        <v>35232.25</v>
      </c>
      <c r="Z246" s="40">
        <f t="shared" si="67"/>
        <v>739877.25</v>
      </c>
      <c r="AA246" s="41" t="str">
        <f t="shared" si="68"/>
        <v>0.0022</v>
      </c>
      <c r="AB246" s="41">
        <f t="shared" si="69"/>
        <v>0</v>
      </c>
      <c r="AC246" s="41">
        <f t="shared" si="70"/>
        <v>0</v>
      </c>
      <c r="AD246" s="41">
        <f t="shared" si="71"/>
        <v>0</v>
      </c>
      <c r="AE246" s="41">
        <f t="shared" si="72"/>
        <v>0</v>
      </c>
      <c r="AF246" s="41">
        <f t="shared" si="73"/>
        <v>0</v>
      </c>
      <c r="AG246" s="41">
        <f t="shared" si="74"/>
        <v>0</v>
      </c>
      <c r="AH246" s="41">
        <f t="shared" si="75"/>
        <v>0</v>
      </c>
      <c r="AI246" s="41">
        <f t="shared" si="76"/>
        <v>37</v>
      </c>
      <c r="AJ246" s="41">
        <f t="shared" si="77"/>
        <v>365</v>
      </c>
      <c r="AK246" s="41">
        <f t="shared" si="78"/>
        <v>181</v>
      </c>
      <c r="AL246" s="42">
        <f t="shared" si="79"/>
        <v>4.2471753424657539</v>
      </c>
      <c r="AM246" s="42">
        <f t="shared" si="80"/>
        <v>768.73873698630143</v>
      </c>
      <c r="AN246" s="43">
        <f t="shared" si="65"/>
        <v>669412.75</v>
      </c>
      <c r="AO246" s="43"/>
      <c r="AP246" s="42">
        <f t="shared" si="81"/>
        <v>70464.5</v>
      </c>
      <c r="AQ246" s="43">
        <v>5</v>
      </c>
      <c r="AR246" s="44">
        <f t="shared" si="82"/>
        <v>0.90476190476190477</v>
      </c>
      <c r="AS246" s="45">
        <f t="shared" si="83"/>
        <v>1910.9016949152542</v>
      </c>
      <c r="AU246" s="1">
        <v>563716</v>
      </c>
      <c r="AV246" s="50">
        <v>105696.75</v>
      </c>
    </row>
    <row r="247" spans="1:48" s="1" customFormat="1" ht="37.200000000000003" thickTop="1" thickBot="1" x14ac:dyDescent="0.55000000000000004">
      <c r="A247" s="33">
        <v>240</v>
      </c>
      <c r="B247" s="34" t="s">
        <v>294</v>
      </c>
      <c r="C247" s="34" t="s">
        <v>965</v>
      </c>
      <c r="D247" s="35" t="s">
        <v>749</v>
      </c>
      <c r="E247" s="35" t="s">
        <v>966</v>
      </c>
      <c r="F247" s="36" t="s">
        <v>1204</v>
      </c>
      <c r="G247" s="36" t="s">
        <v>1420</v>
      </c>
      <c r="H247" s="36" t="s">
        <v>1421</v>
      </c>
      <c r="I247" s="36" t="s">
        <v>1421</v>
      </c>
      <c r="J247" s="36" t="s">
        <v>1421</v>
      </c>
      <c r="K247" s="36">
        <v>350</v>
      </c>
      <c r="L247" s="36" t="s">
        <v>1422</v>
      </c>
      <c r="M247" s="49">
        <v>4</v>
      </c>
      <c r="N247" s="37" t="s">
        <v>1662</v>
      </c>
      <c r="O247" s="37"/>
      <c r="P247" s="36">
        <v>1</v>
      </c>
      <c r="Q247" s="36" t="s">
        <v>2039</v>
      </c>
      <c r="R247" s="36" t="s">
        <v>2146</v>
      </c>
      <c r="S247" s="36" t="s">
        <v>1880</v>
      </c>
      <c r="T247" s="36" t="s">
        <v>1881</v>
      </c>
      <c r="U247" s="38">
        <v>45620</v>
      </c>
      <c r="V247" s="39">
        <v>846930</v>
      </c>
      <c r="W247" s="39" t="s">
        <v>2363</v>
      </c>
      <c r="X247" s="39" t="s">
        <v>2363</v>
      </c>
      <c r="Y247" s="40">
        <f t="shared" si="66"/>
        <v>42346.5</v>
      </c>
      <c r="Z247" s="40">
        <f t="shared" si="67"/>
        <v>889276.5</v>
      </c>
      <c r="AA247" s="41" t="str">
        <f t="shared" si="68"/>
        <v>0.0022</v>
      </c>
      <c r="AB247" s="41">
        <f t="shared" si="69"/>
        <v>0</v>
      </c>
      <c r="AC247" s="41">
        <f t="shared" si="70"/>
        <v>0</v>
      </c>
      <c r="AD247" s="41">
        <f t="shared" si="71"/>
        <v>0</v>
      </c>
      <c r="AE247" s="41">
        <f t="shared" si="72"/>
        <v>0</v>
      </c>
      <c r="AF247" s="41">
        <f t="shared" si="73"/>
        <v>0</v>
      </c>
      <c r="AG247" s="41">
        <f t="shared" si="74"/>
        <v>0</v>
      </c>
      <c r="AH247" s="41">
        <f t="shared" si="75"/>
        <v>0</v>
      </c>
      <c r="AI247" s="41">
        <f t="shared" si="76"/>
        <v>37</v>
      </c>
      <c r="AJ247" s="41">
        <f t="shared" si="77"/>
        <v>365</v>
      </c>
      <c r="AK247" s="41">
        <f t="shared" si="78"/>
        <v>181</v>
      </c>
      <c r="AL247" s="42">
        <f t="shared" si="79"/>
        <v>5.1047835616438357</v>
      </c>
      <c r="AM247" s="42">
        <f t="shared" si="80"/>
        <v>923.96582465753431</v>
      </c>
      <c r="AN247" s="43">
        <f t="shared" si="65"/>
        <v>804583.5</v>
      </c>
      <c r="AO247" s="43"/>
      <c r="AP247" s="42">
        <f t="shared" si="81"/>
        <v>84693</v>
      </c>
      <c r="AQ247" s="43">
        <v>6</v>
      </c>
      <c r="AR247" s="44">
        <f t="shared" si="82"/>
        <v>0.90476190476190477</v>
      </c>
      <c r="AS247" s="45">
        <f t="shared" si="83"/>
        <v>2419.8000000000002</v>
      </c>
      <c r="AU247" s="1">
        <v>635197.5</v>
      </c>
      <c r="AV247" s="50">
        <v>169386</v>
      </c>
    </row>
    <row r="248" spans="1:48" s="1" customFormat="1" ht="37.200000000000003" thickTop="1" thickBot="1" x14ac:dyDescent="0.55000000000000004">
      <c r="A248" s="33">
        <v>241</v>
      </c>
      <c r="B248" s="34" t="s">
        <v>295</v>
      </c>
      <c r="C248" s="34" t="s">
        <v>965</v>
      </c>
      <c r="D248" s="35" t="s">
        <v>750</v>
      </c>
      <c r="E248" s="35" t="s">
        <v>966</v>
      </c>
      <c r="F248" s="36" t="s">
        <v>1205</v>
      </c>
      <c r="G248" s="36" t="s">
        <v>1420</v>
      </c>
      <c r="H248" s="36" t="s">
        <v>1421</v>
      </c>
      <c r="I248" s="36" t="s">
        <v>1421</v>
      </c>
      <c r="J248" s="36" t="s">
        <v>1421</v>
      </c>
      <c r="K248" s="36">
        <v>375</v>
      </c>
      <c r="L248" s="36" t="s">
        <v>1422</v>
      </c>
      <c r="M248" s="49">
        <v>4</v>
      </c>
      <c r="N248" s="37" t="s">
        <v>1663</v>
      </c>
      <c r="O248" s="37"/>
      <c r="P248" s="36">
        <v>1</v>
      </c>
      <c r="Q248" s="36" t="s">
        <v>1931</v>
      </c>
      <c r="R248" s="36" t="s">
        <v>2147</v>
      </c>
      <c r="S248" s="36" t="s">
        <v>1880</v>
      </c>
      <c r="T248" s="36" t="s">
        <v>1881</v>
      </c>
      <c r="U248" s="38">
        <v>45620</v>
      </c>
      <c r="V248" s="39">
        <v>605543</v>
      </c>
      <c r="W248" s="39" t="s">
        <v>2363</v>
      </c>
      <c r="X248" s="39" t="s">
        <v>2363</v>
      </c>
      <c r="Y248" s="40">
        <f t="shared" si="66"/>
        <v>30277.15</v>
      </c>
      <c r="Z248" s="40">
        <f t="shared" si="67"/>
        <v>635820.15</v>
      </c>
      <c r="AA248" s="41" t="str">
        <f t="shared" si="68"/>
        <v>0.0018</v>
      </c>
      <c r="AB248" s="41">
        <f t="shared" si="69"/>
        <v>0</v>
      </c>
      <c r="AC248" s="41">
        <f t="shared" si="70"/>
        <v>0</v>
      </c>
      <c r="AD248" s="41">
        <f t="shared" si="71"/>
        <v>0</v>
      </c>
      <c r="AE248" s="41">
        <f t="shared" si="72"/>
        <v>0</v>
      </c>
      <c r="AF248" s="41">
        <f t="shared" si="73"/>
        <v>0</v>
      </c>
      <c r="AG248" s="41">
        <f t="shared" si="74"/>
        <v>0</v>
      </c>
      <c r="AH248" s="41">
        <f t="shared" si="75"/>
        <v>0</v>
      </c>
      <c r="AI248" s="41">
        <f t="shared" si="76"/>
        <v>37</v>
      </c>
      <c r="AJ248" s="41">
        <f t="shared" si="77"/>
        <v>365</v>
      </c>
      <c r="AK248" s="41">
        <f t="shared" si="78"/>
        <v>181</v>
      </c>
      <c r="AL248" s="42">
        <f t="shared" si="79"/>
        <v>2.9862394520547944</v>
      </c>
      <c r="AM248" s="42">
        <f t="shared" si="80"/>
        <v>540.50934082191782</v>
      </c>
      <c r="AN248" s="43">
        <f t="shared" si="65"/>
        <v>544988.70000000007</v>
      </c>
      <c r="AO248" s="43"/>
      <c r="AP248" s="42">
        <f t="shared" si="81"/>
        <v>90831.449999999953</v>
      </c>
      <c r="AQ248" s="43">
        <v>5</v>
      </c>
      <c r="AR248" s="44">
        <f t="shared" si="82"/>
        <v>0.85714285714285721</v>
      </c>
      <c r="AS248" s="45">
        <f t="shared" si="83"/>
        <v>1614.7813333333334</v>
      </c>
      <c r="AU248" s="1">
        <v>363325.80000000005</v>
      </c>
      <c r="AV248" s="50">
        <v>181662.9</v>
      </c>
    </row>
    <row r="249" spans="1:48" s="1" customFormat="1" ht="37.200000000000003" thickTop="1" thickBot="1" x14ac:dyDescent="0.55000000000000004">
      <c r="A249" s="33">
        <v>242</v>
      </c>
      <c r="B249" s="34" t="s">
        <v>296</v>
      </c>
      <c r="C249" s="34" t="s">
        <v>965</v>
      </c>
      <c r="D249" s="35" t="s">
        <v>751</v>
      </c>
      <c r="E249" s="35" t="s">
        <v>966</v>
      </c>
      <c r="F249" s="36" t="s">
        <v>1206</v>
      </c>
      <c r="G249" s="36" t="s">
        <v>1420</v>
      </c>
      <c r="H249" s="36" t="s">
        <v>1421</v>
      </c>
      <c r="I249" s="36" t="s">
        <v>1421</v>
      </c>
      <c r="J249" s="36" t="s">
        <v>1421</v>
      </c>
      <c r="K249" s="36">
        <v>366.76</v>
      </c>
      <c r="L249" s="36" t="s">
        <v>1422</v>
      </c>
      <c r="M249" s="49">
        <v>4</v>
      </c>
      <c r="N249" s="37" t="s">
        <v>1664</v>
      </c>
      <c r="O249" s="37"/>
      <c r="P249" s="36">
        <v>1</v>
      </c>
      <c r="Q249" s="36" t="s">
        <v>1915</v>
      </c>
      <c r="R249" s="36" t="s">
        <v>2148</v>
      </c>
      <c r="S249" s="36" t="s">
        <v>1880</v>
      </c>
      <c r="T249" s="36" t="s">
        <v>1881</v>
      </c>
      <c r="U249" s="38">
        <v>45620</v>
      </c>
      <c r="V249" s="39">
        <v>765293</v>
      </c>
      <c r="W249" s="39" t="s">
        <v>2363</v>
      </c>
      <c r="X249" s="39" t="s">
        <v>2363</v>
      </c>
      <c r="Y249" s="40">
        <f t="shared" si="66"/>
        <v>38264.65</v>
      </c>
      <c r="Z249" s="40">
        <f t="shared" si="67"/>
        <v>803557.65</v>
      </c>
      <c r="AA249" s="41" t="str">
        <f t="shared" si="68"/>
        <v>0.0022</v>
      </c>
      <c r="AB249" s="41">
        <f t="shared" si="69"/>
        <v>0</v>
      </c>
      <c r="AC249" s="41">
        <f t="shared" si="70"/>
        <v>0</v>
      </c>
      <c r="AD249" s="41">
        <f t="shared" si="71"/>
        <v>0</v>
      </c>
      <c r="AE249" s="41">
        <f t="shared" si="72"/>
        <v>0</v>
      </c>
      <c r="AF249" s="41">
        <f t="shared" si="73"/>
        <v>0</v>
      </c>
      <c r="AG249" s="41">
        <f t="shared" si="74"/>
        <v>0</v>
      </c>
      <c r="AH249" s="41">
        <f t="shared" si="75"/>
        <v>0</v>
      </c>
      <c r="AI249" s="41">
        <f t="shared" si="76"/>
        <v>37</v>
      </c>
      <c r="AJ249" s="41">
        <f t="shared" si="77"/>
        <v>365</v>
      </c>
      <c r="AK249" s="41">
        <f t="shared" si="78"/>
        <v>181</v>
      </c>
      <c r="AL249" s="42">
        <f t="shared" si="79"/>
        <v>4.6127249315068495</v>
      </c>
      <c r="AM249" s="42">
        <f t="shared" si="80"/>
        <v>834.9032126027397</v>
      </c>
      <c r="AN249" s="43">
        <f t="shared" si="65"/>
        <v>727028.38</v>
      </c>
      <c r="AO249" s="43"/>
      <c r="AP249" s="42">
        <f t="shared" si="81"/>
        <v>76529.270000000019</v>
      </c>
      <c r="AQ249" s="43">
        <v>6</v>
      </c>
      <c r="AR249" s="44">
        <f t="shared" si="82"/>
        <v>0.90476194209587824</v>
      </c>
      <c r="AS249" s="45">
        <f t="shared" si="83"/>
        <v>2086.6315846875341</v>
      </c>
      <c r="AU249" s="1">
        <v>688763.72</v>
      </c>
      <c r="AV249" s="50">
        <v>38264.660000000003</v>
      </c>
    </row>
    <row r="250" spans="1:48" s="1" customFormat="1" ht="37.200000000000003" thickTop="1" thickBot="1" x14ac:dyDescent="0.55000000000000004">
      <c r="A250" s="33">
        <v>243</v>
      </c>
      <c r="B250" s="34" t="s">
        <v>297</v>
      </c>
      <c r="C250" s="34" t="s">
        <v>965</v>
      </c>
      <c r="D250" s="35" t="s">
        <v>752</v>
      </c>
      <c r="E250" s="35" t="s">
        <v>966</v>
      </c>
      <c r="F250" s="36" t="s">
        <v>1207</v>
      </c>
      <c r="G250" s="36" t="s">
        <v>1420</v>
      </c>
      <c r="H250" s="36" t="s">
        <v>1421</v>
      </c>
      <c r="I250" s="36" t="s">
        <v>1421</v>
      </c>
      <c r="J250" s="36" t="s">
        <v>1421</v>
      </c>
      <c r="K250" s="36">
        <v>375</v>
      </c>
      <c r="L250" s="36" t="s">
        <v>1422</v>
      </c>
      <c r="M250" s="49">
        <v>4</v>
      </c>
      <c r="N250" s="37" t="s">
        <v>1665</v>
      </c>
      <c r="O250" s="37"/>
      <c r="P250" s="36">
        <v>1</v>
      </c>
      <c r="Q250" s="36" t="s">
        <v>1931</v>
      </c>
      <c r="R250" s="36" t="s">
        <v>2149</v>
      </c>
      <c r="S250" s="36" t="s">
        <v>1880</v>
      </c>
      <c r="T250" s="36" t="s">
        <v>1881</v>
      </c>
      <c r="U250" s="38">
        <v>45620</v>
      </c>
      <c r="V250" s="39">
        <v>589339</v>
      </c>
      <c r="W250" s="39" t="s">
        <v>2363</v>
      </c>
      <c r="X250" s="39" t="s">
        <v>2363</v>
      </c>
      <c r="Y250" s="40">
        <f t="shared" si="66"/>
        <v>29466.95</v>
      </c>
      <c r="Z250" s="40">
        <f t="shared" si="67"/>
        <v>618805.94999999995</v>
      </c>
      <c r="AA250" s="41" t="str">
        <f t="shared" si="68"/>
        <v>0.0018</v>
      </c>
      <c r="AB250" s="41">
        <f t="shared" si="69"/>
        <v>0</v>
      </c>
      <c r="AC250" s="41">
        <f t="shared" si="70"/>
        <v>0</v>
      </c>
      <c r="AD250" s="41">
        <f t="shared" si="71"/>
        <v>0</v>
      </c>
      <c r="AE250" s="41">
        <f t="shared" si="72"/>
        <v>0</v>
      </c>
      <c r="AF250" s="41">
        <f t="shared" si="73"/>
        <v>0</v>
      </c>
      <c r="AG250" s="41">
        <f t="shared" si="74"/>
        <v>0</v>
      </c>
      <c r="AH250" s="41">
        <f t="shared" si="75"/>
        <v>0</v>
      </c>
      <c r="AI250" s="41">
        <f t="shared" si="76"/>
        <v>37</v>
      </c>
      <c r="AJ250" s="41">
        <f t="shared" si="77"/>
        <v>365</v>
      </c>
      <c r="AK250" s="41">
        <f t="shared" si="78"/>
        <v>181</v>
      </c>
      <c r="AL250" s="42">
        <f t="shared" si="79"/>
        <v>2.906329315068493</v>
      </c>
      <c r="AM250" s="42">
        <f t="shared" si="80"/>
        <v>526.04560602739718</v>
      </c>
      <c r="AN250" s="43">
        <f t="shared" si="65"/>
        <v>530405.10000000009</v>
      </c>
      <c r="AO250" s="43"/>
      <c r="AP250" s="42">
        <f t="shared" si="81"/>
        <v>88400.84999999986</v>
      </c>
      <c r="AQ250" s="43">
        <v>5</v>
      </c>
      <c r="AR250" s="44">
        <f t="shared" si="82"/>
        <v>0.85714285714285732</v>
      </c>
      <c r="AS250" s="45">
        <f t="shared" si="83"/>
        <v>1571.5706666666667</v>
      </c>
      <c r="AU250" s="1">
        <v>353603.4</v>
      </c>
      <c r="AV250" s="50">
        <v>176801.7</v>
      </c>
    </row>
    <row r="251" spans="1:48" s="1" customFormat="1" ht="37.200000000000003" thickTop="1" thickBot="1" x14ac:dyDescent="0.55000000000000004">
      <c r="A251" s="33">
        <v>244</v>
      </c>
      <c r="B251" s="34" t="s">
        <v>298</v>
      </c>
      <c r="C251" s="34" t="s">
        <v>965</v>
      </c>
      <c r="D251" s="35" t="s">
        <v>753</v>
      </c>
      <c r="E251" s="35" t="s">
        <v>966</v>
      </c>
      <c r="F251" s="36" t="s">
        <v>1208</v>
      </c>
      <c r="G251" s="36" t="s">
        <v>1420</v>
      </c>
      <c r="H251" s="36" t="s">
        <v>1421</v>
      </c>
      <c r="I251" s="36" t="s">
        <v>1421</v>
      </c>
      <c r="J251" s="36" t="s">
        <v>1421</v>
      </c>
      <c r="K251" s="36">
        <v>445.28</v>
      </c>
      <c r="L251" s="36" t="s">
        <v>1422</v>
      </c>
      <c r="M251" s="49">
        <v>4</v>
      </c>
      <c r="N251" s="37" t="s">
        <v>1666</v>
      </c>
      <c r="O251" s="37"/>
      <c r="P251" s="36">
        <v>1</v>
      </c>
      <c r="Q251" s="36" t="s">
        <v>1962</v>
      </c>
      <c r="R251" s="36" t="s">
        <v>2150</v>
      </c>
      <c r="S251" s="36" t="s">
        <v>1880</v>
      </c>
      <c r="T251" s="36" t="s">
        <v>1881</v>
      </c>
      <c r="U251" s="38">
        <v>45621</v>
      </c>
      <c r="V251" s="39">
        <v>803050</v>
      </c>
      <c r="W251" s="39" t="s">
        <v>2363</v>
      </c>
      <c r="X251" s="39" t="s">
        <v>2363</v>
      </c>
      <c r="Y251" s="40">
        <f t="shared" si="66"/>
        <v>40152.5</v>
      </c>
      <c r="Z251" s="40">
        <f t="shared" si="67"/>
        <v>843202.5</v>
      </c>
      <c r="AA251" s="41" t="str">
        <f t="shared" si="68"/>
        <v>0.0022</v>
      </c>
      <c r="AB251" s="41">
        <f t="shared" si="69"/>
        <v>0</v>
      </c>
      <c r="AC251" s="41">
        <f t="shared" si="70"/>
        <v>0</v>
      </c>
      <c r="AD251" s="41">
        <f t="shared" si="71"/>
        <v>0</v>
      </c>
      <c r="AE251" s="41">
        <f t="shared" si="72"/>
        <v>0</v>
      </c>
      <c r="AF251" s="41">
        <f t="shared" si="73"/>
        <v>0</v>
      </c>
      <c r="AG251" s="41">
        <f t="shared" si="74"/>
        <v>0</v>
      </c>
      <c r="AH251" s="41">
        <f t="shared" si="75"/>
        <v>0</v>
      </c>
      <c r="AI251" s="41">
        <f t="shared" si="76"/>
        <v>36</v>
      </c>
      <c r="AJ251" s="41">
        <f t="shared" si="77"/>
        <v>365</v>
      </c>
      <c r="AK251" s="41">
        <f t="shared" si="78"/>
        <v>181</v>
      </c>
      <c r="AL251" s="42">
        <f t="shared" si="79"/>
        <v>4.8403013698630142</v>
      </c>
      <c r="AM251" s="42">
        <f t="shared" si="80"/>
        <v>876.09454794520559</v>
      </c>
      <c r="AN251" s="43">
        <f t="shared" si="65"/>
        <v>762897.5</v>
      </c>
      <c r="AO251" s="43"/>
      <c r="AP251" s="42">
        <f t="shared" si="81"/>
        <v>80305</v>
      </c>
      <c r="AQ251" s="43">
        <v>6</v>
      </c>
      <c r="AR251" s="44">
        <f t="shared" si="82"/>
        <v>0.90476190476190477</v>
      </c>
      <c r="AS251" s="45">
        <f t="shared" si="83"/>
        <v>1803.4719726913404</v>
      </c>
      <c r="AU251" s="1">
        <v>722745</v>
      </c>
      <c r="AV251" s="50">
        <v>40152.5</v>
      </c>
    </row>
    <row r="252" spans="1:48" s="1" customFormat="1" ht="37.200000000000003" thickTop="1" thickBot="1" x14ac:dyDescent="0.55000000000000004">
      <c r="A252" s="33">
        <v>245</v>
      </c>
      <c r="B252" s="34" t="s">
        <v>299</v>
      </c>
      <c r="C252" s="34" t="s">
        <v>965</v>
      </c>
      <c r="D252" s="35" t="s">
        <v>754</v>
      </c>
      <c r="E252" s="35" t="s">
        <v>966</v>
      </c>
      <c r="F252" s="36" t="s">
        <v>1209</v>
      </c>
      <c r="G252" s="36" t="s">
        <v>1420</v>
      </c>
      <c r="H252" s="36" t="s">
        <v>1421</v>
      </c>
      <c r="I252" s="36" t="s">
        <v>1421</v>
      </c>
      <c r="J252" s="36" t="s">
        <v>1421</v>
      </c>
      <c r="K252" s="36">
        <v>375</v>
      </c>
      <c r="L252" s="36" t="s">
        <v>1422</v>
      </c>
      <c r="M252" s="49">
        <v>4</v>
      </c>
      <c r="N252" s="37" t="s">
        <v>1667</v>
      </c>
      <c r="O252" s="37"/>
      <c r="P252" s="36">
        <v>1</v>
      </c>
      <c r="Q252" s="36" t="s">
        <v>1931</v>
      </c>
      <c r="R252" s="36" t="s">
        <v>2151</v>
      </c>
      <c r="S252" s="36" t="s">
        <v>1880</v>
      </c>
      <c r="T252" s="36" t="s">
        <v>1901</v>
      </c>
      <c r="U252" s="38">
        <v>45621</v>
      </c>
      <c r="V252" s="39">
        <v>685974</v>
      </c>
      <c r="W252" s="39" t="s">
        <v>2363</v>
      </c>
      <c r="X252" s="39" t="s">
        <v>2363</v>
      </c>
      <c r="Y252" s="40">
        <f t="shared" si="66"/>
        <v>34298.699999999997</v>
      </c>
      <c r="Z252" s="40">
        <f t="shared" si="67"/>
        <v>720272.7</v>
      </c>
      <c r="AA252" s="41" t="str">
        <f t="shared" si="68"/>
        <v>0.0018</v>
      </c>
      <c r="AB252" s="41">
        <f t="shared" si="69"/>
        <v>0</v>
      </c>
      <c r="AC252" s="41">
        <f t="shared" si="70"/>
        <v>0</v>
      </c>
      <c r="AD252" s="41">
        <f t="shared" si="71"/>
        <v>0</v>
      </c>
      <c r="AE252" s="41">
        <f t="shared" si="72"/>
        <v>0</v>
      </c>
      <c r="AF252" s="41">
        <f t="shared" si="73"/>
        <v>0</v>
      </c>
      <c r="AG252" s="41">
        <f t="shared" si="74"/>
        <v>0</v>
      </c>
      <c r="AH252" s="41">
        <f t="shared" si="75"/>
        <v>0</v>
      </c>
      <c r="AI252" s="41">
        <f t="shared" si="76"/>
        <v>36</v>
      </c>
      <c r="AJ252" s="41">
        <f t="shared" si="77"/>
        <v>365</v>
      </c>
      <c r="AK252" s="41">
        <f t="shared" si="78"/>
        <v>181</v>
      </c>
      <c r="AL252" s="42">
        <f t="shared" si="79"/>
        <v>3.3828854794520544</v>
      </c>
      <c r="AM252" s="42">
        <f t="shared" si="80"/>
        <v>612.3022717808218</v>
      </c>
      <c r="AN252" s="43">
        <f t="shared" si="65"/>
        <v>617376.6</v>
      </c>
      <c r="AO252" s="43"/>
      <c r="AP252" s="42">
        <f t="shared" si="81"/>
        <v>102896.09999999998</v>
      </c>
      <c r="AQ252" s="43">
        <v>5</v>
      </c>
      <c r="AR252" s="44">
        <f t="shared" si="82"/>
        <v>0.85714285714285721</v>
      </c>
      <c r="AS252" s="45">
        <f t="shared" si="83"/>
        <v>1829.2639999999999</v>
      </c>
      <c r="AU252" s="1">
        <v>514480.49999999994</v>
      </c>
      <c r="AV252" s="50">
        <v>102896.1</v>
      </c>
    </row>
    <row r="253" spans="1:48" s="1" customFormat="1" ht="37.200000000000003" thickTop="1" thickBot="1" x14ac:dyDescent="0.55000000000000004">
      <c r="A253" s="33">
        <v>246</v>
      </c>
      <c r="B253" s="34" t="s">
        <v>300</v>
      </c>
      <c r="C253" s="34" t="s">
        <v>965</v>
      </c>
      <c r="D253" s="35" t="s">
        <v>755</v>
      </c>
      <c r="E253" s="35" t="s">
        <v>966</v>
      </c>
      <c r="F253" s="36" t="s">
        <v>1210</v>
      </c>
      <c r="G253" s="36" t="s">
        <v>1420</v>
      </c>
      <c r="H253" s="36" t="s">
        <v>1421</v>
      </c>
      <c r="I253" s="36" t="s">
        <v>1421</v>
      </c>
      <c r="J253" s="36" t="s">
        <v>1421</v>
      </c>
      <c r="K253" s="36">
        <v>426.42</v>
      </c>
      <c r="L253" s="36" t="s">
        <v>1422</v>
      </c>
      <c r="M253" s="49">
        <v>4</v>
      </c>
      <c r="N253" s="37" t="s">
        <v>1668</v>
      </c>
      <c r="O253" s="37"/>
      <c r="P253" s="36">
        <v>1</v>
      </c>
      <c r="Q253" s="36" t="s">
        <v>1941</v>
      </c>
      <c r="R253" s="36" t="s">
        <v>2152</v>
      </c>
      <c r="S253" s="36" t="s">
        <v>1880</v>
      </c>
      <c r="T253" s="36" t="s">
        <v>1881</v>
      </c>
      <c r="U253" s="38">
        <v>45621</v>
      </c>
      <c r="V253" s="39">
        <v>729234.45</v>
      </c>
      <c r="W253" s="39" t="s">
        <v>2363</v>
      </c>
      <c r="X253" s="39" t="s">
        <v>2363</v>
      </c>
      <c r="Y253" s="40">
        <f t="shared" si="66"/>
        <v>36461.722500000003</v>
      </c>
      <c r="Z253" s="40">
        <f t="shared" si="67"/>
        <v>765696.17249999999</v>
      </c>
      <c r="AA253" s="41" t="str">
        <f t="shared" si="68"/>
        <v>0.0022</v>
      </c>
      <c r="AB253" s="41">
        <f t="shared" si="69"/>
        <v>0</v>
      </c>
      <c r="AC253" s="41">
        <f t="shared" si="70"/>
        <v>0</v>
      </c>
      <c r="AD253" s="41">
        <f t="shared" si="71"/>
        <v>0</v>
      </c>
      <c r="AE253" s="41">
        <f t="shared" si="72"/>
        <v>0</v>
      </c>
      <c r="AF253" s="41">
        <f t="shared" si="73"/>
        <v>0</v>
      </c>
      <c r="AG253" s="41">
        <f t="shared" si="74"/>
        <v>0</v>
      </c>
      <c r="AH253" s="41">
        <f t="shared" si="75"/>
        <v>0</v>
      </c>
      <c r="AI253" s="41">
        <f t="shared" si="76"/>
        <v>36</v>
      </c>
      <c r="AJ253" s="41">
        <f t="shared" si="77"/>
        <v>365</v>
      </c>
      <c r="AK253" s="41">
        <f t="shared" si="78"/>
        <v>181</v>
      </c>
      <c r="AL253" s="42">
        <f t="shared" si="79"/>
        <v>4.3953857260273974</v>
      </c>
      <c r="AM253" s="42">
        <f t="shared" si="80"/>
        <v>795.56481641095888</v>
      </c>
      <c r="AN253" s="43">
        <f t="shared" si="65"/>
        <v>656311.01000000013</v>
      </c>
      <c r="AO253" s="43"/>
      <c r="AP253" s="42">
        <f t="shared" si="81"/>
        <v>109385.16249999986</v>
      </c>
      <c r="AQ253" s="43">
        <v>5</v>
      </c>
      <c r="AR253" s="44">
        <f t="shared" si="82"/>
        <v>0.85714286367286252</v>
      </c>
      <c r="AS253" s="45">
        <f t="shared" si="83"/>
        <v>1710.1319121992401</v>
      </c>
      <c r="AU253" s="1">
        <v>546925.84000000008</v>
      </c>
      <c r="AV253" s="50">
        <v>109385.17</v>
      </c>
    </row>
    <row r="254" spans="1:48" s="1" customFormat="1" ht="37.200000000000003" thickTop="1" thickBot="1" x14ac:dyDescent="0.55000000000000004">
      <c r="A254" s="33">
        <v>247</v>
      </c>
      <c r="B254" s="34" t="s">
        <v>301</v>
      </c>
      <c r="C254" s="34" t="s">
        <v>965</v>
      </c>
      <c r="D254" s="35" t="s">
        <v>756</v>
      </c>
      <c r="E254" s="35" t="s">
        <v>966</v>
      </c>
      <c r="F254" s="36" t="s">
        <v>1211</v>
      </c>
      <c r="G254" s="36" t="s">
        <v>1420</v>
      </c>
      <c r="H254" s="36" t="s">
        <v>1421</v>
      </c>
      <c r="I254" s="36" t="s">
        <v>1421</v>
      </c>
      <c r="J254" s="36" t="s">
        <v>1421</v>
      </c>
      <c r="K254" s="36">
        <v>367</v>
      </c>
      <c r="L254" s="36" t="s">
        <v>1422</v>
      </c>
      <c r="M254" s="49">
        <v>4</v>
      </c>
      <c r="N254" s="37" t="s">
        <v>1669</v>
      </c>
      <c r="O254" s="37"/>
      <c r="P254" s="36">
        <v>1</v>
      </c>
      <c r="Q254" s="36" t="s">
        <v>2032</v>
      </c>
      <c r="R254" s="36" t="s">
        <v>2153</v>
      </c>
      <c r="S254" s="36" t="s">
        <v>1880</v>
      </c>
      <c r="T254" s="36" t="s">
        <v>1881</v>
      </c>
      <c r="U254" s="38">
        <v>45622</v>
      </c>
      <c r="V254" s="39">
        <v>845170</v>
      </c>
      <c r="W254" s="39" t="s">
        <v>2363</v>
      </c>
      <c r="X254" s="39" t="s">
        <v>2363</v>
      </c>
      <c r="Y254" s="40">
        <f t="shared" si="66"/>
        <v>42258.5</v>
      </c>
      <c r="Z254" s="40">
        <f t="shared" si="67"/>
        <v>887428.5</v>
      </c>
      <c r="AA254" s="41" t="str">
        <f t="shared" si="68"/>
        <v>0.0022</v>
      </c>
      <c r="AB254" s="41">
        <f t="shared" si="69"/>
        <v>0</v>
      </c>
      <c r="AC254" s="41">
        <f t="shared" si="70"/>
        <v>0</v>
      </c>
      <c r="AD254" s="41">
        <f t="shared" si="71"/>
        <v>0</v>
      </c>
      <c r="AE254" s="41">
        <f t="shared" si="72"/>
        <v>0</v>
      </c>
      <c r="AF254" s="41">
        <f t="shared" si="73"/>
        <v>0</v>
      </c>
      <c r="AG254" s="41">
        <f t="shared" si="74"/>
        <v>0</v>
      </c>
      <c r="AH254" s="41">
        <f t="shared" si="75"/>
        <v>0</v>
      </c>
      <c r="AI254" s="41">
        <f t="shared" si="76"/>
        <v>35</v>
      </c>
      <c r="AJ254" s="41">
        <f t="shared" si="77"/>
        <v>365</v>
      </c>
      <c r="AK254" s="41">
        <f t="shared" si="78"/>
        <v>181</v>
      </c>
      <c r="AL254" s="42">
        <f t="shared" si="79"/>
        <v>5.0941753424657534</v>
      </c>
      <c r="AM254" s="42">
        <f t="shared" si="80"/>
        <v>922.04573698630134</v>
      </c>
      <c r="AN254" s="43">
        <f t="shared" si="65"/>
        <v>760653</v>
      </c>
      <c r="AO254" s="43"/>
      <c r="AP254" s="42">
        <f t="shared" si="81"/>
        <v>126775.5</v>
      </c>
      <c r="AQ254" s="43">
        <v>5</v>
      </c>
      <c r="AR254" s="44">
        <f t="shared" si="82"/>
        <v>0.8571428571428571</v>
      </c>
      <c r="AS254" s="45">
        <f t="shared" si="83"/>
        <v>2302.9155313351498</v>
      </c>
      <c r="AU254" s="1">
        <v>633877.5</v>
      </c>
      <c r="AV254" s="50">
        <v>126775.5</v>
      </c>
    </row>
    <row r="255" spans="1:48" s="1" customFormat="1" ht="37.200000000000003" thickTop="1" thickBot="1" x14ac:dyDescent="0.55000000000000004">
      <c r="A255" s="33">
        <v>248</v>
      </c>
      <c r="B255" s="34" t="s">
        <v>302</v>
      </c>
      <c r="C255" s="34" t="s">
        <v>965</v>
      </c>
      <c r="D255" s="35" t="s">
        <v>757</v>
      </c>
      <c r="E255" s="35" t="s">
        <v>966</v>
      </c>
      <c r="F255" s="36" t="s">
        <v>1212</v>
      </c>
      <c r="G255" s="36" t="s">
        <v>1420</v>
      </c>
      <c r="H255" s="36" t="s">
        <v>1421</v>
      </c>
      <c r="I255" s="36" t="s">
        <v>1421</v>
      </c>
      <c r="J255" s="36" t="s">
        <v>1421</v>
      </c>
      <c r="K255" s="36">
        <v>375</v>
      </c>
      <c r="L255" s="36" t="s">
        <v>1422</v>
      </c>
      <c r="M255" s="49">
        <v>4</v>
      </c>
      <c r="N255" s="37" t="s">
        <v>1670</v>
      </c>
      <c r="O255" s="37"/>
      <c r="P255" s="36">
        <v>1</v>
      </c>
      <c r="Q255" s="36" t="s">
        <v>1933</v>
      </c>
      <c r="R255" s="36" t="s">
        <v>2154</v>
      </c>
      <c r="S255" s="36" t="s">
        <v>1880</v>
      </c>
      <c r="T255" s="36" t="s">
        <v>1881</v>
      </c>
      <c r="U255" s="38">
        <v>45622</v>
      </c>
      <c r="V255" s="39">
        <v>589339</v>
      </c>
      <c r="W255" s="39" t="s">
        <v>2363</v>
      </c>
      <c r="X255" s="39" t="s">
        <v>2363</v>
      </c>
      <c r="Y255" s="40">
        <f t="shared" si="66"/>
        <v>29466.95</v>
      </c>
      <c r="Z255" s="40">
        <f t="shared" si="67"/>
        <v>618805.94999999995</v>
      </c>
      <c r="AA255" s="41" t="str">
        <f t="shared" si="68"/>
        <v>0.0018</v>
      </c>
      <c r="AB255" s="41">
        <f t="shared" si="69"/>
        <v>0</v>
      </c>
      <c r="AC255" s="41">
        <f t="shared" si="70"/>
        <v>0</v>
      </c>
      <c r="AD255" s="41">
        <f t="shared" si="71"/>
        <v>0</v>
      </c>
      <c r="AE255" s="41">
        <f t="shared" si="72"/>
        <v>0</v>
      </c>
      <c r="AF255" s="41">
        <f t="shared" si="73"/>
        <v>0</v>
      </c>
      <c r="AG255" s="41">
        <f t="shared" si="74"/>
        <v>0</v>
      </c>
      <c r="AH255" s="41">
        <f t="shared" si="75"/>
        <v>0</v>
      </c>
      <c r="AI255" s="41">
        <f t="shared" si="76"/>
        <v>35</v>
      </c>
      <c r="AJ255" s="41">
        <f t="shared" si="77"/>
        <v>365</v>
      </c>
      <c r="AK255" s="41">
        <f t="shared" si="78"/>
        <v>181</v>
      </c>
      <c r="AL255" s="42">
        <f t="shared" si="79"/>
        <v>2.906329315068493</v>
      </c>
      <c r="AM255" s="42">
        <f t="shared" si="80"/>
        <v>526.04560602739718</v>
      </c>
      <c r="AN255" s="43">
        <f t="shared" si="65"/>
        <v>530405.1</v>
      </c>
      <c r="AO255" s="43"/>
      <c r="AP255" s="42">
        <f t="shared" si="81"/>
        <v>88400.849999999977</v>
      </c>
      <c r="AQ255" s="43">
        <v>5</v>
      </c>
      <c r="AR255" s="44">
        <f t="shared" si="82"/>
        <v>0.85714285714285721</v>
      </c>
      <c r="AS255" s="45">
        <f t="shared" si="83"/>
        <v>1571.5706666666667</v>
      </c>
      <c r="AU255" s="1">
        <v>442004.25</v>
      </c>
      <c r="AV255" s="50">
        <v>88400.85</v>
      </c>
    </row>
    <row r="256" spans="1:48" s="1" customFormat="1" ht="37.200000000000003" thickTop="1" thickBot="1" x14ac:dyDescent="0.55000000000000004">
      <c r="A256" s="33">
        <v>249</v>
      </c>
      <c r="B256" s="34" t="s">
        <v>303</v>
      </c>
      <c r="C256" s="34" t="s">
        <v>965</v>
      </c>
      <c r="D256" s="35" t="s">
        <v>758</v>
      </c>
      <c r="E256" s="35" t="s">
        <v>966</v>
      </c>
      <c r="F256" s="36" t="s">
        <v>1213</v>
      </c>
      <c r="G256" s="36" t="s">
        <v>1420</v>
      </c>
      <c r="H256" s="36" t="s">
        <v>1421</v>
      </c>
      <c r="I256" s="36" t="s">
        <v>1421</v>
      </c>
      <c r="J256" s="36" t="s">
        <v>1421</v>
      </c>
      <c r="K256" s="36">
        <v>470.91</v>
      </c>
      <c r="L256" s="36" t="s">
        <v>1422</v>
      </c>
      <c r="M256" s="49">
        <v>4</v>
      </c>
      <c r="N256" s="37" t="s">
        <v>1671</v>
      </c>
      <c r="O256" s="37"/>
      <c r="P256" s="36">
        <v>1</v>
      </c>
      <c r="Q256" s="36" t="s">
        <v>1935</v>
      </c>
      <c r="R256" s="36" t="s">
        <v>2155</v>
      </c>
      <c r="S256" s="36" t="s">
        <v>1880</v>
      </c>
      <c r="T256" s="36" t="s">
        <v>1881</v>
      </c>
      <c r="U256" s="38">
        <v>45622</v>
      </c>
      <c r="V256" s="39">
        <v>815867</v>
      </c>
      <c r="W256" s="39" t="s">
        <v>2363</v>
      </c>
      <c r="X256" s="39" t="s">
        <v>2363</v>
      </c>
      <c r="Y256" s="40">
        <f t="shared" si="66"/>
        <v>40793.35</v>
      </c>
      <c r="Z256" s="40">
        <f t="shared" si="67"/>
        <v>856660.35</v>
      </c>
      <c r="AA256" s="41" t="str">
        <f t="shared" si="68"/>
        <v>0.0022</v>
      </c>
      <c r="AB256" s="41">
        <f t="shared" si="69"/>
        <v>0</v>
      </c>
      <c r="AC256" s="41">
        <f t="shared" si="70"/>
        <v>0</v>
      </c>
      <c r="AD256" s="41">
        <f t="shared" si="71"/>
        <v>0</v>
      </c>
      <c r="AE256" s="41">
        <f t="shared" si="72"/>
        <v>0</v>
      </c>
      <c r="AF256" s="41">
        <f t="shared" si="73"/>
        <v>0</v>
      </c>
      <c r="AG256" s="41">
        <f t="shared" si="74"/>
        <v>0</v>
      </c>
      <c r="AH256" s="41">
        <f t="shared" si="75"/>
        <v>0</v>
      </c>
      <c r="AI256" s="41">
        <f t="shared" si="76"/>
        <v>35</v>
      </c>
      <c r="AJ256" s="41">
        <f t="shared" si="77"/>
        <v>365</v>
      </c>
      <c r="AK256" s="41">
        <f t="shared" si="78"/>
        <v>181</v>
      </c>
      <c r="AL256" s="42">
        <f t="shared" si="79"/>
        <v>4.9175545205479452</v>
      </c>
      <c r="AM256" s="42">
        <f t="shared" si="80"/>
        <v>890.07736821917808</v>
      </c>
      <c r="AN256" s="43">
        <f t="shared" si="65"/>
        <v>734280.29999999993</v>
      </c>
      <c r="AO256" s="43"/>
      <c r="AP256" s="42">
        <f t="shared" si="81"/>
        <v>122380.05000000005</v>
      </c>
      <c r="AQ256" s="43">
        <v>5</v>
      </c>
      <c r="AR256" s="44">
        <f t="shared" si="82"/>
        <v>0.8571428571428571</v>
      </c>
      <c r="AS256" s="45">
        <f t="shared" si="83"/>
        <v>1732.5327557282708</v>
      </c>
      <c r="AU256" s="1">
        <v>489520.19999999995</v>
      </c>
      <c r="AV256" s="50">
        <v>244760.1</v>
      </c>
    </row>
    <row r="257" spans="1:48" s="1" customFormat="1" ht="37.200000000000003" thickTop="1" thickBot="1" x14ac:dyDescent="0.55000000000000004">
      <c r="A257" s="33">
        <v>250</v>
      </c>
      <c r="B257" s="34" t="s">
        <v>304</v>
      </c>
      <c r="C257" s="34" t="s">
        <v>965</v>
      </c>
      <c r="D257" s="35" t="s">
        <v>759</v>
      </c>
      <c r="E257" s="35" t="s">
        <v>966</v>
      </c>
      <c r="F257" s="36" t="s">
        <v>1214</v>
      </c>
      <c r="G257" s="36" t="s">
        <v>1420</v>
      </c>
      <c r="H257" s="36" t="s">
        <v>1421</v>
      </c>
      <c r="I257" s="36" t="s">
        <v>1421</v>
      </c>
      <c r="J257" s="36" t="s">
        <v>1421</v>
      </c>
      <c r="K257" s="36">
        <v>350</v>
      </c>
      <c r="L257" s="36" t="s">
        <v>1422</v>
      </c>
      <c r="M257" s="49">
        <v>4</v>
      </c>
      <c r="N257" s="37" t="s">
        <v>1672</v>
      </c>
      <c r="O257" s="37"/>
      <c r="P257" s="36">
        <v>1</v>
      </c>
      <c r="Q257" s="36" t="s">
        <v>1937</v>
      </c>
      <c r="R257" s="36" t="s">
        <v>2156</v>
      </c>
      <c r="S257" s="36" t="s">
        <v>1880</v>
      </c>
      <c r="T257" s="36" t="s">
        <v>1881</v>
      </c>
      <c r="U257" s="38">
        <v>45622</v>
      </c>
      <c r="V257" s="39">
        <v>585400</v>
      </c>
      <c r="W257" s="39" t="s">
        <v>2363</v>
      </c>
      <c r="X257" s="39" t="s">
        <v>2363</v>
      </c>
      <c r="Y257" s="40">
        <f t="shared" si="66"/>
        <v>29270</v>
      </c>
      <c r="Z257" s="40">
        <f t="shared" si="67"/>
        <v>614670</v>
      </c>
      <c r="AA257" s="41" t="str">
        <f t="shared" si="68"/>
        <v>0.0018</v>
      </c>
      <c r="AB257" s="41">
        <f t="shared" si="69"/>
        <v>0</v>
      </c>
      <c r="AC257" s="41">
        <f t="shared" si="70"/>
        <v>0</v>
      </c>
      <c r="AD257" s="41">
        <f t="shared" si="71"/>
        <v>0</v>
      </c>
      <c r="AE257" s="41">
        <f t="shared" si="72"/>
        <v>0</v>
      </c>
      <c r="AF257" s="41">
        <f t="shared" si="73"/>
        <v>0</v>
      </c>
      <c r="AG257" s="41">
        <f t="shared" si="74"/>
        <v>0</v>
      </c>
      <c r="AH257" s="41">
        <f t="shared" si="75"/>
        <v>0</v>
      </c>
      <c r="AI257" s="41">
        <f t="shared" si="76"/>
        <v>35</v>
      </c>
      <c r="AJ257" s="41">
        <f t="shared" si="77"/>
        <v>365</v>
      </c>
      <c r="AK257" s="41">
        <f t="shared" si="78"/>
        <v>181</v>
      </c>
      <c r="AL257" s="42">
        <f t="shared" si="79"/>
        <v>2.8869041095890413</v>
      </c>
      <c r="AM257" s="42">
        <f t="shared" si="80"/>
        <v>522.52964383561653</v>
      </c>
      <c r="AN257" s="43">
        <f t="shared" si="65"/>
        <v>526860</v>
      </c>
      <c r="AO257" s="43"/>
      <c r="AP257" s="42">
        <f t="shared" si="81"/>
        <v>87810</v>
      </c>
      <c r="AQ257" s="43">
        <v>5</v>
      </c>
      <c r="AR257" s="44">
        <f t="shared" si="82"/>
        <v>0.8571428571428571</v>
      </c>
      <c r="AS257" s="45">
        <f t="shared" si="83"/>
        <v>1672.5714285714287</v>
      </c>
      <c r="AU257" s="1">
        <v>351240</v>
      </c>
      <c r="AV257" s="50">
        <v>175620</v>
      </c>
    </row>
    <row r="258" spans="1:48" s="1" customFormat="1" ht="37.200000000000003" thickTop="1" thickBot="1" x14ac:dyDescent="0.55000000000000004">
      <c r="A258" s="33">
        <v>251</v>
      </c>
      <c r="B258" s="34" t="s">
        <v>305</v>
      </c>
      <c r="C258" s="34" t="s">
        <v>965</v>
      </c>
      <c r="D258" s="35" t="s">
        <v>760</v>
      </c>
      <c r="E258" s="35" t="s">
        <v>966</v>
      </c>
      <c r="F258" s="36" t="s">
        <v>1215</v>
      </c>
      <c r="G258" s="36" t="s">
        <v>1420</v>
      </c>
      <c r="H258" s="36" t="s">
        <v>1421</v>
      </c>
      <c r="I258" s="36" t="s">
        <v>1421</v>
      </c>
      <c r="J258" s="36" t="s">
        <v>1421</v>
      </c>
      <c r="K258" s="36">
        <v>355.47</v>
      </c>
      <c r="L258" s="36" t="s">
        <v>1422</v>
      </c>
      <c r="M258" s="49">
        <v>4</v>
      </c>
      <c r="N258" s="37" t="s">
        <v>1673</v>
      </c>
      <c r="O258" s="37"/>
      <c r="P258" s="36">
        <v>1</v>
      </c>
      <c r="Q258" s="36" t="s">
        <v>1972</v>
      </c>
      <c r="R258" s="36" t="s">
        <v>2157</v>
      </c>
      <c r="S258" s="36" t="s">
        <v>1880</v>
      </c>
      <c r="T258" s="36" t="s">
        <v>1881</v>
      </c>
      <c r="U258" s="38">
        <v>45623</v>
      </c>
      <c r="V258" s="39">
        <v>841113.9</v>
      </c>
      <c r="W258" s="39" t="s">
        <v>2363</v>
      </c>
      <c r="X258" s="39" t="s">
        <v>2363</v>
      </c>
      <c r="Y258" s="40">
        <f t="shared" si="66"/>
        <v>42055.695</v>
      </c>
      <c r="Z258" s="40">
        <f t="shared" si="67"/>
        <v>883169.59499999997</v>
      </c>
      <c r="AA258" s="41" t="str">
        <f t="shared" si="68"/>
        <v>0.0022</v>
      </c>
      <c r="AB258" s="41">
        <f t="shared" si="69"/>
        <v>0</v>
      </c>
      <c r="AC258" s="41">
        <f t="shared" si="70"/>
        <v>0</v>
      </c>
      <c r="AD258" s="41">
        <f t="shared" si="71"/>
        <v>0</v>
      </c>
      <c r="AE258" s="41">
        <f t="shared" si="72"/>
        <v>0</v>
      </c>
      <c r="AF258" s="41">
        <f t="shared" si="73"/>
        <v>0</v>
      </c>
      <c r="AG258" s="41">
        <f t="shared" si="74"/>
        <v>0</v>
      </c>
      <c r="AH258" s="41">
        <f t="shared" si="75"/>
        <v>0</v>
      </c>
      <c r="AI258" s="41">
        <f t="shared" si="76"/>
        <v>34</v>
      </c>
      <c r="AJ258" s="41">
        <f t="shared" si="77"/>
        <v>365</v>
      </c>
      <c r="AK258" s="41">
        <f t="shared" si="78"/>
        <v>181</v>
      </c>
      <c r="AL258" s="42">
        <f t="shared" si="79"/>
        <v>5.0697276164383567</v>
      </c>
      <c r="AM258" s="42">
        <f t="shared" si="80"/>
        <v>917.62069857534254</v>
      </c>
      <c r="AN258" s="43">
        <f t="shared" si="65"/>
        <v>757002.52</v>
      </c>
      <c r="AO258" s="43"/>
      <c r="AP258" s="42">
        <f t="shared" si="81"/>
        <v>126167.07499999995</v>
      </c>
      <c r="AQ258" s="43">
        <v>5</v>
      </c>
      <c r="AR258" s="44">
        <f t="shared" si="82"/>
        <v>0.85714286846571075</v>
      </c>
      <c r="AS258" s="45">
        <f t="shared" si="83"/>
        <v>2366.2022111570595</v>
      </c>
      <c r="AU258" s="1">
        <v>757002.52</v>
      </c>
      <c r="AV258" s="50">
        <v>0</v>
      </c>
    </row>
    <row r="259" spans="1:48" s="1" customFormat="1" ht="37.200000000000003" thickTop="1" thickBot="1" x14ac:dyDescent="0.55000000000000004">
      <c r="A259" s="33">
        <v>252</v>
      </c>
      <c r="B259" s="34" t="s">
        <v>306</v>
      </c>
      <c r="C259" s="34" t="s">
        <v>965</v>
      </c>
      <c r="D259" s="35" t="s">
        <v>761</v>
      </c>
      <c r="E259" s="35" t="s">
        <v>966</v>
      </c>
      <c r="F259" s="36" t="s">
        <v>1216</v>
      </c>
      <c r="G259" s="36" t="s">
        <v>1420</v>
      </c>
      <c r="H259" s="36" t="s">
        <v>1421</v>
      </c>
      <c r="I259" s="36" t="s">
        <v>1421</v>
      </c>
      <c r="J259" s="36" t="s">
        <v>1421</v>
      </c>
      <c r="K259" s="36">
        <v>354.5</v>
      </c>
      <c r="L259" s="36" t="s">
        <v>1422</v>
      </c>
      <c r="M259" s="49">
        <v>4</v>
      </c>
      <c r="N259" s="37" t="s">
        <v>1674</v>
      </c>
      <c r="O259" s="37"/>
      <c r="P259" s="36">
        <v>1</v>
      </c>
      <c r="Q259" s="36" t="s">
        <v>1964</v>
      </c>
      <c r="R259" s="36" t="s">
        <v>2158</v>
      </c>
      <c r="S259" s="36" t="s">
        <v>1880</v>
      </c>
      <c r="T259" s="36" t="s">
        <v>1881</v>
      </c>
      <c r="U259" s="38">
        <v>45623</v>
      </c>
      <c r="V259" s="39">
        <v>763662</v>
      </c>
      <c r="W259" s="39" t="s">
        <v>2363</v>
      </c>
      <c r="X259" s="39" t="s">
        <v>2363</v>
      </c>
      <c r="Y259" s="40">
        <f t="shared" si="66"/>
        <v>38183.1</v>
      </c>
      <c r="Z259" s="40">
        <f t="shared" si="67"/>
        <v>801845.1</v>
      </c>
      <c r="AA259" s="41" t="str">
        <f t="shared" si="68"/>
        <v>0.0022</v>
      </c>
      <c r="AB259" s="41">
        <f t="shared" si="69"/>
        <v>0</v>
      </c>
      <c r="AC259" s="41">
        <f t="shared" si="70"/>
        <v>0</v>
      </c>
      <c r="AD259" s="41">
        <f t="shared" si="71"/>
        <v>0</v>
      </c>
      <c r="AE259" s="41">
        <f t="shared" si="72"/>
        <v>0</v>
      </c>
      <c r="AF259" s="41">
        <f t="shared" si="73"/>
        <v>0</v>
      </c>
      <c r="AG259" s="41">
        <f t="shared" si="74"/>
        <v>0</v>
      </c>
      <c r="AH259" s="41">
        <f t="shared" si="75"/>
        <v>0</v>
      </c>
      <c r="AI259" s="41">
        <f t="shared" si="76"/>
        <v>34</v>
      </c>
      <c r="AJ259" s="41">
        <f t="shared" si="77"/>
        <v>365</v>
      </c>
      <c r="AK259" s="41">
        <f t="shared" si="78"/>
        <v>181</v>
      </c>
      <c r="AL259" s="42">
        <f t="shared" si="79"/>
        <v>4.6028942465753433</v>
      </c>
      <c r="AM259" s="42">
        <f t="shared" si="80"/>
        <v>833.12385863013719</v>
      </c>
      <c r="AN259" s="43">
        <f t="shared" si="65"/>
        <v>725478.9</v>
      </c>
      <c r="AO259" s="43"/>
      <c r="AP259" s="42">
        <f t="shared" si="81"/>
        <v>76366.199999999953</v>
      </c>
      <c r="AQ259" s="43">
        <v>6</v>
      </c>
      <c r="AR259" s="44">
        <f t="shared" si="82"/>
        <v>0.90476190476190477</v>
      </c>
      <c r="AS259" s="45">
        <f t="shared" si="83"/>
        <v>2154.194640338505</v>
      </c>
      <c r="AU259" s="1">
        <v>687295.8</v>
      </c>
      <c r="AV259" s="50">
        <v>38183.1</v>
      </c>
    </row>
    <row r="260" spans="1:48" s="1" customFormat="1" ht="37.200000000000003" thickTop="1" thickBot="1" x14ac:dyDescent="0.55000000000000004">
      <c r="A260" s="33">
        <v>253</v>
      </c>
      <c r="B260" s="34" t="s">
        <v>307</v>
      </c>
      <c r="C260" s="34" t="s">
        <v>965</v>
      </c>
      <c r="D260" s="35" t="s">
        <v>762</v>
      </c>
      <c r="E260" s="35" t="s">
        <v>966</v>
      </c>
      <c r="F260" s="36" t="s">
        <v>1217</v>
      </c>
      <c r="G260" s="36" t="s">
        <v>1420</v>
      </c>
      <c r="H260" s="36" t="s">
        <v>1421</v>
      </c>
      <c r="I260" s="36" t="s">
        <v>1421</v>
      </c>
      <c r="J260" s="36" t="s">
        <v>1421</v>
      </c>
      <c r="K260" s="36">
        <v>378.45</v>
      </c>
      <c r="L260" s="36" t="s">
        <v>1422</v>
      </c>
      <c r="M260" s="49">
        <v>4</v>
      </c>
      <c r="N260" s="37" t="s">
        <v>1675</v>
      </c>
      <c r="O260" s="37"/>
      <c r="P260" s="36">
        <v>1</v>
      </c>
      <c r="Q260" s="36" t="s">
        <v>1929</v>
      </c>
      <c r="R260" s="36" t="s">
        <v>2159</v>
      </c>
      <c r="S260" s="36" t="s">
        <v>1880</v>
      </c>
      <c r="T260" s="36" t="s">
        <v>1901</v>
      </c>
      <c r="U260" s="38">
        <v>45623</v>
      </c>
      <c r="V260" s="39">
        <v>797475.8</v>
      </c>
      <c r="W260" s="39" t="s">
        <v>2363</v>
      </c>
      <c r="X260" s="39" t="s">
        <v>2363</v>
      </c>
      <c r="Y260" s="40">
        <f t="shared" si="66"/>
        <v>39873.79</v>
      </c>
      <c r="Z260" s="40">
        <f t="shared" si="67"/>
        <v>837349.59000000008</v>
      </c>
      <c r="AA260" s="41" t="str">
        <f t="shared" si="68"/>
        <v>0.0022</v>
      </c>
      <c r="AB260" s="41">
        <f t="shared" si="69"/>
        <v>0</v>
      </c>
      <c r="AC260" s="41">
        <f t="shared" si="70"/>
        <v>0</v>
      </c>
      <c r="AD260" s="41">
        <f t="shared" si="71"/>
        <v>0</v>
      </c>
      <c r="AE260" s="41">
        <f t="shared" si="72"/>
        <v>0</v>
      </c>
      <c r="AF260" s="41">
        <f t="shared" si="73"/>
        <v>0</v>
      </c>
      <c r="AG260" s="41">
        <f t="shared" si="74"/>
        <v>0</v>
      </c>
      <c r="AH260" s="41">
        <f t="shared" si="75"/>
        <v>0</v>
      </c>
      <c r="AI260" s="41">
        <f t="shared" si="76"/>
        <v>34</v>
      </c>
      <c r="AJ260" s="41">
        <f t="shared" si="77"/>
        <v>365</v>
      </c>
      <c r="AK260" s="41">
        <f t="shared" si="78"/>
        <v>181</v>
      </c>
      <c r="AL260" s="42">
        <f t="shared" si="79"/>
        <v>4.8067034520547951</v>
      </c>
      <c r="AM260" s="42">
        <f t="shared" si="80"/>
        <v>870.01332482191788</v>
      </c>
      <c r="AN260" s="43">
        <f t="shared" si="65"/>
        <v>757602.05</v>
      </c>
      <c r="AO260" s="43"/>
      <c r="AP260" s="42">
        <f t="shared" si="81"/>
        <v>79747.540000000037</v>
      </c>
      <c r="AQ260" s="43">
        <v>6</v>
      </c>
      <c r="AR260" s="44">
        <f t="shared" si="82"/>
        <v>0.9047619525316779</v>
      </c>
      <c r="AS260" s="45">
        <f t="shared" si="83"/>
        <v>2107.2157484476156</v>
      </c>
      <c r="AU260" s="1">
        <v>717728.25</v>
      </c>
      <c r="AV260" s="50">
        <v>39873.800000000003</v>
      </c>
    </row>
    <row r="261" spans="1:48" s="1" customFormat="1" ht="37.200000000000003" thickTop="1" thickBot="1" x14ac:dyDescent="0.55000000000000004">
      <c r="A261" s="33">
        <v>254</v>
      </c>
      <c r="B261" s="34" t="s">
        <v>308</v>
      </c>
      <c r="C261" s="34" t="s">
        <v>965</v>
      </c>
      <c r="D261" s="35" t="s">
        <v>763</v>
      </c>
      <c r="E261" s="35" t="s">
        <v>966</v>
      </c>
      <c r="F261" s="36" t="s">
        <v>1218</v>
      </c>
      <c r="G261" s="36" t="s">
        <v>1420</v>
      </c>
      <c r="H261" s="36" t="s">
        <v>1421</v>
      </c>
      <c r="I261" s="36" t="s">
        <v>1421</v>
      </c>
      <c r="J261" s="36" t="s">
        <v>1421</v>
      </c>
      <c r="K261" s="36">
        <v>350</v>
      </c>
      <c r="L261" s="36" t="s">
        <v>1422</v>
      </c>
      <c r="M261" s="49">
        <v>4</v>
      </c>
      <c r="N261" s="37" t="s">
        <v>1676</v>
      </c>
      <c r="O261" s="37"/>
      <c r="P261" s="36">
        <v>1</v>
      </c>
      <c r="Q261" s="36" t="s">
        <v>1937</v>
      </c>
      <c r="R261" s="36" t="s">
        <v>2160</v>
      </c>
      <c r="S261" s="36" t="s">
        <v>1880</v>
      </c>
      <c r="T261" s="36" t="s">
        <v>1881</v>
      </c>
      <c r="U261" s="38">
        <v>45623</v>
      </c>
      <c r="V261" s="39">
        <v>601594</v>
      </c>
      <c r="W261" s="39" t="s">
        <v>2363</v>
      </c>
      <c r="X261" s="39" t="s">
        <v>2363</v>
      </c>
      <c r="Y261" s="40">
        <f t="shared" si="66"/>
        <v>30079.7</v>
      </c>
      <c r="Z261" s="40">
        <f t="shared" si="67"/>
        <v>631673.69999999995</v>
      </c>
      <c r="AA261" s="41" t="str">
        <f t="shared" si="68"/>
        <v>0.0018</v>
      </c>
      <c r="AB261" s="41">
        <f t="shared" si="69"/>
        <v>0</v>
      </c>
      <c r="AC261" s="41">
        <f t="shared" si="70"/>
        <v>0</v>
      </c>
      <c r="AD261" s="41">
        <f t="shared" si="71"/>
        <v>0</v>
      </c>
      <c r="AE261" s="41">
        <f t="shared" si="72"/>
        <v>0</v>
      </c>
      <c r="AF261" s="41">
        <f t="shared" si="73"/>
        <v>0</v>
      </c>
      <c r="AG261" s="41">
        <f t="shared" si="74"/>
        <v>0</v>
      </c>
      <c r="AH261" s="41">
        <f t="shared" si="75"/>
        <v>0</v>
      </c>
      <c r="AI261" s="41">
        <f t="shared" si="76"/>
        <v>34</v>
      </c>
      <c r="AJ261" s="41">
        <f t="shared" si="77"/>
        <v>365</v>
      </c>
      <c r="AK261" s="41">
        <f t="shared" si="78"/>
        <v>181</v>
      </c>
      <c r="AL261" s="42">
        <f t="shared" si="79"/>
        <v>2.9667649315068489</v>
      </c>
      <c r="AM261" s="42">
        <f t="shared" si="80"/>
        <v>536.98445260273968</v>
      </c>
      <c r="AN261" s="43">
        <f t="shared" si="65"/>
        <v>541434.60000000009</v>
      </c>
      <c r="AO261" s="43"/>
      <c r="AP261" s="42">
        <f t="shared" si="81"/>
        <v>90239.09999999986</v>
      </c>
      <c r="AQ261" s="43">
        <v>5</v>
      </c>
      <c r="AR261" s="44">
        <f t="shared" si="82"/>
        <v>0.85714285714285732</v>
      </c>
      <c r="AS261" s="45">
        <f t="shared" si="83"/>
        <v>1718.84</v>
      </c>
      <c r="AU261" s="1">
        <v>360956.4</v>
      </c>
      <c r="AV261" s="50">
        <v>180478.2</v>
      </c>
    </row>
    <row r="262" spans="1:48" s="1" customFormat="1" ht="37.200000000000003" thickTop="1" thickBot="1" x14ac:dyDescent="0.55000000000000004">
      <c r="A262" s="33">
        <v>255</v>
      </c>
      <c r="B262" s="34" t="s">
        <v>309</v>
      </c>
      <c r="C262" s="34" t="s">
        <v>965</v>
      </c>
      <c r="D262" s="35" t="s">
        <v>764</v>
      </c>
      <c r="E262" s="35" t="s">
        <v>966</v>
      </c>
      <c r="F262" s="36" t="s">
        <v>1219</v>
      </c>
      <c r="G262" s="36" t="s">
        <v>1420</v>
      </c>
      <c r="H262" s="36" t="s">
        <v>1421</v>
      </c>
      <c r="I262" s="36" t="s">
        <v>1421</v>
      </c>
      <c r="J262" s="36" t="s">
        <v>1421</v>
      </c>
      <c r="K262" s="36">
        <v>350</v>
      </c>
      <c r="L262" s="36" t="s">
        <v>1422</v>
      </c>
      <c r="M262" s="49">
        <v>4</v>
      </c>
      <c r="N262" s="37" t="s">
        <v>1677</v>
      </c>
      <c r="O262" s="37"/>
      <c r="P262" s="36">
        <v>1</v>
      </c>
      <c r="Q262" s="36" t="s">
        <v>1933</v>
      </c>
      <c r="R262" s="36" t="s">
        <v>2161</v>
      </c>
      <c r="S262" s="36" t="s">
        <v>1880</v>
      </c>
      <c r="T262" s="36" t="s">
        <v>1881</v>
      </c>
      <c r="U262" s="38">
        <v>45623</v>
      </c>
      <c r="V262" s="39">
        <v>585400</v>
      </c>
      <c r="W262" s="39" t="s">
        <v>2363</v>
      </c>
      <c r="X262" s="39" t="s">
        <v>2363</v>
      </c>
      <c r="Y262" s="40">
        <f t="shared" si="66"/>
        <v>29270</v>
      </c>
      <c r="Z262" s="40">
        <f t="shared" si="67"/>
        <v>614670</v>
      </c>
      <c r="AA262" s="41" t="str">
        <f t="shared" si="68"/>
        <v>0.0018</v>
      </c>
      <c r="AB262" s="41">
        <f t="shared" si="69"/>
        <v>0</v>
      </c>
      <c r="AC262" s="41">
        <f t="shared" si="70"/>
        <v>0</v>
      </c>
      <c r="AD262" s="41">
        <f t="shared" si="71"/>
        <v>0</v>
      </c>
      <c r="AE262" s="41">
        <f t="shared" si="72"/>
        <v>0</v>
      </c>
      <c r="AF262" s="41">
        <f t="shared" si="73"/>
        <v>0</v>
      </c>
      <c r="AG262" s="41">
        <f t="shared" si="74"/>
        <v>0</v>
      </c>
      <c r="AH262" s="41">
        <f t="shared" si="75"/>
        <v>0</v>
      </c>
      <c r="AI262" s="41">
        <f t="shared" si="76"/>
        <v>34</v>
      </c>
      <c r="AJ262" s="41">
        <f t="shared" si="77"/>
        <v>365</v>
      </c>
      <c r="AK262" s="41">
        <f t="shared" si="78"/>
        <v>181</v>
      </c>
      <c r="AL262" s="42">
        <f t="shared" si="79"/>
        <v>2.8869041095890413</v>
      </c>
      <c r="AM262" s="42">
        <f t="shared" si="80"/>
        <v>522.52964383561653</v>
      </c>
      <c r="AN262" s="43">
        <f t="shared" si="65"/>
        <v>526860</v>
      </c>
      <c r="AO262" s="43"/>
      <c r="AP262" s="42">
        <f t="shared" si="81"/>
        <v>87810</v>
      </c>
      <c r="AQ262" s="43">
        <v>5</v>
      </c>
      <c r="AR262" s="44">
        <f t="shared" si="82"/>
        <v>0.8571428571428571</v>
      </c>
      <c r="AS262" s="45">
        <f t="shared" si="83"/>
        <v>1672.5714285714287</v>
      </c>
      <c r="AU262" s="1">
        <v>439050</v>
      </c>
      <c r="AV262" s="50">
        <v>87810</v>
      </c>
    </row>
    <row r="263" spans="1:48" s="1" customFormat="1" ht="37.200000000000003" thickTop="1" thickBot="1" x14ac:dyDescent="0.55000000000000004">
      <c r="A263" s="33">
        <v>256</v>
      </c>
      <c r="B263" s="34" t="s">
        <v>310</v>
      </c>
      <c r="C263" s="34" t="s">
        <v>965</v>
      </c>
      <c r="D263" s="35" t="s">
        <v>765</v>
      </c>
      <c r="E263" s="35" t="s">
        <v>966</v>
      </c>
      <c r="F263" s="36" t="s">
        <v>1220</v>
      </c>
      <c r="G263" s="36" t="s">
        <v>1420</v>
      </c>
      <c r="H263" s="36" t="s">
        <v>1421</v>
      </c>
      <c r="I263" s="36" t="s">
        <v>1421</v>
      </c>
      <c r="J263" s="36" t="s">
        <v>1421</v>
      </c>
      <c r="K263" s="36">
        <v>350</v>
      </c>
      <c r="L263" s="36" t="s">
        <v>1422</v>
      </c>
      <c r="M263" s="49">
        <v>4</v>
      </c>
      <c r="N263" s="37" t="s">
        <v>1678</v>
      </c>
      <c r="O263" s="37"/>
      <c r="P263" s="36">
        <v>1</v>
      </c>
      <c r="Q263" s="36" t="s">
        <v>2039</v>
      </c>
      <c r="R263" s="36" t="s">
        <v>2162</v>
      </c>
      <c r="S263" s="36" t="s">
        <v>1880</v>
      </c>
      <c r="T263" s="36" t="s">
        <v>1881</v>
      </c>
      <c r="U263" s="38">
        <v>45623</v>
      </c>
      <c r="V263" s="39">
        <v>761838</v>
      </c>
      <c r="W263" s="39" t="s">
        <v>2363</v>
      </c>
      <c r="X263" s="39" t="s">
        <v>2363</v>
      </c>
      <c r="Y263" s="40">
        <f t="shared" si="66"/>
        <v>38091.9</v>
      </c>
      <c r="Z263" s="40">
        <f t="shared" si="67"/>
        <v>799929.9</v>
      </c>
      <c r="AA263" s="41" t="str">
        <f t="shared" si="68"/>
        <v>0.0022</v>
      </c>
      <c r="AB263" s="41">
        <f t="shared" si="69"/>
        <v>0</v>
      </c>
      <c r="AC263" s="41">
        <f t="shared" si="70"/>
        <v>0</v>
      </c>
      <c r="AD263" s="41">
        <f t="shared" si="71"/>
        <v>0</v>
      </c>
      <c r="AE263" s="41">
        <f t="shared" si="72"/>
        <v>0</v>
      </c>
      <c r="AF263" s="41">
        <f t="shared" si="73"/>
        <v>0</v>
      </c>
      <c r="AG263" s="41">
        <f t="shared" si="74"/>
        <v>0</v>
      </c>
      <c r="AH263" s="41">
        <f t="shared" si="75"/>
        <v>0</v>
      </c>
      <c r="AI263" s="41">
        <f t="shared" si="76"/>
        <v>34</v>
      </c>
      <c r="AJ263" s="41">
        <f t="shared" si="77"/>
        <v>365</v>
      </c>
      <c r="AK263" s="41">
        <f t="shared" si="78"/>
        <v>181</v>
      </c>
      <c r="AL263" s="42">
        <f t="shared" si="79"/>
        <v>4.5919002739726036</v>
      </c>
      <c r="AM263" s="42">
        <f t="shared" si="80"/>
        <v>831.13394958904121</v>
      </c>
      <c r="AN263" s="43">
        <f t="shared" si="65"/>
        <v>723746.1</v>
      </c>
      <c r="AO263" s="43"/>
      <c r="AP263" s="42">
        <f t="shared" si="81"/>
        <v>76183.800000000047</v>
      </c>
      <c r="AQ263" s="43">
        <v>6</v>
      </c>
      <c r="AR263" s="44">
        <f t="shared" si="82"/>
        <v>0.90476190476190466</v>
      </c>
      <c r="AS263" s="45">
        <f t="shared" si="83"/>
        <v>2176.6799999999998</v>
      </c>
      <c r="AU263" s="1">
        <v>685654.2</v>
      </c>
      <c r="AV263" s="50">
        <v>38091.9</v>
      </c>
    </row>
    <row r="264" spans="1:48" s="1" customFormat="1" ht="37.200000000000003" thickTop="1" thickBot="1" x14ac:dyDescent="0.55000000000000004">
      <c r="A264" s="33">
        <v>257</v>
      </c>
      <c r="B264" s="34" t="s">
        <v>311</v>
      </c>
      <c r="C264" s="34" t="s">
        <v>965</v>
      </c>
      <c r="D264" s="35" t="s">
        <v>766</v>
      </c>
      <c r="E264" s="35" t="s">
        <v>966</v>
      </c>
      <c r="F264" s="36" t="s">
        <v>1221</v>
      </c>
      <c r="G264" s="36" t="s">
        <v>1420</v>
      </c>
      <c r="H264" s="36" t="s">
        <v>1421</v>
      </c>
      <c r="I264" s="36" t="s">
        <v>1421</v>
      </c>
      <c r="J264" s="36" t="s">
        <v>1421</v>
      </c>
      <c r="K264" s="36">
        <v>369.63</v>
      </c>
      <c r="L264" s="36" t="s">
        <v>1422</v>
      </c>
      <c r="M264" s="49">
        <v>4</v>
      </c>
      <c r="N264" s="37" t="s">
        <v>1679</v>
      </c>
      <c r="O264" s="37"/>
      <c r="P264" s="36">
        <v>1</v>
      </c>
      <c r="Q264" s="36" t="s">
        <v>1972</v>
      </c>
      <c r="R264" s="36" t="s">
        <v>2163</v>
      </c>
      <c r="S264" s="36" t="s">
        <v>1880</v>
      </c>
      <c r="T264" s="36" t="s">
        <v>1881</v>
      </c>
      <c r="U264" s="38">
        <v>45623</v>
      </c>
      <c r="V264" s="39">
        <v>851613.8</v>
      </c>
      <c r="W264" s="39" t="s">
        <v>2363</v>
      </c>
      <c r="X264" s="39" t="s">
        <v>2363</v>
      </c>
      <c r="Y264" s="40">
        <f t="shared" si="66"/>
        <v>42580.69</v>
      </c>
      <c r="Z264" s="40">
        <f t="shared" si="67"/>
        <v>894194.49</v>
      </c>
      <c r="AA264" s="41" t="str">
        <f t="shared" si="68"/>
        <v>0.0022</v>
      </c>
      <c r="AB264" s="41">
        <f t="shared" si="69"/>
        <v>0</v>
      </c>
      <c r="AC264" s="41">
        <f t="shared" si="70"/>
        <v>0</v>
      </c>
      <c r="AD264" s="41">
        <f t="shared" si="71"/>
        <v>0</v>
      </c>
      <c r="AE264" s="41">
        <f t="shared" si="72"/>
        <v>0</v>
      </c>
      <c r="AF264" s="41">
        <f t="shared" si="73"/>
        <v>0</v>
      </c>
      <c r="AG264" s="41">
        <f t="shared" si="74"/>
        <v>0</v>
      </c>
      <c r="AH264" s="41">
        <f t="shared" si="75"/>
        <v>0</v>
      </c>
      <c r="AI264" s="41">
        <f t="shared" si="76"/>
        <v>34</v>
      </c>
      <c r="AJ264" s="41">
        <f t="shared" si="77"/>
        <v>365</v>
      </c>
      <c r="AK264" s="41">
        <f t="shared" si="78"/>
        <v>181</v>
      </c>
      <c r="AL264" s="42">
        <f t="shared" si="79"/>
        <v>5.1330146849315073</v>
      </c>
      <c r="AM264" s="42">
        <f t="shared" si="80"/>
        <v>929.07565797260281</v>
      </c>
      <c r="AN264" s="43">
        <f t="shared" ref="AN264:AN327" si="84">AV264+AU264</f>
        <v>766452.42</v>
      </c>
      <c r="AO264" s="43"/>
      <c r="AP264" s="42">
        <f t="shared" si="81"/>
        <v>127742.06999999995</v>
      </c>
      <c r="AQ264" s="43">
        <v>5</v>
      </c>
      <c r="AR264" s="44">
        <f t="shared" si="82"/>
        <v>0.85714285714285721</v>
      </c>
      <c r="AS264" s="45">
        <f t="shared" si="83"/>
        <v>2303.96288180072</v>
      </c>
      <c r="AU264" s="1">
        <v>766452.42</v>
      </c>
      <c r="AV264" s="50">
        <v>0</v>
      </c>
    </row>
    <row r="265" spans="1:48" s="1" customFormat="1" ht="37.200000000000003" thickTop="1" thickBot="1" x14ac:dyDescent="0.55000000000000004">
      <c r="A265" s="33">
        <v>258</v>
      </c>
      <c r="B265" s="34" t="s">
        <v>312</v>
      </c>
      <c r="C265" s="34" t="s">
        <v>965</v>
      </c>
      <c r="D265" s="35" t="s">
        <v>767</v>
      </c>
      <c r="E265" s="35" t="s">
        <v>966</v>
      </c>
      <c r="F265" s="36" t="s">
        <v>1222</v>
      </c>
      <c r="G265" s="36" t="s">
        <v>1420</v>
      </c>
      <c r="H265" s="36" t="s">
        <v>1421</v>
      </c>
      <c r="I265" s="36" t="s">
        <v>1421</v>
      </c>
      <c r="J265" s="36" t="s">
        <v>1421</v>
      </c>
      <c r="K265" s="36">
        <v>375</v>
      </c>
      <c r="L265" s="36" t="s">
        <v>1422</v>
      </c>
      <c r="M265" s="49">
        <v>4</v>
      </c>
      <c r="N265" s="37" t="s">
        <v>1680</v>
      </c>
      <c r="O265" s="37"/>
      <c r="P265" s="36">
        <v>1</v>
      </c>
      <c r="Q265" s="36" t="s">
        <v>1956</v>
      </c>
      <c r="R265" s="36" t="s">
        <v>2164</v>
      </c>
      <c r="S265" s="36" t="s">
        <v>1880</v>
      </c>
      <c r="T265" s="36" t="s">
        <v>1883</v>
      </c>
      <c r="U265" s="38">
        <v>45623</v>
      </c>
      <c r="V265" s="39">
        <v>589349</v>
      </c>
      <c r="W265" s="39" t="s">
        <v>2363</v>
      </c>
      <c r="X265" s="39" t="s">
        <v>2363</v>
      </c>
      <c r="Y265" s="40">
        <f t="shared" si="66"/>
        <v>29467.45</v>
      </c>
      <c r="Z265" s="40">
        <f t="shared" si="67"/>
        <v>618816.44999999995</v>
      </c>
      <c r="AA265" s="41" t="str">
        <f t="shared" si="68"/>
        <v>0.0018</v>
      </c>
      <c r="AB265" s="41">
        <f t="shared" si="69"/>
        <v>0</v>
      </c>
      <c r="AC265" s="41">
        <f t="shared" si="70"/>
        <v>0</v>
      </c>
      <c r="AD265" s="41">
        <f t="shared" si="71"/>
        <v>0</v>
      </c>
      <c r="AE265" s="41">
        <f t="shared" si="72"/>
        <v>0</v>
      </c>
      <c r="AF265" s="41">
        <f t="shared" si="73"/>
        <v>0</v>
      </c>
      <c r="AG265" s="41">
        <f t="shared" si="74"/>
        <v>0</v>
      </c>
      <c r="AH265" s="41">
        <f t="shared" si="75"/>
        <v>0</v>
      </c>
      <c r="AI265" s="41">
        <f t="shared" si="76"/>
        <v>34</v>
      </c>
      <c r="AJ265" s="41">
        <f t="shared" si="77"/>
        <v>365</v>
      </c>
      <c r="AK265" s="41">
        <f t="shared" si="78"/>
        <v>181</v>
      </c>
      <c r="AL265" s="42">
        <f t="shared" si="79"/>
        <v>2.9063786301369863</v>
      </c>
      <c r="AM265" s="42">
        <f t="shared" si="80"/>
        <v>526.05453205479455</v>
      </c>
      <c r="AN265" s="43">
        <f t="shared" si="84"/>
        <v>500946.65</v>
      </c>
      <c r="AO265" s="43"/>
      <c r="AP265" s="42">
        <f t="shared" si="81"/>
        <v>117869.79999999993</v>
      </c>
      <c r="AQ265" s="43">
        <v>5</v>
      </c>
      <c r="AR265" s="44">
        <f t="shared" si="82"/>
        <v>0.80952380952380965</v>
      </c>
      <c r="AS265" s="45">
        <f t="shared" si="83"/>
        <v>1571.5973333333334</v>
      </c>
      <c r="AU265" s="1">
        <v>412544.3</v>
      </c>
      <c r="AV265" s="50">
        <v>88402.35</v>
      </c>
    </row>
    <row r="266" spans="1:48" s="1" customFormat="1" ht="37.200000000000003" thickTop="1" thickBot="1" x14ac:dyDescent="0.55000000000000004">
      <c r="A266" s="33">
        <v>259</v>
      </c>
      <c r="B266" s="34" t="s">
        <v>313</v>
      </c>
      <c r="C266" s="34" t="s">
        <v>965</v>
      </c>
      <c r="D266" s="35" t="s">
        <v>768</v>
      </c>
      <c r="E266" s="35" t="s">
        <v>966</v>
      </c>
      <c r="F266" s="36" t="s">
        <v>1223</v>
      </c>
      <c r="G266" s="36" t="s">
        <v>1420</v>
      </c>
      <c r="H266" s="36" t="s">
        <v>1421</v>
      </c>
      <c r="I266" s="36" t="s">
        <v>1421</v>
      </c>
      <c r="J266" s="36" t="s">
        <v>1421</v>
      </c>
      <c r="K266" s="36">
        <v>375</v>
      </c>
      <c r="L266" s="36" t="s">
        <v>1422</v>
      </c>
      <c r="M266" s="49">
        <v>4</v>
      </c>
      <c r="N266" s="37" t="s">
        <v>1681</v>
      </c>
      <c r="O266" s="37"/>
      <c r="P266" s="36">
        <v>1</v>
      </c>
      <c r="Q266" s="36" t="s">
        <v>1933</v>
      </c>
      <c r="R266" s="36" t="s">
        <v>2165</v>
      </c>
      <c r="S266" s="36" t="s">
        <v>1880</v>
      </c>
      <c r="T266" s="36" t="s">
        <v>1881</v>
      </c>
      <c r="U266" s="38">
        <v>45623</v>
      </c>
      <c r="V266" s="39">
        <v>752500</v>
      </c>
      <c r="W266" s="39" t="s">
        <v>2363</v>
      </c>
      <c r="X266" s="39" t="s">
        <v>2363</v>
      </c>
      <c r="Y266" s="40">
        <f t="shared" si="66"/>
        <v>37625</v>
      </c>
      <c r="Z266" s="40">
        <f t="shared" si="67"/>
        <v>790125</v>
      </c>
      <c r="AA266" s="41" t="str">
        <f t="shared" si="68"/>
        <v>0.0022</v>
      </c>
      <c r="AB266" s="41">
        <f t="shared" si="69"/>
        <v>0</v>
      </c>
      <c r="AC266" s="41">
        <f t="shared" si="70"/>
        <v>0</v>
      </c>
      <c r="AD266" s="41">
        <f t="shared" si="71"/>
        <v>0</v>
      </c>
      <c r="AE266" s="41">
        <f t="shared" si="72"/>
        <v>0</v>
      </c>
      <c r="AF266" s="41">
        <f t="shared" si="73"/>
        <v>0</v>
      </c>
      <c r="AG266" s="41">
        <f t="shared" si="74"/>
        <v>0</v>
      </c>
      <c r="AH266" s="41">
        <f t="shared" si="75"/>
        <v>0</v>
      </c>
      <c r="AI266" s="41">
        <f t="shared" si="76"/>
        <v>34</v>
      </c>
      <c r="AJ266" s="41">
        <f t="shared" si="77"/>
        <v>365</v>
      </c>
      <c r="AK266" s="41">
        <f t="shared" si="78"/>
        <v>181</v>
      </c>
      <c r="AL266" s="42">
        <f t="shared" si="79"/>
        <v>4.5356164383561648</v>
      </c>
      <c r="AM266" s="42">
        <f t="shared" si="80"/>
        <v>820.94657534246585</v>
      </c>
      <c r="AN266" s="43">
        <f t="shared" si="84"/>
        <v>677250</v>
      </c>
      <c r="AO266" s="43"/>
      <c r="AP266" s="42">
        <f t="shared" si="81"/>
        <v>112875</v>
      </c>
      <c r="AQ266" s="43">
        <v>5</v>
      </c>
      <c r="AR266" s="44">
        <f t="shared" si="82"/>
        <v>0.8571428571428571</v>
      </c>
      <c r="AS266" s="45">
        <f t="shared" si="83"/>
        <v>2006.6666666666667</v>
      </c>
      <c r="AU266" s="1">
        <v>564375</v>
      </c>
      <c r="AV266" s="50">
        <v>112875</v>
      </c>
    </row>
    <row r="267" spans="1:48" s="1" customFormat="1" ht="37.200000000000003" thickTop="1" thickBot="1" x14ac:dyDescent="0.55000000000000004">
      <c r="A267" s="33">
        <v>260</v>
      </c>
      <c r="B267" s="34" t="s">
        <v>314</v>
      </c>
      <c r="C267" s="34" t="s">
        <v>965</v>
      </c>
      <c r="D267" s="35" t="s">
        <v>769</v>
      </c>
      <c r="E267" s="35" t="s">
        <v>966</v>
      </c>
      <c r="F267" s="36" t="s">
        <v>1224</v>
      </c>
      <c r="G267" s="36" t="s">
        <v>1420</v>
      </c>
      <c r="H267" s="36" t="s">
        <v>1421</v>
      </c>
      <c r="I267" s="36" t="s">
        <v>1421</v>
      </c>
      <c r="J267" s="36" t="s">
        <v>1421</v>
      </c>
      <c r="K267" s="36">
        <v>350</v>
      </c>
      <c r="L267" s="36" t="s">
        <v>1422</v>
      </c>
      <c r="M267" s="49">
        <v>4</v>
      </c>
      <c r="N267" s="37" t="s">
        <v>1682</v>
      </c>
      <c r="O267" s="37"/>
      <c r="P267" s="36">
        <v>1</v>
      </c>
      <c r="Q267" s="36" t="s">
        <v>1939</v>
      </c>
      <c r="R267" s="36" t="s">
        <v>2166</v>
      </c>
      <c r="S267" s="36" t="s">
        <v>1880</v>
      </c>
      <c r="T267" s="36" t="s">
        <v>1881</v>
      </c>
      <c r="U267" s="38">
        <v>45623</v>
      </c>
      <c r="V267" s="39">
        <v>772098</v>
      </c>
      <c r="W267" s="39" t="s">
        <v>2363</v>
      </c>
      <c r="X267" s="39" t="s">
        <v>2363</v>
      </c>
      <c r="Y267" s="40">
        <f t="shared" si="66"/>
        <v>38604.9</v>
      </c>
      <c r="Z267" s="40">
        <f t="shared" si="67"/>
        <v>810702.9</v>
      </c>
      <c r="AA267" s="41" t="str">
        <f t="shared" si="68"/>
        <v>0.0022</v>
      </c>
      <c r="AB267" s="41">
        <f t="shared" si="69"/>
        <v>0</v>
      </c>
      <c r="AC267" s="41">
        <f t="shared" si="70"/>
        <v>0</v>
      </c>
      <c r="AD267" s="41">
        <f t="shared" si="71"/>
        <v>0</v>
      </c>
      <c r="AE267" s="41">
        <f t="shared" si="72"/>
        <v>0</v>
      </c>
      <c r="AF267" s="41">
        <f t="shared" si="73"/>
        <v>0</v>
      </c>
      <c r="AG267" s="41">
        <f t="shared" si="74"/>
        <v>0</v>
      </c>
      <c r="AH267" s="41">
        <f t="shared" si="75"/>
        <v>0</v>
      </c>
      <c r="AI267" s="41">
        <f t="shared" si="76"/>
        <v>34</v>
      </c>
      <c r="AJ267" s="41">
        <f t="shared" si="77"/>
        <v>365</v>
      </c>
      <c r="AK267" s="41">
        <f t="shared" si="78"/>
        <v>181</v>
      </c>
      <c r="AL267" s="42">
        <f t="shared" si="79"/>
        <v>4.6537413698630141</v>
      </c>
      <c r="AM267" s="42">
        <f t="shared" si="80"/>
        <v>842.32718794520554</v>
      </c>
      <c r="AN267" s="43">
        <f t="shared" si="84"/>
        <v>694888.2</v>
      </c>
      <c r="AO267" s="43"/>
      <c r="AP267" s="42">
        <f t="shared" si="81"/>
        <v>115814.70000000007</v>
      </c>
      <c r="AQ267" s="43">
        <v>5</v>
      </c>
      <c r="AR267" s="44">
        <f t="shared" si="82"/>
        <v>0.8571428571428571</v>
      </c>
      <c r="AS267" s="45">
        <f t="shared" si="83"/>
        <v>2205.9942857142855</v>
      </c>
      <c r="AU267" s="1">
        <v>579073.5</v>
      </c>
      <c r="AV267" s="50">
        <v>115814.7</v>
      </c>
    </row>
    <row r="268" spans="1:48" s="1" customFormat="1" ht="37.200000000000003" thickTop="1" thickBot="1" x14ac:dyDescent="0.55000000000000004">
      <c r="A268" s="33">
        <v>261</v>
      </c>
      <c r="B268" s="34" t="s">
        <v>315</v>
      </c>
      <c r="C268" s="34" t="s">
        <v>965</v>
      </c>
      <c r="D268" s="35" t="s">
        <v>770</v>
      </c>
      <c r="E268" s="35" t="s">
        <v>966</v>
      </c>
      <c r="F268" s="36" t="s">
        <v>1225</v>
      </c>
      <c r="G268" s="36" t="s">
        <v>1420</v>
      </c>
      <c r="H268" s="36" t="s">
        <v>1421</v>
      </c>
      <c r="I268" s="36" t="s">
        <v>1421</v>
      </c>
      <c r="J268" s="36" t="s">
        <v>1421</v>
      </c>
      <c r="K268" s="36">
        <v>313.74</v>
      </c>
      <c r="L268" s="36" t="s">
        <v>1422</v>
      </c>
      <c r="M268" s="49">
        <v>4</v>
      </c>
      <c r="N268" s="37" t="s">
        <v>1683</v>
      </c>
      <c r="O268" s="37"/>
      <c r="P268" s="36">
        <v>1</v>
      </c>
      <c r="Q268" s="36" t="s">
        <v>1933</v>
      </c>
      <c r="R268" s="36" t="s">
        <v>2167</v>
      </c>
      <c r="S268" s="36" t="s">
        <v>1880</v>
      </c>
      <c r="T268" s="36" t="s">
        <v>1881</v>
      </c>
      <c r="U268" s="38">
        <v>45623</v>
      </c>
      <c r="V268" s="39">
        <v>702343</v>
      </c>
      <c r="W268" s="39" t="s">
        <v>2363</v>
      </c>
      <c r="X268" s="39" t="s">
        <v>2363</v>
      </c>
      <c r="Y268" s="40">
        <f t="shared" si="66"/>
        <v>35117.15</v>
      </c>
      <c r="Z268" s="40">
        <f t="shared" si="67"/>
        <v>737460.15</v>
      </c>
      <c r="AA268" s="41" t="str">
        <f t="shared" si="68"/>
        <v>0.0022</v>
      </c>
      <c r="AB268" s="41">
        <f t="shared" si="69"/>
        <v>0</v>
      </c>
      <c r="AC268" s="41">
        <f t="shared" si="70"/>
        <v>0</v>
      </c>
      <c r="AD268" s="41">
        <f t="shared" si="71"/>
        <v>0</v>
      </c>
      <c r="AE268" s="41">
        <f t="shared" si="72"/>
        <v>0</v>
      </c>
      <c r="AF268" s="41">
        <f t="shared" si="73"/>
        <v>0</v>
      </c>
      <c r="AG268" s="41">
        <f t="shared" si="74"/>
        <v>0</v>
      </c>
      <c r="AH268" s="41">
        <f t="shared" si="75"/>
        <v>0</v>
      </c>
      <c r="AI268" s="41">
        <f t="shared" si="76"/>
        <v>34</v>
      </c>
      <c r="AJ268" s="41">
        <f t="shared" si="77"/>
        <v>365</v>
      </c>
      <c r="AK268" s="41">
        <f t="shared" si="78"/>
        <v>181</v>
      </c>
      <c r="AL268" s="42">
        <f t="shared" si="79"/>
        <v>4.2333002739726027</v>
      </c>
      <c r="AM268" s="42">
        <f t="shared" si="80"/>
        <v>766.22734958904107</v>
      </c>
      <c r="AN268" s="43">
        <f t="shared" si="84"/>
        <v>632108.72</v>
      </c>
      <c r="AO268" s="43"/>
      <c r="AP268" s="42">
        <f t="shared" si="81"/>
        <v>105351.43000000005</v>
      </c>
      <c r="AQ268" s="43">
        <v>5</v>
      </c>
      <c r="AR268" s="44">
        <f t="shared" si="82"/>
        <v>0.85714288426296659</v>
      </c>
      <c r="AS268" s="45">
        <f t="shared" si="83"/>
        <v>2238.6147765665837</v>
      </c>
      <c r="AU268" s="1">
        <v>526757.26</v>
      </c>
      <c r="AV268" s="50">
        <v>105351.46</v>
      </c>
    </row>
    <row r="269" spans="1:48" s="1" customFormat="1" ht="37.200000000000003" thickTop="1" thickBot="1" x14ac:dyDescent="0.55000000000000004">
      <c r="A269" s="33">
        <v>262</v>
      </c>
      <c r="B269" s="34" t="s">
        <v>316</v>
      </c>
      <c r="C269" s="34" t="s">
        <v>965</v>
      </c>
      <c r="D269" s="35" t="s">
        <v>771</v>
      </c>
      <c r="E269" s="35" t="s">
        <v>966</v>
      </c>
      <c r="F269" s="36" t="s">
        <v>1226</v>
      </c>
      <c r="G269" s="36" t="s">
        <v>1420</v>
      </c>
      <c r="H269" s="36" t="s">
        <v>1421</v>
      </c>
      <c r="I269" s="36" t="s">
        <v>1421</v>
      </c>
      <c r="J269" s="36" t="s">
        <v>1421</v>
      </c>
      <c r="K269" s="36">
        <v>365.39</v>
      </c>
      <c r="L269" s="36" t="s">
        <v>1422</v>
      </c>
      <c r="M269" s="49">
        <v>4</v>
      </c>
      <c r="N269" s="37" t="s">
        <v>1684</v>
      </c>
      <c r="O269" s="37"/>
      <c r="P269" s="36">
        <v>1</v>
      </c>
      <c r="Q269" s="36" t="s">
        <v>1878</v>
      </c>
      <c r="R269" s="36" t="s">
        <v>2168</v>
      </c>
      <c r="S269" s="36" t="s">
        <v>1880</v>
      </c>
      <c r="T269" s="36" t="s">
        <v>1881</v>
      </c>
      <c r="U269" s="38">
        <v>45624</v>
      </c>
      <c r="V269" s="39">
        <v>794364.8</v>
      </c>
      <c r="W269" s="39" t="s">
        <v>2363</v>
      </c>
      <c r="X269" s="39" t="s">
        <v>2363</v>
      </c>
      <c r="Y269" s="40">
        <f t="shared" ref="Y269:Y332" si="85">V269*5/100</f>
        <v>39718.239999999998</v>
      </c>
      <c r="Z269" s="40">
        <f t="shared" ref="Z269:Z332" si="86">V269+Y269</f>
        <v>834083.04</v>
      </c>
      <c r="AA269" s="41" t="str">
        <f t="shared" ref="AA269:AA332" si="87">IF(V269&lt;=500000,"0.0012",IF(AND(V269&gt;500000,V269&lt;=699999),"0.0018",IF(AND(V269&gt;=700000,V269&lt;=999999),"0.0022",IF(AND(V269&gt;=1000000,V269&lt;1500000),"0.0026","0.003"))))</f>
        <v>0.0022</v>
      </c>
      <c r="AB269" s="41">
        <f t="shared" ref="AB269:AB332" si="88">+IF($AB$7&gt;U269,$AB$7-U269,0)</f>
        <v>0</v>
      </c>
      <c r="AC269" s="41">
        <f t="shared" ref="AC269:AC332" si="89">+IF($AC$7&gt;U269,$AC$7-U269-AB269,0)</f>
        <v>0</v>
      </c>
      <c r="AD269" s="41">
        <f t="shared" ref="AD269:AD332" si="90">+IF($AD$7&gt;U269,$AD$7-U269-AB269-AC269,0)</f>
        <v>0</v>
      </c>
      <c r="AE269" s="41">
        <f t="shared" ref="AE269:AE332" si="91">+IF($AE$7&gt;U269,$AE$7-U269-AB269-AD269-AC269,0)</f>
        <v>0</v>
      </c>
      <c r="AF269" s="41">
        <f t="shared" ref="AF269:AF332" si="92">+IF($AF$7&gt;U269,$AF$7-U269-AB269-AC269-AD269-AE269,0)</f>
        <v>0</v>
      </c>
      <c r="AG269" s="41">
        <f t="shared" ref="AG269:AG332" si="93">+IF($AG$7&gt;U269,$AG$7-U269-AB269-AC269-AD269-AE269-AF269,0)</f>
        <v>0</v>
      </c>
      <c r="AH269" s="41">
        <f t="shared" ref="AH269:AH332" si="94">+IF($AH$7&gt;U269,$AH$7-U269-AB269-AC269-AD269-AE269-AF269-AG269,0)</f>
        <v>0</v>
      </c>
      <c r="AI269" s="41">
        <f t="shared" ref="AI269:AI332" si="95">+IF($AI$7&gt;U269,$AI$7-U269-AB269-AC269-AD269-AE269-AF269-AG269-AH269,0)</f>
        <v>33</v>
      </c>
      <c r="AJ269" s="41">
        <f t="shared" ref="AJ269:AJ332" si="96">+IF($AJ$7&gt;U269,$AJ$7-U269-AB269-AC269-AD269-AE269-AF269-AG269-AH269-AI269,0)</f>
        <v>365</v>
      </c>
      <c r="AK269" s="41">
        <f t="shared" ref="AK269:AK332" si="97">+IF($AK$7&gt;U269,$AK$7-U269-AB269-AC269-AD269-AE269-AF269-AG269-AH269-AI269-AJ269,0)</f>
        <v>181</v>
      </c>
      <c r="AL269" s="42">
        <f t="shared" ref="AL269:AL332" si="98">IF(AK269&gt;0,+V269*AA269/365,0)</f>
        <v>4.7879522191780826</v>
      </c>
      <c r="AM269" s="42">
        <f t="shared" ref="AM269:AM332" si="99">+AL269*AK269</f>
        <v>866.61935167123295</v>
      </c>
      <c r="AN269" s="43">
        <f t="shared" si="84"/>
        <v>754646.55999999994</v>
      </c>
      <c r="AO269" s="43"/>
      <c r="AP269" s="42">
        <f t="shared" ref="AP269:AP332" si="100">Z269-AN269</f>
        <v>79436.480000000098</v>
      </c>
      <c r="AQ269" s="43">
        <v>6</v>
      </c>
      <c r="AR269" s="44">
        <f t="shared" ref="AR269:AR332" si="101">AN269/Z269</f>
        <v>0.90476190476190466</v>
      </c>
      <c r="AS269" s="45">
        <f t="shared" ref="AS269:AS332" si="102">V269/K269</f>
        <v>2174.0189934043078</v>
      </c>
      <c r="AU269" s="1">
        <v>714928.32</v>
      </c>
      <c r="AV269" s="50">
        <v>39718.239999999998</v>
      </c>
    </row>
    <row r="270" spans="1:48" s="1" customFormat="1" ht="37.200000000000003" thickTop="1" thickBot="1" x14ac:dyDescent="0.55000000000000004">
      <c r="A270" s="33">
        <v>263</v>
      </c>
      <c r="B270" s="34" t="s">
        <v>317</v>
      </c>
      <c r="C270" s="34" t="s">
        <v>965</v>
      </c>
      <c r="D270" s="35" t="s">
        <v>772</v>
      </c>
      <c r="E270" s="35" t="s">
        <v>966</v>
      </c>
      <c r="F270" s="36" t="s">
        <v>1227</v>
      </c>
      <c r="G270" s="36" t="s">
        <v>1420</v>
      </c>
      <c r="H270" s="36" t="s">
        <v>1421</v>
      </c>
      <c r="I270" s="36" t="s">
        <v>1421</v>
      </c>
      <c r="J270" s="36" t="s">
        <v>1421</v>
      </c>
      <c r="K270" s="36">
        <v>378.16</v>
      </c>
      <c r="L270" s="36" t="s">
        <v>1422</v>
      </c>
      <c r="M270" s="49">
        <v>4</v>
      </c>
      <c r="N270" s="37" t="s">
        <v>1685</v>
      </c>
      <c r="O270" s="37"/>
      <c r="P270" s="36">
        <v>1</v>
      </c>
      <c r="Q270" s="36" t="s">
        <v>1954</v>
      </c>
      <c r="R270" s="36" t="s">
        <v>2169</v>
      </c>
      <c r="S270" s="36" t="s">
        <v>1880</v>
      </c>
      <c r="T270" s="36" t="s">
        <v>1881</v>
      </c>
      <c r="U270" s="38">
        <v>45624</v>
      </c>
      <c r="V270" s="39">
        <v>852459.95</v>
      </c>
      <c r="W270" s="39" t="s">
        <v>2363</v>
      </c>
      <c r="X270" s="39" t="s">
        <v>2363</v>
      </c>
      <c r="Y270" s="40">
        <f t="shared" si="85"/>
        <v>42622.997499999998</v>
      </c>
      <c r="Z270" s="40">
        <f t="shared" si="86"/>
        <v>895082.94750000001</v>
      </c>
      <c r="AA270" s="41" t="str">
        <f t="shared" si="87"/>
        <v>0.0022</v>
      </c>
      <c r="AB270" s="41">
        <f t="shared" si="88"/>
        <v>0</v>
      </c>
      <c r="AC270" s="41">
        <f t="shared" si="89"/>
        <v>0</v>
      </c>
      <c r="AD270" s="41">
        <f t="shared" si="90"/>
        <v>0</v>
      </c>
      <c r="AE270" s="41">
        <f t="shared" si="91"/>
        <v>0</v>
      </c>
      <c r="AF270" s="41">
        <f t="shared" si="92"/>
        <v>0</v>
      </c>
      <c r="AG270" s="41">
        <f t="shared" si="93"/>
        <v>0</v>
      </c>
      <c r="AH270" s="41">
        <f t="shared" si="94"/>
        <v>0</v>
      </c>
      <c r="AI270" s="41">
        <f t="shared" si="95"/>
        <v>33</v>
      </c>
      <c r="AJ270" s="41">
        <f t="shared" si="96"/>
        <v>365</v>
      </c>
      <c r="AK270" s="41">
        <f t="shared" si="97"/>
        <v>181</v>
      </c>
      <c r="AL270" s="42">
        <f t="shared" si="98"/>
        <v>5.1381147671232883</v>
      </c>
      <c r="AM270" s="42">
        <f t="shared" si="99"/>
        <v>929.99877284931517</v>
      </c>
      <c r="AN270" s="43">
        <f t="shared" si="84"/>
        <v>767213.95</v>
      </c>
      <c r="AO270" s="43"/>
      <c r="AP270" s="42">
        <f t="shared" si="100"/>
        <v>127868.99750000006</v>
      </c>
      <c r="AQ270" s="43">
        <v>5</v>
      </c>
      <c r="AR270" s="44">
        <f t="shared" si="101"/>
        <v>0.8571428515567826</v>
      </c>
      <c r="AS270" s="45">
        <f t="shared" si="102"/>
        <v>2254.2308811085254</v>
      </c>
      <c r="AU270" s="1">
        <v>639344.96</v>
      </c>
      <c r="AV270" s="50">
        <v>127868.99</v>
      </c>
    </row>
    <row r="271" spans="1:48" s="1" customFormat="1" ht="37.200000000000003" thickTop="1" thickBot="1" x14ac:dyDescent="0.55000000000000004">
      <c r="A271" s="33">
        <v>264</v>
      </c>
      <c r="B271" s="34" t="s">
        <v>318</v>
      </c>
      <c r="C271" s="34" t="s">
        <v>965</v>
      </c>
      <c r="D271" s="35" t="s">
        <v>773</v>
      </c>
      <c r="E271" s="35" t="s">
        <v>966</v>
      </c>
      <c r="F271" s="36" t="s">
        <v>1228</v>
      </c>
      <c r="G271" s="36" t="s">
        <v>1420</v>
      </c>
      <c r="H271" s="36" t="s">
        <v>1421</v>
      </c>
      <c r="I271" s="36" t="s">
        <v>1421</v>
      </c>
      <c r="J271" s="36" t="s">
        <v>1421</v>
      </c>
      <c r="K271" s="36">
        <v>375</v>
      </c>
      <c r="L271" s="36" t="s">
        <v>1422</v>
      </c>
      <c r="M271" s="49">
        <v>4</v>
      </c>
      <c r="N271" s="37" t="s">
        <v>1686</v>
      </c>
      <c r="O271" s="37"/>
      <c r="P271" s="36">
        <v>1</v>
      </c>
      <c r="Q271" s="36" t="s">
        <v>1931</v>
      </c>
      <c r="R271" s="36" t="s">
        <v>2170</v>
      </c>
      <c r="S271" s="36" t="s">
        <v>1880</v>
      </c>
      <c r="T271" s="36" t="s">
        <v>1883</v>
      </c>
      <c r="U271" s="38">
        <v>45624</v>
      </c>
      <c r="V271" s="39">
        <v>685974</v>
      </c>
      <c r="W271" s="39" t="s">
        <v>2363</v>
      </c>
      <c r="X271" s="39" t="s">
        <v>2363</v>
      </c>
      <c r="Y271" s="40">
        <f t="shared" si="85"/>
        <v>34298.699999999997</v>
      </c>
      <c r="Z271" s="40">
        <f t="shared" si="86"/>
        <v>720272.7</v>
      </c>
      <c r="AA271" s="41" t="str">
        <f t="shared" si="87"/>
        <v>0.0018</v>
      </c>
      <c r="AB271" s="41">
        <f t="shared" si="88"/>
        <v>0</v>
      </c>
      <c r="AC271" s="41">
        <f t="shared" si="89"/>
        <v>0</v>
      </c>
      <c r="AD271" s="41">
        <f t="shared" si="90"/>
        <v>0</v>
      </c>
      <c r="AE271" s="41">
        <f t="shared" si="91"/>
        <v>0</v>
      </c>
      <c r="AF271" s="41">
        <f t="shared" si="92"/>
        <v>0</v>
      </c>
      <c r="AG271" s="41">
        <f t="shared" si="93"/>
        <v>0</v>
      </c>
      <c r="AH271" s="41">
        <f t="shared" si="94"/>
        <v>0</v>
      </c>
      <c r="AI271" s="41">
        <f t="shared" si="95"/>
        <v>33</v>
      </c>
      <c r="AJ271" s="41">
        <f t="shared" si="96"/>
        <v>365</v>
      </c>
      <c r="AK271" s="41">
        <f t="shared" si="97"/>
        <v>181</v>
      </c>
      <c r="AL271" s="42">
        <f t="shared" si="98"/>
        <v>3.3828854794520544</v>
      </c>
      <c r="AM271" s="42">
        <f t="shared" si="99"/>
        <v>612.3022717808218</v>
      </c>
      <c r="AN271" s="43">
        <f t="shared" si="84"/>
        <v>617376.6</v>
      </c>
      <c r="AO271" s="43"/>
      <c r="AP271" s="42">
        <f t="shared" si="100"/>
        <v>102896.09999999998</v>
      </c>
      <c r="AQ271" s="43">
        <v>5</v>
      </c>
      <c r="AR271" s="44">
        <f t="shared" si="101"/>
        <v>0.85714285714285721</v>
      </c>
      <c r="AS271" s="45">
        <f t="shared" si="102"/>
        <v>1829.2639999999999</v>
      </c>
      <c r="AU271" s="1">
        <v>514480.49999999994</v>
      </c>
      <c r="AV271" s="50">
        <v>102896.1</v>
      </c>
    </row>
    <row r="272" spans="1:48" s="1" customFormat="1" ht="37.200000000000003" thickTop="1" thickBot="1" x14ac:dyDescent="0.55000000000000004">
      <c r="A272" s="33">
        <v>265</v>
      </c>
      <c r="B272" s="34" t="s">
        <v>319</v>
      </c>
      <c r="C272" s="34" t="s">
        <v>965</v>
      </c>
      <c r="D272" s="35" t="s">
        <v>774</v>
      </c>
      <c r="E272" s="35" t="s">
        <v>966</v>
      </c>
      <c r="F272" s="36" t="s">
        <v>1229</v>
      </c>
      <c r="G272" s="36" t="s">
        <v>1420</v>
      </c>
      <c r="H272" s="36" t="s">
        <v>1421</v>
      </c>
      <c r="I272" s="36" t="s">
        <v>1421</v>
      </c>
      <c r="J272" s="36" t="s">
        <v>1421</v>
      </c>
      <c r="K272" s="36">
        <v>460.2</v>
      </c>
      <c r="L272" s="36" t="s">
        <v>1422</v>
      </c>
      <c r="M272" s="49">
        <v>4</v>
      </c>
      <c r="N272" s="37" t="s">
        <v>1687</v>
      </c>
      <c r="O272" s="37"/>
      <c r="P272" s="36">
        <v>1</v>
      </c>
      <c r="Q272" s="36" t="s">
        <v>1954</v>
      </c>
      <c r="R272" s="36" t="s">
        <v>2171</v>
      </c>
      <c r="S272" s="36" t="s">
        <v>1880</v>
      </c>
      <c r="T272" s="36" t="s">
        <v>1881</v>
      </c>
      <c r="U272" s="38">
        <v>45626</v>
      </c>
      <c r="V272" s="39">
        <v>868165.1</v>
      </c>
      <c r="W272" s="39" t="s">
        <v>2363</v>
      </c>
      <c r="X272" s="39" t="s">
        <v>2363</v>
      </c>
      <c r="Y272" s="40">
        <f t="shared" si="85"/>
        <v>43408.254999999997</v>
      </c>
      <c r="Z272" s="40">
        <f t="shared" si="86"/>
        <v>911573.35499999998</v>
      </c>
      <c r="AA272" s="41" t="str">
        <f t="shared" si="87"/>
        <v>0.0022</v>
      </c>
      <c r="AB272" s="41">
        <f t="shared" si="88"/>
        <v>0</v>
      </c>
      <c r="AC272" s="41">
        <f t="shared" si="89"/>
        <v>0</v>
      </c>
      <c r="AD272" s="41">
        <f t="shared" si="90"/>
        <v>0</v>
      </c>
      <c r="AE272" s="41">
        <f t="shared" si="91"/>
        <v>0</v>
      </c>
      <c r="AF272" s="41">
        <f t="shared" si="92"/>
        <v>0</v>
      </c>
      <c r="AG272" s="41">
        <f t="shared" si="93"/>
        <v>0</v>
      </c>
      <c r="AH272" s="41">
        <f t="shared" si="94"/>
        <v>0</v>
      </c>
      <c r="AI272" s="41">
        <f t="shared" si="95"/>
        <v>31</v>
      </c>
      <c r="AJ272" s="41">
        <f t="shared" si="96"/>
        <v>365</v>
      </c>
      <c r="AK272" s="41">
        <f t="shared" si="97"/>
        <v>181</v>
      </c>
      <c r="AL272" s="42">
        <f t="shared" si="98"/>
        <v>5.2327759452054794</v>
      </c>
      <c r="AM272" s="42">
        <f t="shared" si="99"/>
        <v>947.13244608219179</v>
      </c>
      <c r="AN272" s="43">
        <f t="shared" si="84"/>
        <v>781348.6</v>
      </c>
      <c r="AO272" s="43"/>
      <c r="AP272" s="42">
        <f t="shared" si="100"/>
        <v>130224.755</v>
      </c>
      <c r="AQ272" s="43">
        <v>5</v>
      </c>
      <c r="AR272" s="44">
        <f t="shared" si="101"/>
        <v>0.8571428681129013</v>
      </c>
      <c r="AS272" s="45">
        <f t="shared" si="102"/>
        <v>1886.4952194697958</v>
      </c>
      <c r="AU272" s="1">
        <v>651123.82999999996</v>
      </c>
      <c r="AV272" s="50">
        <v>130224.77</v>
      </c>
    </row>
    <row r="273" spans="1:48" s="1" customFormat="1" ht="37.200000000000003" thickTop="1" thickBot="1" x14ac:dyDescent="0.55000000000000004">
      <c r="A273" s="33">
        <v>266</v>
      </c>
      <c r="B273" s="34" t="s">
        <v>320</v>
      </c>
      <c r="C273" s="34" t="s">
        <v>965</v>
      </c>
      <c r="D273" s="35" t="s">
        <v>775</v>
      </c>
      <c r="E273" s="35" t="s">
        <v>966</v>
      </c>
      <c r="F273" s="36" t="s">
        <v>1230</v>
      </c>
      <c r="G273" s="36" t="s">
        <v>1420</v>
      </c>
      <c r="H273" s="36" t="s">
        <v>1421</v>
      </c>
      <c r="I273" s="36" t="s">
        <v>1421</v>
      </c>
      <c r="J273" s="36" t="s">
        <v>1421</v>
      </c>
      <c r="K273" s="36">
        <v>375</v>
      </c>
      <c r="L273" s="36" t="s">
        <v>1422</v>
      </c>
      <c r="M273" s="49">
        <v>4</v>
      </c>
      <c r="N273" s="37" t="s">
        <v>1688</v>
      </c>
      <c r="O273" s="37"/>
      <c r="P273" s="36">
        <v>1</v>
      </c>
      <c r="Q273" s="36" t="s">
        <v>1941</v>
      </c>
      <c r="R273" s="36" t="s">
        <v>2172</v>
      </c>
      <c r="S273" s="36" t="s">
        <v>1880</v>
      </c>
      <c r="T273" s="36" t="s">
        <v>1881</v>
      </c>
      <c r="U273" s="38">
        <v>45626</v>
      </c>
      <c r="V273" s="39">
        <v>682976</v>
      </c>
      <c r="W273" s="39" t="s">
        <v>2363</v>
      </c>
      <c r="X273" s="39" t="s">
        <v>2363</v>
      </c>
      <c r="Y273" s="40">
        <f t="shared" si="85"/>
        <v>34148.800000000003</v>
      </c>
      <c r="Z273" s="40">
        <f t="shared" si="86"/>
        <v>717124.8</v>
      </c>
      <c r="AA273" s="41" t="str">
        <f t="shared" si="87"/>
        <v>0.0018</v>
      </c>
      <c r="AB273" s="41">
        <f t="shared" si="88"/>
        <v>0</v>
      </c>
      <c r="AC273" s="41">
        <f t="shared" si="89"/>
        <v>0</v>
      </c>
      <c r="AD273" s="41">
        <f t="shared" si="90"/>
        <v>0</v>
      </c>
      <c r="AE273" s="41">
        <f t="shared" si="91"/>
        <v>0</v>
      </c>
      <c r="AF273" s="41">
        <f t="shared" si="92"/>
        <v>0</v>
      </c>
      <c r="AG273" s="41">
        <f t="shared" si="93"/>
        <v>0</v>
      </c>
      <c r="AH273" s="41">
        <f t="shared" si="94"/>
        <v>0</v>
      </c>
      <c r="AI273" s="41">
        <f t="shared" si="95"/>
        <v>31</v>
      </c>
      <c r="AJ273" s="41">
        <f t="shared" si="96"/>
        <v>365</v>
      </c>
      <c r="AK273" s="41">
        <f t="shared" si="97"/>
        <v>181</v>
      </c>
      <c r="AL273" s="42">
        <f t="shared" si="98"/>
        <v>3.3681008219178081</v>
      </c>
      <c r="AM273" s="42">
        <f t="shared" si="99"/>
        <v>609.62624876712323</v>
      </c>
      <c r="AN273" s="43">
        <f t="shared" si="84"/>
        <v>614678.4</v>
      </c>
      <c r="AO273" s="43"/>
      <c r="AP273" s="42">
        <f t="shared" si="100"/>
        <v>102446.40000000002</v>
      </c>
      <c r="AQ273" s="43">
        <v>5</v>
      </c>
      <c r="AR273" s="44">
        <f t="shared" si="101"/>
        <v>0.8571428571428571</v>
      </c>
      <c r="AS273" s="45">
        <f t="shared" si="102"/>
        <v>1821.2693333333334</v>
      </c>
      <c r="AU273" s="1">
        <v>512232.00000000006</v>
      </c>
      <c r="AV273" s="50">
        <v>102446.39999999999</v>
      </c>
    </row>
    <row r="274" spans="1:48" s="1" customFormat="1" ht="37.200000000000003" thickTop="1" thickBot="1" x14ac:dyDescent="0.55000000000000004">
      <c r="A274" s="33">
        <v>267</v>
      </c>
      <c r="B274" s="34" t="s">
        <v>321</v>
      </c>
      <c r="C274" s="34" t="s">
        <v>965</v>
      </c>
      <c r="D274" s="35" t="s">
        <v>776</v>
      </c>
      <c r="E274" s="35" t="s">
        <v>966</v>
      </c>
      <c r="F274" s="36" t="s">
        <v>1231</v>
      </c>
      <c r="G274" s="36" t="s">
        <v>1420</v>
      </c>
      <c r="H274" s="36" t="s">
        <v>1421</v>
      </c>
      <c r="I274" s="36" t="s">
        <v>1421</v>
      </c>
      <c r="J274" s="36" t="s">
        <v>1421</v>
      </c>
      <c r="K274" s="36">
        <v>375</v>
      </c>
      <c r="L274" s="36" t="s">
        <v>1422</v>
      </c>
      <c r="M274" s="49">
        <v>4</v>
      </c>
      <c r="N274" s="37" t="s">
        <v>1689</v>
      </c>
      <c r="O274" s="37"/>
      <c r="P274" s="36">
        <v>1</v>
      </c>
      <c r="Q274" s="36" t="s">
        <v>1941</v>
      </c>
      <c r="R274" s="36" t="s">
        <v>2173</v>
      </c>
      <c r="S274" s="36" t="s">
        <v>1880</v>
      </c>
      <c r="T274" s="36" t="s">
        <v>1881</v>
      </c>
      <c r="U274" s="38">
        <v>45628</v>
      </c>
      <c r="V274" s="39">
        <v>682976</v>
      </c>
      <c r="W274" s="39" t="s">
        <v>2363</v>
      </c>
      <c r="X274" s="39" t="s">
        <v>2363</v>
      </c>
      <c r="Y274" s="40">
        <f t="shared" si="85"/>
        <v>34148.800000000003</v>
      </c>
      <c r="Z274" s="40">
        <f t="shared" si="86"/>
        <v>717124.8</v>
      </c>
      <c r="AA274" s="41" t="str">
        <f t="shared" si="87"/>
        <v>0.0018</v>
      </c>
      <c r="AB274" s="41">
        <f t="shared" si="88"/>
        <v>0</v>
      </c>
      <c r="AC274" s="41">
        <f t="shared" si="89"/>
        <v>0</v>
      </c>
      <c r="AD274" s="41">
        <f t="shared" si="90"/>
        <v>0</v>
      </c>
      <c r="AE274" s="41">
        <f t="shared" si="91"/>
        <v>0</v>
      </c>
      <c r="AF274" s="41">
        <f t="shared" si="92"/>
        <v>0</v>
      </c>
      <c r="AG274" s="41">
        <f t="shared" si="93"/>
        <v>0</v>
      </c>
      <c r="AH274" s="41">
        <f t="shared" si="94"/>
        <v>0</v>
      </c>
      <c r="AI274" s="41">
        <f t="shared" si="95"/>
        <v>29</v>
      </c>
      <c r="AJ274" s="41">
        <f t="shared" si="96"/>
        <v>365</v>
      </c>
      <c r="AK274" s="41">
        <f t="shared" si="97"/>
        <v>181</v>
      </c>
      <c r="AL274" s="42">
        <f t="shared" si="98"/>
        <v>3.3681008219178081</v>
      </c>
      <c r="AM274" s="42">
        <f t="shared" si="99"/>
        <v>609.62624876712323</v>
      </c>
      <c r="AN274" s="43">
        <f t="shared" si="84"/>
        <v>614678.4</v>
      </c>
      <c r="AO274" s="43"/>
      <c r="AP274" s="42">
        <f t="shared" si="100"/>
        <v>102446.40000000002</v>
      </c>
      <c r="AQ274" s="43">
        <v>5</v>
      </c>
      <c r="AR274" s="44">
        <f t="shared" si="101"/>
        <v>0.8571428571428571</v>
      </c>
      <c r="AS274" s="45">
        <f t="shared" si="102"/>
        <v>1821.2693333333334</v>
      </c>
      <c r="AU274" s="1">
        <v>409785.60000000003</v>
      </c>
      <c r="AV274" s="50">
        <v>204892.79999999999</v>
      </c>
    </row>
    <row r="275" spans="1:48" s="1" customFormat="1" ht="37.200000000000003" thickTop="1" thickBot="1" x14ac:dyDescent="0.55000000000000004">
      <c r="A275" s="33">
        <v>268</v>
      </c>
      <c r="B275" s="34" t="s">
        <v>322</v>
      </c>
      <c r="C275" s="34" t="s">
        <v>965</v>
      </c>
      <c r="D275" s="35" t="s">
        <v>777</v>
      </c>
      <c r="E275" s="35" t="s">
        <v>966</v>
      </c>
      <c r="F275" s="36" t="s">
        <v>1232</v>
      </c>
      <c r="G275" s="36" t="s">
        <v>1420</v>
      </c>
      <c r="H275" s="36" t="s">
        <v>1421</v>
      </c>
      <c r="I275" s="36" t="s">
        <v>1421</v>
      </c>
      <c r="J275" s="36" t="s">
        <v>1421</v>
      </c>
      <c r="K275" s="36">
        <v>325.63</v>
      </c>
      <c r="L275" s="36" t="s">
        <v>1422</v>
      </c>
      <c r="M275" s="49">
        <v>4</v>
      </c>
      <c r="N275" s="37" t="s">
        <v>1690</v>
      </c>
      <c r="O275" s="37"/>
      <c r="P275" s="36">
        <v>1</v>
      </c>
      <c r="Q275" s="36" t="s">
        <v>1941</v>
      </c>
      <c r="R275" s="36" t="s">
        <v>2174</v>
      </c>
      <c r="S275" s="36" t="s">
        <v>1880</v>
      </c>
      <c r="T275" s="36" t="s">
        <v>1881</v>
      </c>
      <c r="U275" s="38">
        <v>45629</v>
      </c>
      <c r="V275" s="39">
        <v>706792</v>
      </c>
      <c r="W275" s="39" t="s">
        <v>2363</v>
      </c>
      <c r="X275" s="39" t="s">
        <v>2363</v>
      </c>
      <c r="Y275" s="40">
        <f t="shared" si="85"/>
        <v>35339.599999999999</v>
      </c>
      <c r="Z275" s="40">
        <f t="shared" si="86"/>
        <v>742131.6</v>
      </c>
      <c r="AA275" s="41" t="str">
        <f t="shared" si="87"/>
        <v>0.0022</v>
      </c>
      <c r="AB275" s="41">
        <f t="shared" si="88"/>
        <v>0</v>
      </c>
      <c r="AC275" s="41">
        <f t="shared" si="89"/>
        <v>0</v>
      </c>
      <c r="AD275" s="41">
        <f t="shared" si="90"/>
        <v>0</v>
      </c>
      <c r="AE275" s="41">
        <f t="shared" si="91"/>
        <v>0</v>
      </c>
      <c r="AF275" s="41">
        <f t="shared" si="92"/>
        <v>0</v>
      </c>
      <c r="AG275" s="41">
        <f t="shared" si="93"/>
        <v>0</v>
      </c>
      <c r="AH275" s="41">
        <f t="shared" si="94"/>
        <v>0</v>
      </c>
      <c r="AI275" s="41">
        <f t="shared" si="95"/>
        <v>28</v>
      </c>
      <c r="AJ275" s="41">
        <f t="shared" si="96"/>
        <v>365</v>
      </c>
      <c r="AK275" s="41">
        <f t="shared" si="97"/>
        <v>181</v>
      </c>
      <c r="AL275" s="42">
        <f t="shared" si="98"/>
        <v>4.2601161643835619</v>
      </c>
      <c r="AM275" s="42">
        <f t="shared" si="99"/>
        <v>771.08102575342468</v>
      </c>
      <c r="AN275" s="43">
        <f t="shared" si="84"/>
        <v>636112.82000000007</v>
      </c>
      <c r="AO275" s="43"/>
      <c r="AP275" s="42">
        <f t="shared" si="100"/>
        <v>106018.77999999991</v>
      </c>
      <c r="AQ275" s="43">
        <v>5</v>
      </c>
      <c r="AR275" s="44">
        <f t="shared" si="101"/>
        <v>0.85714288409225547</v>
      </c>
      <c r="AS275" s="45">
        <f t="shared" si="102"/>
        <v>2170.5371126738937</v>
      </c>
      <c r="AU275" s="1">
        <v>530094.01</v>
      </c>
      <c r="AV275" s="50">
        <v>106018.81</v>
      </c>
    </row>
    <row r="276" spans="1:48" s="1" customFormat="1" ht="37.200000000000003" thickTop="1" thickBot="1" x14ac:dyDescent="0.55000000000000004">
      <c r="A276" s="33">
        <v>269</v>
      </c>
      <c r="B276" s="34" t="s">
        <v>323</v>
      </c>
      <c r="C276" s="34" t="s">
        <v>965</v>
      </c>
      <c r="D276" s="35" t="s">
        <v>778</v>
      </c>
      <c r="E276" s="35" t="s">
        <v>966</v>
      </c>
      <c r="F276" s="36" t="s">
        <v>1233</v>
      </c>
      <c r="G276" s="36" t="s">
        <v>1420</v>
      </c>
      <c r="H276" s="36" t="s">
        <v>1421</v>
      </c>
      <c r="I276" s="36" t="s">
        <v>1421</v>
      </c>
      <c r="J276" s="36" t="s">
        <v>1421</v>
      </c>
      <c r="K276" s="36">
        <v>362.5</v>
      </c>
      <c r="L276" s="36" t="s">
        <v>1422</v>
      </c>
      <c r="M276" s="49">
        <v>4</v>
      </c>
      <c r="N276" s="37" t="s">
        <v>1691</v>
      </c>
      <c r="O276" s="37"/>
      <c r="P276" s="36">
        <v>1</v>
      </c>
      <c r="Q276" s="36" t="s">
        <v>1964</v>
      </c>
      <c r="R276" s="36" t="s">
        <v>2175</v>
      </c>
      <c r="S276" s="36" t="s">
        <v>1880</v>
      </c>
      <c r="T276" s="36" t="s">
        <v>1881</v>
      </c>
      <c r="U276" s="38">
        <v>45629</v>
      </c>
      <c r="V276" s="39">
        <v>584525</v>
      </c>
      <c r="W276" s="39" t="s">
        <v>2363</v>
      </c>
      <c r="X276" s="39" t="s">
        <v>2363</v>
      </c>
      <c r="Y276" s="40">
        <f t="shared" si="85"/>
        <v>29226.25</v>
      </c>
      <c r="Z276" s="40">
        <f t="shared" si="86"/>
        <v>613751.25</v>
      </c>
      <c r="AA276" s="41" t="str">
        <f t="shared" si="87"/>
        <v>0.0018</v>
      </c>
      <c r="AB276" s="41">
        <f t="shared" si="88"/>
        <v>0</v>
      </c>
      <c r="AC276" s="41">
        <f t="shared" si="89"/>
        <v>0</v>
      </c>
      <c r="AD276" s="41">
        <f t="shared" si="90"/>
        <v>0</v>
      </c>
      <c r="AE276" s="41">
        <f t="shared" si="91"/>
        <v>0</v>
      </c>
      <c r="AF276" s="41">
        <f t="shared" si="92"/>
        <v>0</v>
      </c>
      <c r="AG276" s="41">
        <f t="shared" si="93"/>
        <v>0</v>
      </c>
      <c r="AH276" s="41">
        <f t="shared" si="94"/>
        <v>0</v>
      </c>
      <c r="AI276" s="41">
        <f t="shared" si="95"/>
        <v>28</v>
      </c>
      <c r="AJ276" s="41">
        <f t="shared" si="96"/>
        <v>365</v>
      </c>
      <c r="AK276" s="41">
        <f t="shared" si="97"/>
        <v>181</v>
      </c>
      <c r="AL276" s="42">
        <f t="shared" si="98"/>
        <v>2.8825890410958905</v>
      </c>
      <c r="AM276" s="42">
        <f t="shared" si="99"/>
        <v>521.74861643835618</v>
      </c>
      <c r="AN276" s="43">
        <f t="shared" si="84"/>
        <v>555298.75</v>
      </c>
      <c r="AO276" s="43"/>
      <c r="AP276" s="42">
        <f t="shared" si="100"/>
        <v>58452.5</v>
      </c>
      <c r="AQ276" s="43">
        <v>6</v>
      </c>
      <c r="AR276" s="44">
        <f t="shared" si="101"/>
        <v>0.90476190476190477</v>
      </c>
      <c r="AS276" s="45">
        <f t="shared" si="102"/>
        <v>1612.4827586206898</v>
      </c>
      <c r="AU276" s="1">
        <v>526072.5</v>
      </c>
      <c r="AV276" s="50">
        <v>29226.25</v>
      </c>
    </row>
    <row r="277" spans="1:48" s="1" customFormat="1" ht="37.200000000000003" thickTop="1" thickBot="1" x14ac:dyDescent="0.55000000000000004">
      <c r="A277" s="33">
        <v>270</v>
      </c>
      <c r="B277" s="34" t="s">
        <v>324</v>
      </c>
      <c r="C277" s="34" t="s">
        <v>965</v>
      </c>
      <c r="D277" s="35" t="s">
        <v>779</v>
      </c>
      <c r="E277" s="35" t="s">
        <v>966</v>
      </c>
      <c r="F277" s="36" t="s">
        <v>1234</v>
      </c>
      <c r="G277" s="36" t="s">
        <v>1420</v>
      </c>
      <c r="H277" s="36" t="s">
        <v>1421</v>
      </c>
      <c r="I277" s="36" t="s">
        <v>1421</v>
      </c>
      <c r="J277" s="36" t="s">
        <v>1421</v>
      </c>
      <c r="K277" s="36">
        <v>375</v>
      </c>
      <c r="L277" s="36" t="s">
        <v>1422</v>
      </c>
      <c r="M277" s="49">
        <v>4</v>
      </c>
      <c r="N277" s="37" t="s">
        <v>1692</v>
      </c>
      <c r="O277" s="37"/>
      <c r="P277" s="36">
        <v>1</v>
      </c>
      <c r="Q277" s="36" t="s">
        <v>2032</v>
      </c>
      <c r="R277" s="36" t="s">
        <v>2176</v>
      </c>
      <c r="S277" s="36" t="s">
        <v>1880</v>
      </c>
      <c r="T277" s="36" t="s">
        <v>1883</v>
      </c>
      <c r="U277" s="38">
        <v>45629</v>
      </c>
      <c r="V277" s="39">
        <v>589349</v>
      </c>
      <c r="W277" s="39" t="s">
        <v>2363</v>
      </c>
      <c r="X277" s="39" t="s">
        <v>2363</v>
      </c>
      <c r="Y277" s="40">
        <f t="shared" si="85"/>
        <v>29467.45</v>
      </c>
      <c r="Z277" s="40">
        <f t="shared" si="86"/>
        <v>618816.44999999995</v>
      </c>
      <c r="AA277" s="41" t="str">
        <f t="shared" si="87"/>
        <v>0.0018</v>
      </c>
      <c r="AB277" s="41">
        <f t="shared" si="88"/>
        <v>0</v>
      </c>
      <c r="AC277" s="41">
        <f t="shared" si="89"/>
        <v>0</v>
      </c>
      <c r="AD277" s="41">
        <f t="shared" si="90"/>
        <v>0</v>
      </c>
      <c r="AE277" s="41">
        <f t="shared" si="91"/>
        <v>0</v>
      </c>
      <c r="AF277" s="41">
        <f t="shared" si="92"/>
        <v>0</v>
      </c>
      <c r="AG277" s="41">
        <f t="shared" si="93"/>
        <v>0</v>
      </c>
      <c r="AH277" s="41">
        <f t="shared" si="94"/>
        <v>0</v>
      </c>
      <c r="AI277" s="41">
        <f t="shared" si="95"/>
        <v>28</v>
      </c>
      <c r="AJ277" s="41">
        <f t="shared" si="96"/>
        <v>365</v>
      </c>
      <c r="AK277" s="41">
        <f t="shared" si="97"/>
        <v>181</v>
      </c>
      <c r="AL277" s="42">
        <f t="shared" si="98"/>
        <v>2.9063786301369863</v>
      </c>
      <c r="AM277" s="42">
        <f t="shared" si="99"/>
        <v>526.05453205479455</v>
      </c>
      <c r="AN277" s="43">
        <f t="shared" si="84"/>
        <v>500946.65</v>
      </c>
      <c r="AO277" s="43"/>
      <c r="AP277" s="42">
        <f t="shared" si="100"/>
        <v>117869.79999999993</v>
      </c>
      <c r="AQ277" s="43">
        <v>5</v>
      </c>
      <c r="AR277" s="44">
        <f t="shared" si="101"/>
        <v>0.80952380952380965</v>
      </c>
      <c r="AS277" s="45">
        <f t="shared" si="102"/>
        <v>1571.5973333333334</v>
      </c>
      <c r="AU277" s="1">
        <v>412544.3</v>
      </c>
      <c r="AV277" s="50">
        <v>88402.35</v>
      </c>
    </row>
    <row r="278" spans="1:48" s="1" customFormat="1" ht="37.200000000000003" thickTop="1" thickBot="1" x14ac:dyDescent="0.55000000000000004">
      <c r="A278" s="33">
        <v>271</v>
      </c>
      <c r="B278" s="34" t="s">
        <v>325</v>
      </c>
      <c r="C278" s="34" t="s">
        <v>965</v>
      </c>
      <c r="D278" s="35" t="s">
        <v>780</v>
      </c>
      <c r="E278" s="35" t="s">
        <v>966</v>
      </c>
      <c r="F278" s="36" t="s">
        <v>1235</v>
      </c>
      <c r="G278" s="36" t="s">
        <v>1420</v>
      </c>
      <c r="H278" s="36" t="s">
        <v>1421</v>
      </c>
      <c r="I278" s="36" t="s">
        <v>1421</v>
      </c>
      <c r="J278" s="36" t="s">
        <v>1421</v>
      </c>
      <c r="K278" s="36">
        <v>375</v>
      </c>
      <c r="L278" s="36" t="s">
        <v>1422</v>
      </c>
      <c r="M278" s="49">
        <v>4</v>
      </c>
      <c r="N278" s="37" t="s">
        <v>1693</v>
      </c>
      <c r="O278" s="37"/>
      <c r="P278" s="36">
        <v>1</v>
      </c>
      <c r="Q278" s="36" t="s">
        <v>1941</v>
      </c>
      <c r="R278" s="36" t="s">
        <v>2177</v>
      </c>
      <c r="S278" s="36" t="s">
        <v>1880</v>
      </c>
      <c r="T278" s="36" t="s">
        <v>1881</v>
      </c>
      <c r="U278" s="38">
        <v>45630</v>
      </c>
      <c r="V278" s="39">
        <v>706770</v>
      </c>
      <c r="W278" s="39" t="s">
        <v>2363</v>
      </c>
      <c r="X278" s="39" t="s">
        <v>2363</v>
      </c>
      <c r="Y278" s="40">
        <f t="shared" si="85"/>
        <v>35338.5</v>
      </c>
      <c r="Z278" s="40">
        <f t="shared" si="86"/>
        <v>742108.5</v>
      </c>
      <c r="AA278" s="41" t="str">
        <f t="shared" si="87"/>
        <v>0.0022</v>
      </c>
      <c r="AB278" s="41">
        <f t="shared" si="88"/>
        <v>0</v>
      </c>
      <c r="AC278" s="41">
        <f t="shared" si="89"/>
        <v>0</v>
      </c>
      <c r="AD278" s="41">
        <f t="shared" si="90"/>
        <v>0</v>
      </c>
      <c r="AE278" s="41">
        <f t="shared" si="91"/>
        <v>0</v>
      </c>
      <c r="AF278" s="41">
        <f t="shared" si="92"/>
        <v>0</v>
      </c>
      <c r="AG278" s="41">
        <f t="shared" si="93"/>
        <v>0</v>
      </c>
      <c r="AH278" s="41">
        <f t="shared" si="94"/>
        <v>0</v>
      </c>
      <c r="AI278" s="41">
        <f t="shared" si="95"/>
        <v>27</v>
      </c>
      <c r="AJ278" s="41">
        <f t="shared" si="96"/>
        <v>365</v>
      </c>
      <c r="AK278" s="41">
        <f t="shared" si="97"/>
        <v>181</v>
      </c>
      <c r="AL278" s="42">
        <f t="shared" si="98"/>
        <v>4.2599835616438355</v>
      </c>
      <c r="AM278" s="42">
        <f t="shared" si="99"/>
        <v>771.05702465753427</v>
      </c>
      <c r="AN278" s="43">
        <f t="shared" si="84"/>
        <v>636093</v>
      </c>
      <c r="AO278" s="43"/>
      <c r="AP278" s="42">
        <f t="shared" si="100"/>
        <v>106015.5</v>
      </c>
      <c r="AQ278" s="43">
        <v>5</v>
      </c>
      <c r="AR278" s="44">
        <f t="shared" si="101"/>
        <v>0.8571428571428571</v>
      </c>
      <c r="AS278" s="45">
        <f t="shared" si="102"/>
        <v>1884.72</v>
      </c>
      <c r="AU278" s="1">
        <v>424062</v>
      </c>
      <c r="AV278" s="50">
        <v>212031</v>
      </c>
    </row>
    <row r="279" spans="1:48" s="1" customFormat="1" ht="37.200000000000003" thickTop="1" thickBot="1" x14ac:dyDescent="0.55000000000000004">
      <c r="A279" s="33">
        <v>272</v>
      </c>
      <c r="B279" s="34" t="s">
        <v>326</v>
      </c>
      <c r="C279" s="34" t="s">
        <v>965</v>
      </c>
      <c r="D279" s="35" t="s">
        <v>781</v>
      </c>
      <c r="E279" s="35" t="s">
        <v>966</v>
      </c>
      <c r="F279" s="36" t="s">
        <v>1236</v>
      </c>
      <c r="G279" s="36" t="s">
        <v>1420</v>
      </c>
      <c r="H279" s="36" t="s">
        <v>1421</v>
      </c>
      <c r="I279" s="36" t="s">
        <v>1421</v>
      </c>
      <c r="J279" s="36" t="s">
        <v>1421</v>
      </c>
      <c r="K279" s="36">
        <v>350</v>
      </c>
      <c r="L279" s="36" t="s">
        <v>1422</v>
      </c>
      <c r="M279" s="49">
        <v>4</v>
      </c>
      <c r="N279" s="37" t="s">
        <v>1694</v>
      </c>
      <c r="O279" s="37"/>
      <c r="P279" s="36">
        <v>1</v>
      </c>
      <c r="Q279" s="36" t="s">
        <v>1995</v>
      </c>
      <c r="R279" s="36" t="s">
        <v>2178</v>
      </c>
      <c r="S279" s="36" t="s">
        <v>1880</v>
      </c>
      <c r="T279" s="36" t="s">
        <v>1881</v>
      </c>
      <c r="U279" s="38">
        <v>45631</v>
      </c>
      <c r="V279" s="39">
        <v>673474</v>
      </c>
      <c r="W279" s="39" t="s">
        <v>2363</v>
      </c>
      <c r="X279" s="39" t="s">
        <v>2363</v>
      </c>
      <c r="Y279" s="40">
        <f t="shared" si="85"/>
        <v>33673.699999999997</v>
      </c>
      <c r="Z279" s="40">
        <f t="shared" si="86"/>
        <v>707147.7</v>
      </c>
      <c r="AA279" s="41" t="str">
        <f t="shared" si="87"/>
        <v>0.0018</v>
      </c>
      <c r="AB279" s="41">
        <f t="shared" si="88"/>
        <v>0</v>
      </c>
      <c r="AC279" s="41">
        <f t="shared" si="89"/>
        <v>0</v>
      </c>
      <c r="AD279" s="41">
        <f t="shared" si="90"/>
        <v>0</v>
      </c>
      <c r="AE279" s="41">
        <f t="shared" si="91"/>
        <v>0</v>
      </c>
      <c r="AF279" s="41">
        <f t="shared" si="92"/>
        <v>0</v>
      </c>
      <c r="AG279" s="41">
        <f t="shared" si="93"/>
        <v>0</v>
      </c>
      <c r="AH279" s="41">
        <f t="shared" si="94"/>
        <v>0</v>
      </c>
      <c r="AI279" s="41">
        <f t="shared" si="95"/>
        <v>26</v>
      </c>
      <c r="AJ279" s="41">
        <f t="shared" si="96"/>
        <v>365</v>
      </c>
      <c r="AK279" s="41">
        <f t="shared" si="97"/>
        <v>181</v>
      </c>
      <c r="AL279" s="42">
        <f t="shared" si="98"/>
        <v>3.321241643835616</v>
      </c>
      <c r="AM279" s="42">
        <f t="shared" si="99"/>
        <v>601.14473753424647</v>
      </c>
      <c r="AN279" s="43">
        <f t="shared" si="84"/>
        <v>639800.29999999993</v>
      </c>
      <c r="AO279" s="43"/>
      <c r="AP279" s="42">
        <f t="shared" si="100"/>
        <v>67347.400000000023</v>
      </c>
      <c r="AQ279" s="43">
        <v>6</v>
      </c>
      <c r="AR279" s="44">
        <f t="shared" si="101"/>
        <v>0.90476190476190477</v>
      </c>
      <c r="AS279" s="45">
        <f t="shared" si="102"/>
        <v>1924.2114285714285</v>
      </c>
      <c r="AU279" s="1">
        <v>606126.6</v>
      </c>
      <c r="AV279" s="50">
        <v>33673.699999999997</v>
      </c>
    </row>
    <row r="280" spans="1:48" s="1" customFormat="1" ht="37.200000000000003" thickTop="1" thickBot="1" x14ac:dyDescent="0.55000000000000004">
      <c r="A280" s="33">
        <v>273</v>
      </c>
      <c r="B280" s="34" t="s">
        <v>327</v>
      </c>
      <c r="C280" s="34" t="s">
        <v>965</v>
      </c>
      <c r="D280" s="35" t="s">
        <v>782</v>
      </c>
      <c r="E280" s="35" t="s">
        <v>966</v>
      </c>
      <c r="F280" s="36" t="s">
        <v>1237</v>
      </c>
      <c r="G280" s="36" t="s">
        <v>1420</v>
      </c>
      <c r="H280" s="36" t="s">
        <v>1421</v>
      </c>
      <c r="I280" s="36" t="s">
        <v>1421</v>
      </c>
      <c r="J280" s="36" t="s">
        <v>1421</v>
      </c>
      <c r="K280" s="36">
        <v>400</v>
      </c>
      <c r="L280" s="36" t="s">
        <v>1422</v>
      </c>
      <c r="M280" s="49">
        <v>4</v>
      </c>
      <c r="N280" s="37" t="s">
        <v>1695</v>
      </c>
      <c r="O280" s="37"/>
      <c r="P280" s="36">
        <v>1</v>
      </c>
      <c r="Q280" s="36" t="s">
        <v>1962</v>
      </c>
      <c r="R280" s="36" t="s">
        <v>2179</v>
      </c>
      <c r="S280" s="36" t="s">
        <v>1880</v>
      </c>
      <c r="T280" s="36" t="s">
        <v>1881</v>
      </c>
      <c r="U280" s="38">
        <v>45631</v>
      </c>
      <c r="V280" s="39">
        <v>728272</v>
      </c>
      <c r="W280" s="39" t="s">
        <v>2363</v>
      </c>
      <c r="X280" s="39" t="s">
        <v>2363</v>
      </c>
      <c r="Y280" s="40">
        <f t="shared" si="85"/>
        <v>36413.599999999999</v>
      </c>
      <c r="Z280" s="40">
        <f t="shared" si="86"/>
        <v>764685.6</v>
      </c>
      <c r="AA280" s="41" t="str">
        <f t="shared" si="87"/>
        <v>0.0022</v>
      </c>
      <c r="AB280" s="41">
        <f t="shared" si="88"/>
        <v>0</v>
      </c>
      <c r="AC280" s="41">
        <f t="shared" si="89"/>
        <v>0</v>
      </c>
      <c r="AD280" s="41">
        <f t="shared" si="90"/>
        <v>0</v>
      </c>
      <c r="AE280" s="41">
        <f t="shared" si="91"/>
        <v>0</v>
      </c>
      <c r="AF280" s="41">
        <f t="shared" si="92"/>
        <v>0</v>
      </c>
      <c r="AG280" s="41">
        <f t="shared" si="93"/>
        <v>0</v>
      </c>
      <c r="AH280" s="41">
        <f t="shared" si="94"/>
        <v>0</v>
      </c>
      <c r="AI280" s="41">
        <f t="shared" si="95"/>
        <v>26</v>
      </c>
      <c r="AJ280" s="41">
        <f t="shared" si="96"/>
        <v>365</v>
      </c>
      <c r="AK280" s="41">
        <f t="shared" si="97"/>
        <v>181</v>
      </c>
      <c r="AL280" s="42">
        <f t="shared" si="98"/>
        <v>4.3895846575342468</v>
      </c>
      <c r="AM280" s="42">
        <f t="shared" si="99"/>
        <v>794.51482301369867</v>
      </c>
      <c r="AN280" s="43">
        <f t="shared" si="84"/>
        <v>691858.4</v>
      </c>
      <c r="AO280" s="43"/>
      <c r="AP280" s="42">
        <f t="shared" si="100"/>
        <v>72827.199999999953</v>
      </c>
      <c r="AQ280" s="43">
        <v>6</v>
      </c>
      <c r="AR280" s="44">
        <f t="shared" si="101"/>
        <v>0.90476190476190477</v>
      </c>
      <c r="AS280" s="45">
        <f t="shared" si="102"/>
        <v>1820.68</v>
      </c>
      <c r="AU280" s="1">
        <v>655444.80000000005</v>
      </c>
      <c r="AV280" s="50">
        <v>36413.599999999999</v>
      </c>
    </row>
    <row r="281" spans="1:48" s="1" customFormat="1" ht="37.200000000000003" thickTop="1" thickBot="1" x14ac:dyDescent="0.55000000000000004">
      <c r="A281" s="33">
        <v>274</v>
      </c>
      <c r="B281" s="34" t="s">
        <v>328</v>
      </c>
      <c r="C281" s="34" t="s">
        <v>965</v>
      </c>
      <c r="D281" s="35" t="s">
        <v>783</v>
      </c>
      <c r="E281" s="35" t="s">
        <v>966</v>
      </c>
      <c r="F281" s="36" t="s">
        <v>1238</v>
      </c>
      <c r="G281" s="36" t="s">
        <v>1420</v>
      </c>
      <c r="H281" s="36" t="s">
        <v>1421</v>
      </c>
      <c r="I281" s="36" t="s">
        <v>1421</v>
      </c>
      <c r="J281" s="36" t="s">
        <v>1421</v>
      </c>
      <c r="K281" s="36">
        <v>350</v>
      </c>
      <c r="L281" s="36" t="s">
        <v>1422</v>
      </c>
      <c r="M281" s="49">
        <v>4</v>
      </c>
      <c r="N281" s="37" t="s">
        <v>1696</v>
      </c>
      <c r="O281" s="37"/>
      <c r="P281" s="36">
        <v>1</v>
      </c>
      <c r="Q281" s="36" t="s">
        <v>1995</v>
      </c>
      <c r="R281" s="36" t="s">
        <v>2180</v>
      </c>
      <c r="S281" s="36" t="s">
        <v>1880</v>
      </c>
      <c r="T281" s="36" t="s">
        <v>1883</v>
      </c>
      <c r="U281" s="38">
        <v>45634</v>
      </c>
      <c r="V281" s="39">
        <v>711474</v>
      </c>
      <c r="W281" s="39" t="s">
        <v>2363</v>
      </c>
      <c r="X281" s="39" t="s">
        <v>2363</v>
      </c>
      <c r="Y281" s="40">
        <f t="shared" si="85"/>
        <v>35573.699999999997</v>
      </c>
      <c r="Z281" s="40">
        <f t="shared" si="86"/>
        <v>747047.7</v>
      </c>
      <c r="AA281" s="41" t="str">
        <f t="shared" si="87"/>
        <v>0.0022</v>
      </c>
      <c r="AB281" s="41">
        <f t="shared" si="88"/>
        <v>0</v>
      </c>
      <c r="AC281" s="41">
        <f t="shared" si="89"/>
        <v>0</v>
      </c>
      <c r="AD281" s="41">
        <f t="shared" si="90"/>
        <v>0</v>
      </c>
      <c r="AE281" s="41">
        <f t="shared" si="91"/>
        <v>0</v>
      </c>
      <c r="AF281" s="41">
        <f t="shared" si="92"/>
        <v>0</v>
      </c>
      <c r="AG281" s="41">
        <f t="shared" si="93"/>
        <v>0</v>
      </c>
      <c r="AH281" s="41">
        <f t="shared" si="94"/>
        <v>0</v>
      </c>
      <c r="AI281" s="41">
        <f t="shared" si="95"/>
        <v>23</v>
      </c>
      <c r="AJ281" s="41">
        <f t="shared" si="96"/>
        <v>365</v>
      </c>
      <c r="AK281" s="41">
        <f t="shared" si="97"/>
        <v>181</v>
      </c>
      <c r="AL281" s="42">
        <f t="shared" si="98"/>
        <v>4.288336438356164</v>
      </c>
      <c r="AM281" s="42">
        <f t="shared" si="99"/>
        <v>776.18889534246568</v>
      </c>
      <c r="AN281" s="43">
        <f t="shared" si="84"/>
        <v>604752.9</v>
      </c>
      <c r="AO281" s="43"/>
      <c r="AP281" s="42">
        <f t="shared" si="100"/>
        <v>142294.79999999993</v>
      </c>
      <c r="AQ281" s="43">
        <v>5</v>
      </c>
      <c r="AR281" s="44">
        <f t="shared" si="101"/>
        <v>0.80952380952380965</v>
      </c>
      <c r="AS281" s="45">
        <f t="shared" si="102"/>
        <v>2032.7828571428572</v>
      </c>
      <c r="AU281" s="1">
        <v>498031.8</v>
      </c>
      <c r="AV281" s="50">
        <v>106721.1</v>
      </c>
    </row>
    <row r="282" spans="1:48" s="1" customFormat="1" ht="37.200000000000003" thickTop="1" thickBot="1" x14ac:dyDescent="0.55000000000000004">
      <c r="A282" s="33">
        <v>275</v>
      </c>
      <c r="B282" s="34" t="s">
        <v>329</v>
      </c>
      <c r="C282" s="34" t="s">
        <v>965</v>
      </c>
      <c r="D282" s="35" t="s">
        <v>784</v>
      </c>
      <c r="E282" s="35" t="s">
        <v>966</v>
      </c>
      <c r="F282" s="36" t="s">
        <v>1239</v>
      </c>
      <c r="G282" s="36" t="s">
        <v>1420</v>
      </c>
      <c r="H282" s="36" t="s">
        <v>1421</v>
      </c>
      <c r="I282" s="36" t="s">
        <v>1421</v>
      </c>
      <c r="J282" s="36" t="s">
        <v>1421</v>
      </c>
      <c r="K282" s="36">
        <v>350</v>
      </c>
      <c r="L282" s="36" t="s">
        <v>1422</v>
      </c>
      <c r="M282" s="49">
        <v>4</v>
      </c>
      <c r="N282" s="37" t="s">
        <v>1697</v>
      </c>
      <c r="O282" s="37"/>
      <c r="P282" s="36">
        <v>1</v>
      </c>
      <c r="Q282" s="36" t="s">
        <v>2039</v>
      </c>
      <c r="R282" s="36" t="s">
        <v>2181</v>
      </c>
      <c r="S282" s="36" t="s">
        <v>1880</v>
      </c>
      <c r="T282" s="36" t="s">
        <v>1883</v>
      </c>
      <c r="U282" s="38">
        <v>45634</v>
      </c>
      <c r="V282" s="39">
        <v>775518</v>
      </c>
      <c r="W282" s="39" t="s">
        <v>2363</v>
      </c>
      <c r="X282" s="39" t="s">
        <v>2363</v>
      </c>
      <c r="Y282" s="40">
        <f t="shared" si="85"/>
        <v>38775.9</v>
      </c>
      <c r="Z282" s="40">
        <f t="shared" si="86"/>
        <v>814293.9</v>
      </c>
      <c r="AA282" s="41" t="str">
        <f t="shared" si="87"/>
        <v>0.0022</v>
      </c>
      <c r="AB282" s="41">
        <f t="shared" si="88"/>
        <v>0</v>
      </c>
      <c r="AC282" s="41">
        <f t="shared" si="89"/>
        <v>0</v>
      </c>
      <c r="AD282" s="41">
        <f t="shared" si="90"/>
        <v>0</v>
      </c>
      <c r="AE282" s="41">
        <f t="shared" si="91"/>
        <v>0</v>
      </c>
      <c r="AF282" s="41">
        <f t="shared" si="92"/>
        <v>0</v>
      </c>
      <c r="AG282" s="41">
        <f t="shared" si="93"/>
        <v>0</v>
      </c>
      <c r="AH282" s="41">
        <f t="shared" si="94"/>
        <v>0</v>
      </c>
      <c r="AI282" s="41">
        <f t="shared" si="95"/>
        <v>23</v>
      </c>
      <c r="AJ282" s="41">
        <f t="shared" si="96"/>
        <v>365</v>
      </c>
      <c r="AK282" s="41">
        <f t="shared" si="97"/>
        <v>181</v>
      </c>
      <c r="AL282" s="42">
        <f t="shared" si="98"/>
        <v>4.674355068493151</v>
      </c>
      <c r="AM282" s="42">
        <f t="shared" si="99"/>
        <v>846.05826739726035</v>
      </c>
      <c r="AN282" s="43">
        <f t="shared" si="84"/>
        <v>659190.1</v>
      </c>
      <c r="AO282" s="43"/>
      <c r="AP282" s="42">
        <f t="shared" si="100"/>
        <v>155103.80000000005</v>
      </c>
      <c r="AQ282" s="43">
        <v>5</v>
      </c>
      <c r="AR282" s="44">
        <f t="shared" si="101"/>
        <v>0.80952356391224345</v>
      </c>
      <c r="AS282" s="45">
        <f t="shared" si="102"/>
        <v>2215.7657142857142</v>
      </c>
      <c r="AU282" s="1">
        <v>542862.4</v>
      </c>
      <c r="AV282" s="50">
        <v>116327.7</v>
      </c>
    </row>
    <row r="283" spans="1:48" s="1" customFormat="1" ht="37.200000000000003" thickTop="1" thickBot="1" x14ac:dyDescent="0.55000000000000004">
      <c r="A283" s="33">
        <v>276</v>
      </c>
      <c r="B283" s="34" t="s">
        <v>330</v>
      </c>
      <c r="C283" s="34" t="s">
        <v>965</v>
      </c>
      <c r="D283" s="35" t="s">
        <v>785</v>
      </c>
      <c r="E283" s="35" t="s">
        <v>966</v>
      </c>
      <c r="F283" s="36" t="s">
        <v>1240</v>
      </c>
      <c r="G283" s="36" t="s">
        <v>1420</v>
      </c>
      <c r="H283" s="36" t="s">
        <v>1421</v>
      </c>
      <c r="I283" s="36" t="s">
        <v>1421</v>
      </c>
      <c r="J283" s="36" t="s">
        <v>1421</v>
      </c>
      <c r="K283" s="36">
        <v>350</v>
      </c>
      <c r="L283" s="36" t="s">
        <v>1422</v>
      </c>
      <c r="M283" s="49">
        <v>4</v>
      </c>
      <c r="N283" s="37" t="s">
        <v>1698</v>
      </c>
      <c r="O283" s="37"/>
      <c r="P283" s="36">
        <v>1</v>
      </c>
      <c r="Q283" s="36" t="s">
        <v>1933</v>
      </c>
      <c r="R283" s="36" t="s">
        <v>2182</v>
      </c>
      <c r="S283" s="36" t="s">
        <v>1880</v>
      </c>
      <c r="T283" s="36" t="s">
        <v>1881</v>
      </c>
      <c r="U283" s="38">
        <v>45634</v>
      </c>
      <c r="V283" s="39">
        <v>790000</v>
      </c>
      <c r="W283" s="39" t="s">
        <v>2363</v>
      </c>
      <c r="X283" s="39" t="s">
        <v>2363</v>
      </c>
      <c r="Y283" s="40">
        <f t="shared" si="85"/>
        <v>39500</v>
      </c>
      <c r="Z283" s="40">
        <f t="shared" si="86"/>
        <v>829500</v>
      </c>
      <c r="AA283" s="41" t="str">
        <f t="shared" si="87"/>
        <v>0.0022</v>
      </c>
      <c r="AB283" s="41">
        <f t="shared" si="88"/>
        <v>0</v>
      </c>
      <c r="AC283" s="41">
        <f t="shared" si="89"/>
        <v>0</v>
      </c>
      <c r="AD283" s="41">
        <f t="shared" si="90"/>
        <v>0</v>
      </c>
      <c r="AE283" s="41">
        <f t="shared" si="91"/>
        <v>0</v>
      </c>
      <c r="AF283" s="41">
        <f t="shared" si="92"/>
        <v>0</v>
      </c>
      <c r="AG283" s="41">
        <f t="shared" si="93"/>
        <v>0</v>
      </c>
      <c r="AH283" s="41">
        <f t="shared" si="94"/>
        <v>0</v>
      </c>
      <c r="AI283" s="41">
        <f t="shared" si="95"/>
        <v>23</v>
      </c>
      <c r="AJ283" s="41">
        <f t="shared" si="96"/>
        <v>365</v>
      </c>
      <c r="AK283" s="41">
        <f t="shared" si="97"/>
        <v>181</v>
      </c>
      <c r="AL283" s="42">
        <f t="shared" si="98"/>
        <v>4.7616438356164386</v>
      </c>
      <c r="AM283" s="42">
        <f t="shared" si="99"/>
        <v>861.85753424657537</v>
      </c>
      <c r="AN283" s="43">
        <f t="shared" si="84"/>
        <v>711000</v>
      </c>
      <c r="AO283" s="43"/>
      <c r="AP283" s="42">
        <f t="shared" si="100"/>
        <v>118500</v>
      </c>
      <c r="AQ283" s="43">
        <v>5</v>
      </c>
      <c r="AR283" s="44">
        <f t="shared" si="101"/>
        <v>0.8571428571428571</v>
      </c>
      <c r="AS283" s="45">
        <f t="shared" si="102"/>
        <v>2257.1428571428573</v>
      </c>
      <c r="AU283" s="1">
        <v>592500</v>
      </c>
      <c r="AV283" s="50">
        <v>118500</v>
      </c>
    </row>
    <row r="284" spans="1:48" s="1" customFormat="1" ht="37.200000000000003" thickTop="1" thickBot="1" x14ac:dyDescent="0.55000000000000004">
      <c r="A284" s="33">
        <v>277</v>
      </c>
      <c r="B284" s="34" t="s">
        <v>331</v>
      </c>
      <c r="C284" s="34" t="s">
        <v>965</v>
      </c>
      <c r="D284" s="35" t="s">
        <v>786</v>
      </c>
      <c r="E284" s="35" t="s">
        <v>966</v>
      </c>
      <c r="F284" s="36" t="s">
        <v>1241</v>
      </c>
      <c r="G284" s="36" t="s">
        <v>1420</v>
      </c>
      <c r="H284" s="36" t="s">
        <v>1421</v>
      </c>
      <c r="I284" s="36" t="s">
        <v>1421</v>
      </c>
      <c r="J284" s="36" t="s">
        <v>1421</v>
      </c>
      <c r="K284" s="36">
        <v>350</v>
      </c>
      <c r="L284" s="36" t="s">
        <v>1422</v>
      </c>
      <c r="M284" s="49">
        <v>4</v>
      </c>
      <c r="N284" s="37" t="s">
        <v>1699</v>
      </c>
      <c r="O284" s="37"/>
      <c r="P284" s="36">
        <v>1</v>
      </c>
      <c r="Q284" s="36" t="s">
        <v>1937</v>
      </c>
      <c r="R284" s="36" t="s">
        <v>2183</v>
      </c>
      <c r="S284" s="36" t="s">
        <v>1880</v>
      </c>
      <c r="T284" s="36" t="s">
        <v>2184</v>
      </c>
      <c r="U284" s="38">
        <v>45635</v>
      </c>
      <c r="V284" s="39">
        <v>585400</v>
      </c>
      <c r="W284" s="39" t="s">
        <v>2363</v>
      </c>
      <c r="X284" s="39" t="s">
        <v>2363</v>
      </c>
      <c r="Y284" s="40">
        <f t="shared" si="85"/>
        <v>29270</v>
      </c>
      <c r="Z284" s="40">
        <f t="shared" si="86"/>
        <v>614670</v>
      </c>
      <c r="AA284" s="41" t="str">
        <f t="shared" si="87"/>
        <v>0.0018</v>
      </c>
      <c r="AB284" s="41">
        <f t="shared" si="88"/>
        <v>0</v>
      </c>
      <c r="AC284" s="41">
        <f t="shared" si="89"/>
        <v>0</v>
      </c>
      <c r="AD284" s="41">
        <f t="shared" si="90"/>
        <v>0</v>
      </c>
      <c r="AE284" s="41">
        <f t="shared" si="91"/>
        <v>0</v>
      </c>
      <c r="AF284" s="41">
        <f t="shared" si="92"/>
        <v>0</v>
      </c>
      <c r="AG284" s="41">
        <f t="shared" si="93"/>
        <v>0</v>
      </c>
      <c r="AH284" s="41">
        <f t="shared" si="94"/>
        <v>0</v>
      </c>
      <c r="AI284" s="41">
        <f t="shared" si="95"/>
        <v>22</v>
      </c>
      <c r="AJ284" s="41">
        <f t="shared" si="96"/>
        <v>365</v>
      </c>
      <c r="AK284" s="41">
        <f t="shared" si="97"/>
        <v>181</v>
      </c>
      <c r="AL284" s="42">
        <f t="shared" si="98"/>
        <v>2.8869041095890413</v>
      </c>
      <c r="AM284" s="42">
        <f t="shared" si="99"/>
        <v>522.52964383561653</v>
      </c>
      <c r="AN284" s="43">
        <f t="shared" si="84"/>
        <v>526860</v>
      </c>
      <c r="AO284" s="43"/>
      <c r="AP284" s="42">
        <f t="shared" si="100"/>
        <v>87810</v>
      </c>
      <c r="AQ284" s="43">
        <v>5</v>
      </c>
      <c r="AR284" s="44">
        <f t="shared" si="101"/>
        <v>0.8571428571428571</v>
      </c>
      <c r="AS284" s="45">
        <f t="shared" si="102"/>
        <v>1672.5714285714287</v>
      </c>
      <c r="AU284" s="1">
        <v>439050</v>
      </c>
      <c r="AV284" s="50">
        <v>87810</v>
      </c>
    </row>
    <row r="285" spans="1:48" s="1" customFormat="1" ht="37.200000000000003" thickTop="1" thickBot="1" x14ac:dyDescent="0.55000000000000004">
      <c r="A285" s="33">
        <v>278</v>
      </c>
      <c r="B285" s="34" t="s">
        <v>332</v>
      </c>
      <c r="C285" s="34" t="s">
        <v>965</v>
      </c>
      <c r="D285" s="35" t="s">
        <v>787</v>
      </c>
      <c r="E285" s="35" t="s">
        <v>966</v>
      </c>
      <c r="F285" s="36" t="s">
        <v>1242</v>
      </c>
      <c r="G285" s="36" t="s">
        <v>1420</v>
      </c>
      <c r="H285" s="36" t="s">
        <v>1421</v>
      </c>
      <c r="I285" s="36" t="s">
        <v>1421</v>
      </c>
      <c r="J285" s="36" t="s">
        <v>1421</v>
      </c>
      <c r="K285" s="36">
        <v>375</v>
      </c>
      <c r="L285" s="36" t="s">
        <v>1422</v>
      </c>
      <c r="M285" s="49">
        <v>4</v>
      </c>
      <c r="N285" s="37" t="s">
        <v>1700</v>
      </c>
      <c r="O285" s="37"/>
      <c r="P285" s="36">
        <v>1</v>
      </c>
      <c r="Q285" s="36" t="s">
        <v>1929</v>
      </c>
      <c r="R285" s="36" t="s">
        <v>2185</v>
      </c>
      <c r="S285" s="36" t="s">
        <v>1880</v>
      </c>
      <c r="T285" s="36" t="s">
        <v>1883</v>
      </c>
      <c r="U285" s="38">
        <v>45636</v>
      </c>
      <c r="V285" s="39">
        <v>774338</v>
      </c>
      <c r="W285" s="39" t="s">
        <v>2363</v>
      </c>
      <c r="X285" s="39" t="s">
        <v>2363</v>
      </c>
      <c r="Y285" s="40">
        <f t="shared" si="85"/>
        <v>38716.9</v>
      </c>
      <c r="Z285" s="40">
        <f t="shared" si="86"/>
        <v>813054.9</v>
      </c>
      <c r="AA285" s="41" t="str">
        <f t="shared" si="87"/>
        <v>0.0022</v>
      </c>
      <c r="AB285" s="41">
        <f t="shared" si="88"/>
        <v>0</v>
      </c>
      <c r="AC285" s="41">
        <f t="shared" si="89"/>
        <v>0</v>
      </c>
      <c r="AD285" s="41">
        <f t="shared" si="90"/>
        <v>0</v>
      </c>
      <c r="AE285" s="41">
        <f t="shared" si="91"/>
        <v>0</v>
      </c>
      <c r="AF285" s="41">
        <f t="shared" si="92"/>
        <v>0</v>
      </c>
      <c r="AG285" s="41">
        <f t="shared" si="93"/>
        <v>0</v>
      </c>
      <c r="AH285" s="41">
        <f t="shared" si="94"/>
        <v>0</v>
      </c>
      <c r="AI285" s="41">
        <f t="shared" si="95"/>
        <v>21</v>
      </c>
      <c r="AJ285" s="41">
        <f t="shared" si="96"/>
        <v>365</v>
      </c>
      <c r="AK285" s="41">
        <f t="shared" si="97"/>
        <v>181</v>
      </c>
      <c r="AL285" s="42">
        <f t="shared" si="98"/>
        <v>4.6672427397260279</v>
      </c>
      <c r="AM285" s="42">
        <f t="shared" si="99"/>
        <v>844.77093589041101</v>
      </c>
      <c r="AN285" s="43">
        <f t="shared" si="84"/>
        <v>658187.30000000005</v>
      </c>
      <c r="AO285" s="43"/>
      <c r="AP285" s="42">
        <f t="shared" si="100"/>
        <v>154867.59999999998</v>
      </c>
      <c r="AQ285" s="43">
        <v>5</v>
      </c>
      <c r="AR285" s="44">
        <f t="shared" si="101"/>
        <v>0.80952380952380953</v>
      </c>
      <c r="AS285" s="45">
        <f t="shared" si="102"/>
        <v>2064.9013333333332</v>
      </c>
      <c r="AU285" s="1">
        <v>658187.30000000005</v>
      </c>
      <c r="AV285" s="50">
        <v>0</v>
      </c>
    </row>
    <row r="286" spans="1:48" s="1" customFormat="1" ht="37.200000000000003" thickTop="1" thickBot="1" x14ac:dyDescent="0.55000000000000004">
      <c r="A286" s="33">
        <v>279</v>
      </c>
      <c r="B286" s="34" t="s">
        <v>333</v>
      </c>
      <c r="C286" s="34" t="s">
        <v>965</v>
      </c>
      <c r="D286" s="35" t="s">
        <v>788</v>
      </c>
      <c r="E286" s="35" t="s">
        <v>966</v>
      </c>
      <c r="F286" s="36" t="s">
        <v>1243</v>
      </c>
      <c r="G286" s="36" t="s">
        <v>1420</v>
      </c>
      <c r="H286" s="36" t="s">
        <v>1421</v>
      </c>
      <c r="I286" s="36" t="s">
        <v>1421</v>
      </c>
      <c r="J286" s="36" t="s">
        <v>1421</v>
      </c>
      <c r="K286" s="36">
        <v>350</v>
      </c>
      <c r="L286" s="36" t="s">
        <v>1422</v>
      </c>
      <c r="M286" s="49">
        <v>4</v>
      </c>
      <c r="N286" s="37" t="s">
        <v>1701</v>
      </c>
      <c r="O286" s="37"/>
      <c r="P286" s="36">
        <v>1</v>
      </c>
      <c r="Q286" s="36" t="s">
        <v>1931</v>
      </c>
      <c r="R286" s="36" t="s">
        <v>2186</v>
      </c>
      <c r="S286" s="36" t="s">
        <v>1880</v>
      </c>
      <c r="T286" s="36" t="s">
        <v>1883</v>
      </c>
      <c r="U286" s="38">
        <v>45636</v>
      </c>
      <c r="V286" s="39">
        <v>761230</v>
      </c>
      <c r="W286" s="39" t="s">
        <v>2363</v>
      </c>
      <c r="X286" s="39" t="s">
        <v>2363</v>
      </c>
      <c r="Y286" s="40">
        <f t="shared" si="85"/>
        <v>38061.5</v>
      </c>
      <c r="Z286" s="40">
        <f t="shared" si="86"/>
        <v>799291.5</v>
      </c>
      <c r="AA286" s="41" t="str">
        <f t="shared" si="87"/>
        <v>0.0022</v>
      </c>
      <c r="AB286" s="41">
        <f t="shared" si="88"/>
        <v>0</v>
      </c>
      <c r="AC286" s="41">
        <f t="shared" si="89"/>
        <v>0</v>
      </c>
      <c r="AD286" s="41">
        <f t="shared" si="90"/>
        <v>0</v>
      </c>
      <c r="AE286" s="41">
        <f t="shared" si="91"/>
        <v>0</v>
      </c>
      <c r="AF286" s="41">
        <f t="shared" si="92"/>
        <v>0</v>
      </c>
      <c r="AG286" s="41">
        <f t="shared" si="93"/>
        <v>0</v>
      </c>
      <c r="AH286" s="41">
        <f t="shared" si="94"/>
        <v>0</v>
      </c>
      <c r="AI286" s="41">
        <f t="shared" si="95"/>
        <v>21</v>
      </c>
      <c r="AJ286" s="41">
        <f t="shared" si="96"/>
        <v>365</v>
      </c>
      <c r="AK286" s="41">
        <f t="shared" si="97"/>
        <v>181</v>
      </c>
      <c r="AL286" s="42">
        <f t="shared" si="98"/>
        <v>4.5882356164383564</v>
      </c>
      <c r="AM286" s="42">
        <f t="shared" si="99"/>
        <v>830.47064657534247</v>
      </c>
      <c r="AN286" s="43">
        <f t="shared" si="84"/>
        <v>532861</v>
      </c>
      <c r="AO286" s="43"/>
      <c r="AP286" s="42">
        <f t="shared" si="100"/>
        <v>266430.5</v>
      </c>
      <c r="AQ286" s="43">
        <v>4</v>
      </c>
      <c r="AR286" s="44">
        <f t="shared" si="101"/>
        <v>0.66666666666666663</v>
      </c>
      <c r="AS286" s="45">
        <f t="shared" si="102"/>
        <v>2174.9428571428571</v>
      </c>
      <c r="AU286" s="1">
        <v>532861</v>
      </c>
      <c r="AV286" s="50">
        <v>0</v>
      </c>
    </row>
    <row r="287" spans="1:48" s="1" customFormat="1" ht="37.200000000000003" thickTop="1" thickBot="1" x14ac:dyDescent="0.55000000000000004">
      <c r="A287" s="33">
        <v>280</v>
      </c>
      <c r="B287" s="34" t="s">
        <v>334</v>
      </c>
      <c r="C287" s="34" t="s">
        <v>965</v>
      </c>
      <c r="D287" s="35" t="s">
        <v>789</v>
      </c>
      <c r="E287" s="35" t="s">
        <v>966</v>
      </c>
      <c r="F287" s="36" t="s">
        <v>1244</v>
      </c>
      <c r="G287" s="36" t="s">
        <v>1420</v>
      </c>
      <c r="H287" s="36" t="s">
        <v>1421</v>
      </c>
      <c r="I287" s="36" t="s">
        <v>1421</v>
      </c>
      <c r="J287" s="36" t="s">
        <v>1421</v>
      </c>
      <c r="K287" s="36">
        <v>375</v>
      </c>
      <c r="L287" s="36" t="s">
        <v>1422</v>
      </c>
      <c r="M287" s="49">
        <v>4</v>
      </c>
      <c r="N287" s="37" t="s">
        <v>1702</v>
      </c>
      <c r="O287" s="37"/>
      <c r="P287" s="36">
        <v>1</v>
      </c>
      <c r="Q287" s="36" t="s">
        <v>1933</v>
      </c>
      <c r="R287" s="36" t="s">
        <v>2187</v>
      </c>
      <c r="S287" s="36" t="s">
        <v>1880</v>
      </c>
      <c r="T287" s="36" t="s">
        <v>1883</v>
      </c>
      <c r="U287" s="38">
        <v>45636</v>
      </c>
      <c r="V287" s="39">
        <v>764473</v>
      </c>
      <c r="W287" s="39" t="s">
        <v>2363</v>
      </c>
      <c r="X287" s="39" t="s">
        <v>2363</v>
      </c>
      <c r="Y287" s="40">
        <f t="shared" si="85"/>
        <v>38223.65</v>
      </c>
      <c r="Z287" s="40">
        <f t="shared" si="86"/>
        <v>802696.65</v>
      </c>
      <c r="AA287" s="41" t="str">
        <f t="shared" si="87"/>
        <v>0.0022</v>
      </c>
      <c r="AB287" s="41">
        <f t="shared" si="88"/>
        <v>0</v>
      </c>
      <c r="AC287" s="41">
        <f t="shared" si="89"/>
        <v>0</v>
      </c>
      <c r="AD287" s="41">
        <f t="shared" si="90"/>
        <v>0</v>
      </c>
      <c r="AE287" s="41">
        <f t="shared" si="91"/>
        <v>0</v>
      </c>
      <c r="AF287" s="41">
        <f t="shared" si="92"/>
        <v>0</v>
      </c>
      <c r="AG287" s="41">
        <f t="shared" si="93"/>
        <v>0</v>
      </c>
      <c r="AH287" s="41">
        <f t="shared" si="94"/>
        <v>0</v>
      </c>
      <c r="AI287" s="41">
        <f t="shared" si="95"/>
        <v>21</v>
      </c>
      <c r="AJ287" s="41">
        <f t="shared" si="96"/>
        <v>365</v>
      </c>
      <c r="AK287" s="41">
        <f t="shared" si="97"/>
        <v>181</v>
      </c>
      <c r="AL287" s="42">
        <f t="shared" si="98"/>
        <v>4.6077824657534245</v>
      </c>
      <c r="AM287" s="42">
        <f t="shared" si="99"/>
        <v>834.00862630136987</v>
      </c>
      <c r="AN287" s="43">
        <f t="shared" si="84"/>
        <v>649802.04999999993</v>
      </c>
      <c r="AO287" s="43"/>
      <c r="AP287" s="42">
        <f t="shared" si="100"/>
        <v>152894.60000000009</v>
      </c>
      <c r="AQ287" s="43">
        <v>5</v>
      </c>
      <c r="AR287" s="44">
        <f t="shared" si="101"/>
        <v>0.80952380952380942</v>
      </c>
      <c r="AS287" s="45">
        <f t="shared" si="102"/>
        <v>2038.5946666666666</v>
      </c>
      <c r="AU287" s="1">
        <v>535131.1</v>
      </c>
      <c r="AV287" s="50">
        <v>114670.95</v>
      </c>
    </row>
    <row r="288" spans="1:48" s="1" customFormat="1" ht="37.200000000000003" thickTop="1" thickBot="1" x14ac:dyDescent="0.55000000000000004">
      <c r="A288" s="33">
        <v>281</v>
      </c>
      <c r="B288" s="34" t="s">
        <v>335</v>
      </c>
      <c r="C288" s="34" t="s">
        <v>965</v>
      </c>
      <c r="D288" s="35" t="s">
        <v>790</v>
      </c>
      <c r="E288" s="35" t="s">
        <v>966</v>
      </c>
      <c r="F288" s="36" t="s">
        <v>1245</v>
      </c>
      <c r="G288" s="36" t="s">
        <v>1420</v>
      </c>
      <c r="H288" s="36" t="s">
        <v>1421</v>
      </c>
      <c r="I288" s="36" t="s">
        <v>1421</v>
      </c>
      <c r="J288" s="36" t="s">
        <v>1421</v>
      </c>
      <c r="K288" s="36">
        <v>367</v>
      </c>
      <c r="L288" s="36" t="s">
        <v>1422</v>
      </c>
      <c r="M288" s="49">
        <v>4</v>
      </c>
      <c r="N288" s="37" t="s">
        <v>1703</v>
      </c>
      <c r="O288" s="37"/>
      <c r="P288" s="36">
        <v>1</v>
      </c>
      <c r="Q288" s="36" t="s">
        <v>2032</v>
      </c>
      <c r="R288" s="36" t="s">
        <v>2188</v>
      </c>
      <c r="S288" s="36" t="s">
        <v>1880</v>
      </c>
      <c r="T288" s="36" t="s">
        <v>1881</v>
      </c>
      <c r="U288" s="38">
        <v>45636</v>
      </c>
      <c r="V288" s="39">
        <v>769912</v>
      </c>
      <c r="W288" s="39" t="s">
        <v>2363</v>
      </c>
      <c r="X288" s="39" t="s">
        <v>2363</v>
      </c>
      <c r="Y288" s="40">
        <f t="shared" si="85"/>
        <v>38495.599999999999</v>
      </c>
      <c r="Z288" s="40">
        <f t="shared" si="86"/>
        <v>808407.6</v>
      </c>
      <c r="AA288" s="41" t="str">
        <f t="shared" si="87"/>
        <v>0.0022</v>
      </c>
      <c r="AB288" s="41">
        <f t="shared" si="88"/>
        <v>0</v>
      </c>
      <c r="AC288" s="41">
        <f t="shared" si="89"/>
        <v>0</v>
      </c>
      <c r="AD288" s="41">
        <f t="shared" si="90"/>
        <v>0</v>
      </c>
      <c r="AE288" s="41">
        <f t="shared" si="91"/>
        <v>0</v>
      </c>
      <c r="AF288" s="41">
        <f t="shared" si="92"/>
        <v>0</v>
      </c>
      <c r="AG288" s="41">
        <f t="shared" si="93"/>
        <v>0</v>
      </c>
      <c r="AH288" s="41">
        <f t="shared" si="94"/>
        <v>0</v>
      </c>
      <c r="AI288" s="41">
        <f t="shared" si="95"/>
        <v>21</v>
      </c>
      <c r="AJ288" s="41">
        <f t="shared" si="96"/>
        <v>365</v>
      </c>
      <c r="AK288" s="41">
        <f t="shared" si="97"/>
        <v>181</v>
      </c>
      <c r="AL288" s="42">
        <f t="shared" si="98"/>
        <v>4.6405654794520554</v>
      </c>
      <c r="AM288" s="42">
        <f t="shared" si="99"/>
        <v>839.94235178082204</v>
      </c>
      <c r="AN288" s="43">
        <f t="shared" si="84"/>
        <v>846903.20000000007</v>
      </c>
      <c r="AO288" s="43"/>
      <c r="AP288" s="42">
        <f t="shared" si="100"/>
        <v>-38495.600000000093</v>
      </c>
      <c r="AQ288" s="43">
        <v>5</v>
      </c>
      <c r="AR288" s="44">
        <f t="shared" si="101"/>
        <v>1.0476190476190477</v>
      </c>
      <c r="AS288" s="45">
        <f t="shared" si="102"/>
        <v>2097.8528610354224</v>
      </c>
      <c r="AU288" s="1">
        <v>731416.4</v>
      </c>
      <c r="AV288" s="50">
        <v>115486.8</v>
      </c>
    </row>
    <row r="289" spans="1:48" s="1" customFormat="1" ht="37.200000000000003" thickTop="1" thickBot="1" x14ac:dyDescent="0.55000000000000004">
      <c r="A289" s="33">
        <v>282</v>
      </c>
      <c r="B289" s="34" t="s">
        <v>336</v>
      </c>
      <c r="C289" s="34" t="s">
        <v>965</v>
      </c>
      <c r="D289" s="35" t="s">
        <v>791</v>
      </c>
      <c r="E289" s="35" t="s">
        <v>966</v>
      </c>
      <c r="F289" s="36" t="s">
        <v>1246</v>
      </c>
      <c r="G289" s="36" t="s">
        <v>1420</v>
      </c>
      <c r="H289" s="36" t="s">
        <v>1421</v>
      </c>
      <c r="I289" s="36" t="s">
        <v>1421</v>
      </c>
      <c r="J289" s="36" t="s">
        <v>1421</v>
      </c>
      <c r="K289" s="36">
        <v>373.48</v>
      </c>
      <c r="L289" s="36" t="s">
        <v>1422</v>
      </c>
      <c r="M289" s="49">
        <v>4</v>
      </c>
      <c r="N289" s="37" t="s">
        <v>1704</v>
      </c>
      <c r="O289" s="37"/>
      <c r="P289" s="36">
        <v>1</v>
      </c>
      <c r="Q289" s="36" t="s">
        <v>1941</v>
      </c>
      <c r="R289" s="36" t="s">
        <v>2189</v>
      </c>
      <c r="S289" s="36" t="s">
        <v>1880</v>
      </c>
      <c r="T289" s="36" t="s">
        <v>1881</v>
      </c>
      <c r="U289" s="38">
        <v>45636</v>
      </c>
      <c r="V289" s="39">
        <v>853538.85</v>
      </c>
      <c r="W289" s="39" t="s">
        <v>2363</v>
      </c>
      <c r="X289" s="39" t="s">
        <v>2363</v>
      </c>
      <c r="Y289" s="40">
        <f t="shared" si="85"/>
        <v>42676.942499999997</v>
      </c>
      <c r="Z289" s="40">
        <f t="shared" si="86"/>
        <v>896215.79249999998</v>
      </c>
      <c r="AA289" s="41" t="str">
        <f t="shared" si="87"/>
        <v>0.0022</v>
      </c>
      <c r="AB289" s="41">
        <f t="shared" si="88"/>
        <v>0</v>
      </c>
      <c r="AC289" s="41">
        <f t="shared" si="89"/>
        <v>0</v>
      </c>
      <c r="AD289" s="41">
        <f t="shared" si="90"/>
        <v>0</v>
      </c>
      <c r="AE289" s="41">
        <f t="shared" si="91"/>
        <v>0</v>
      </c>
      <c r="AF289" s="41">
        <f t="shared" si="92"/>
        <v>0</v>
      </c>
      <c r="AG289" s="41">
        <f t="shared" si="93"/>
        <v>0</v>
      </c>
      <c r="AH289" s="41">
        <f t="shared" si="94"/>
        <v>0</v>
      </c>
      <c r="AI289" s="41">
        <f t="shared" si="95"/>
        <v>21</v>
      </c>
      <c r="AJ289" s="41">
        <f t="shared" si="96"/>
        <v>365</v>
      </c>
      <c r="AK289" s="41">
        <f t="shared" si="97"/>
        <v>181</v>
      </c>
      <c r="AL289" s="42">
        <f t="shared" si="98"/>
        <v>5.1446177260273975</v>
      </c>
      <c r="AM289" s="42">
        <f t="shared" si="99"/>
        <v>931.17580841095901</v>
      </c>
      <c r="AN289" s="43">
        <f t="shared" si="84"/>
        <v>768184.97</v>
      </c>
      <c r="AO289" s="43"/>
      <c r="AP289" s="42">
        <f t="shared" si="100"/>
        <v>128030.82250000001</v>
      </c>
      <c r="AQ289" s="43">
        <v>5</v>
      </c>
      <c r="AR289" s="44">
        <f t="shared" si="101"/>
        <v>0.85714286272187057</v>
      </c>
      <c r="AS289" s="45">
        <f t="shared" si="102"/>
        <v>2285.3669540537644</v>
      </c>
      <c r="AU289" s="1">
        <v>640154.14</v>
      </c>
      <c r="AV289" s="50">
        <v>128030.83</v>
      </c>
    </row>
    <row r="290" spans="1:48" s="1" customFormat="1" ht="37.200000000000003" thickTop="1" thickBot="1" x14ac:dyDescent="0.55000000000000004">
      <c r="A290" s="33">
        <v>283</v>
      </c>
      <c r="B290" s="34" t="s">
        <v>337</v>
      </c>
      <c r="C290" s="34" t="s">
        <v>965</v>
      </c>
      <c r="D290" s="35" t="s">
        <v>792</v>
      </c>
      <c r="E290" s="35" t="s">
        <v>966</v>
      </c>
      <c r="F290" s="36" t="s">
        <v>1247</v>
      </c>
      <c r="G290" s="36" t="s">
        <v>1420</v>
      </c>
      <c r="H290" s="36" t="s">
        <v>1421</v>
      </c>
      <c r="I290" s="36" t="s">
        <v>1421</v>
      </c>
      <c r="J290" s="36" t="s">
        <v>1421</v>
      </c>
      <c r="K290" s="36">
        <v>350</v>
      </c>
      <c r="L290" s="36" t="s">
        <v>1422</v>
      </c>
      <c r="M290" s="49">
        <v>4</v>
      </c>
      <c r="N290" s="37" t="s">
        <v>1705</v>
      </c>
      <c r="O290" s="37"/>
      <c r="P290" s="36">
        <v>1</v>
      </c>
      <c r="Q290" s="36" t="s">
        <v>1878</v>
      </c>
      <c r="R290" s="36" t="s">
        <v>2190</v>
      </c>
      <c r="S290" s="36" t="s">
        <v>1880</v>
      </c>
      <c r="T290" s="36" t="s">
        <v>1883</v>
      </c>
      <c r="U290" s="38">
        <v>45636</v>
      </c>
      <c r="V290" s="39">
        <v>710269.8</v>
      </c>
      <c r="W290" s="39" t="s">
        <v>2363</v>
      </c>
      <c r="X290" s="39" t="s">
        <v>2363</v>
      </c>
      <c r="Y290" s="40">
        <f t="shared" si="85"/>
        <v>35513.49</v>
      </c>
      <c r="Z290" s="40">
        <f t="shared" si="86"/>
        <v>745783.29</v>
      </c>
      <c r="AA290" s="41" t="str">
        <f t="shared" si="87"/>
        <v>0.0022</v>
      </c>
      <c r="AB290" s="41">
        <f t="shared" si="88"/>
        <v>0</v>
      </c>
      <c r="AC290" s="41">
        <f t="shared" si="89"/>
        <v>0</v>
      </c>
      <c r="AD290" s="41">
        <f t="shared" si="90"/>
        <v>0</v>
      </c>
      <c r="AE290" s="41">
        <f t="shared" si="91"/>
        <v>0</v>
      </c>
      <c r="AF290" s="41">
        <f t="shared" si="92"/>
        <v>0</v>
      </c>
      <c r="AG290" s="41">
        <f t="shared" si="93"/>
        <v>0</v>
      </c>
      <c r="AH290" s="41">
        <f t="shared" si="94"/>
        <v>0</v>
      </c>
      <c r="AI290" s="41">
        <f t="shared" si="95"/>
        <v>21</v>
      </c>
      <c r="AJ290" s="41">
        <f t="shared" si="96"/>
        <v>365</v>
      </c>
      <c r="AK290" s="41">
        <f t="shared" si="97"/>
        <v>181</v>
      </c>
      <c r="AL290" s="42">
        <f t="shared" si="98"/>
        <v>4.2810782465753432</v>
      </c>
      <c r="AM290" s="42">
        <f t="shared" si="99"/>
        <v>774.87516263013708</v>
      </c>
      <c r="AN290" s="43">
        <f t="shared" si="84"/>
        <v>603729.39999999991</v>
      </c>
      <c r="AO290" s="43"/>
      <c r="AP290" s="42">
        <f t="shared" si="100"/>
        <v>142053.89000000013</v>
      </c>
      <c r="AQ290" s="43">
        <v>5</v>
      </c>
      <c r="AR290" s="44">
        <f t="shared" si="101"/>
        <v>0.8095239033848558</v>
      </c>
      <c r="AS290" s="45">
        <f t="shared" si="102"/>
        <v>2029.3422857142859</v>
      </c>
      <c r="AU290" s="1">
        <v>603729.39999999991</v>
      </c>
      <c r="AV290" s="50">
        <v>0</v>
      </c>
    </row>
    <row r="291" spans="1:48" s="1" customFormat="1" ht="37.200000000000003" thickTop="1" thickBot="1" x14ac:dyDescent="0.55000000000000004">
      <c r="A291" s="33">
        <v>284</v>
      </c>
      <c r="B291" s="34" t="s">
        <v>338</v>
      </c>
      <c r="C291" s="34" t="s">
        <v>965</v>
      </c>
      <c r="D291" s="35" t="s">
        <v>793</v>
      </c>
      <c r="E291" s="35" t="s">
        <v>966</v>
      </c>
      <c r="F291" s="36" t="s">
        <v>1248</v>
      </c>
      <c r="G291" s="36" t="s">
        <v>1420</v>
      </c>
      <c r="H291" s="36" t="s">
        <v>1421</v>
      </c>
      <c r="I291" s="36" t="s">
        <v>1421</v>
      </c>
      <c r="J291" s="36" t="s">
        <v>1421</v>
      </c>
      <c r="K291" s="36">
        <v>375</v>
      </c>
      <c r="L291" s="36" t="s">
        <v>1422</v>
      </c>
      <c r="M291" s="49">
        <v>4</v>
      </c>
      <c r="N291" s="37" t="s">
        <v>1706</v>
      </c>
      <c r="O291" s="37"/>
      <c r="P291" s="36">
        <v>1</v>
      </c>
      <c r="Q291" s="36" t="s">
        <v>1935</v>
      </c>
      <c r="R291" s="36" t="s">
        <v>2191</v>
      </c>
      <c r="S291" s="36" t="s">
        <v>1880</v>
      </c>
      <c r="T291" s="36" t="s">
        <v>1901</v>
      </c>
      <c r="U291" s="38">
        <v>45637</v>
      </c>
      <c r="V291" s="39">
        <v>589339</v>
      </c>
      <c r="W291" s="39" t="s">
        <v>2363</v>
      </c>
      <c r="X291" s="39" t="s">
        <v>2363</v>
      </c>
      <c r="Y291" s="40">
        <f t="shared" si="85"/>
        <v>29466.95</v>
      </c>
      <c r="Z291" s="40">
        <f t="shared" si="86"/>
        <v>618805.94999999995</v>
      </c>
      <c r="AA291" s="41" t="str">
        <f t="shared" si="87"/>
        <v>0.0018</v>
      </c>
      <c r="AB291" s="41">
        <f t="shared" si="88"/>
        <v>0</v>
      </c>
      <c r="AC291" s="41">
        <f t="shared" si="89"/>
        <v>0</v>
      </c>
      <c r="AD291" s="41">
        <f t="shared" si="90"/>
        <v>0</v>
      </c>
      <c r="AE291" s="41">
        <f t="shared" si="91"/>
        <v>0</v>
      </c>
      <c r="AF291" s="41">
        <f t="shared" si="92"/>
        <v>0</v>
      </c>
      <c r="AG291" s="41">
        <f t="shared" si="93"/>
        <v>0</v>
      </c>
      <c r="AH291" s="41">
        <f t="shared" si="94"/>
        <v>0</v>
      </c>
      <c r="AI291" s="41">
        <f t="shared" si="95"/>
        <v>20</v>
      </c>
      <c r="AJ291" s="41">
        <f t="shared" si="96"/>
        <v>365</v>
      </c>
      <c r="AK291" s="41">
        <f t="shared" si="97"/>
        <v>181</v>
      </c>
      <c r="AL291" s="42">
        <f t="shared" si="98"/>
        <v>2.906329315068493</v>
      </c>
      <c r="AM291" s="42">
        <f t="shared" si="99"/>
        <v>526.04560602739718</v>
      </c>
      <c r="AN291" s="43">
        <f t="shared" si="84"/>
        <v>530405.10000000009</v>
      </c>
      <c r="AO291" s="43"/>
      <c r="AP291" s="42">
        <f t="shared" si="100"/>
        <v>88400.84999999986</v>
      </c>
      <c r="AQ291" s="43">
        <v>5</v>
      </c>
      <c r="AR291" s="44">
        <f t="shared" si="101"/>
        <v>0.85714285714285732</v>
      </c>
      <c r="AS291" s="45">
        <f t="shared" si="102"/>
        <v>1571.5706666666667</v>
      </c>
      <c r="AU291" s="1">
        <v>353603.4</v>
      </c>
      <c r="AV291" s="50">
        <v>176801.7</v>
      </c>
    </row>
    <row r="292" spans="1:48" s="1" customFormat="1" ht="37.200000000000003" thickTop="1" thickBot="1" x14ac:dyDescent="0.55000000000000004">
      <c r="A292" s="33">
        <v>285</v>
      </c>
      <c r="B292" s="34" t="s">
        <v>339</v>
      </c>
      <c r="C292" s="34" t="s">
        <v>965</v>
      </c>
      <c r="D292" s="35" t="s">
        <v>794</v>
      </c>
      <c r="E292" s="35" t="s">
        <v>966</v>
      </c>
      <c r="F292" s="36" t="s">
        <v>1249</v>
      </c>
      <c r="G292" s="36" t="s">
        <v>1420</v>
      </c>
      <c r="H292" s="36" t="s">
        <v>1421</v>
      </c>
      <c r="I292" s="36" t="s">
        <v>1421</v>
      </c>
      <c r="J292" s="36" t="s">
        <v>1421</v>
      </c>
      <c r="K292" s="36">
        <v>350</v>
      </c>
      <c r="L292" s="36" t="s">
        <v>1422</v>
      </c>
      <c r="M292" s="49">
        <v>4</v>
      </c>
      <c r="N292" s="37" t="s">
        <v>1707</v>
      </c>
      <c r="O292" s="37"/>
      <c r="P292" s="36">
        <v>1</v>
      </c>
      <c r="Q292" s="36" t="s">
        <v>1937</v>
      </c>
      <c r="R292" s="36" t="s">
        <v>2192</v>
      </c>
      <c r="S292" s="36" t="s">
        <v>1880</v>
      </c>
      <c r="T292" s="36" t="s">
        <v>1881</v>
      </c>
      <c r="U292" s="38">
        <v>45638</v>
      </c>
      <c r="V292" s="39">
        <v>585400</v>
      </c>
      <c r="W292" s="39" t="s">
        <v>2363</v>
      </c>
      <c r="X292" s="39" t="s">
        <v>2363</v>
      </c>
      <c r="Y292" s="40">
        <f t="shared" si="85"/>
        <v>29270</v>
      </c>
      <c r="Z292" s="40">
        <f t="shared" si="86"/>
        <v>614670</v>
      </c>
      <c r="AA292" s="41" t="str">
        <f t="shared" si="87"/>
        <v>0.0018</v>
      </c>
      <c r="AB292" s="41">
        <f t="shared" si="88"/>
        <v>0</v>
      </c>
      <c r="AC292" s="41">
        <f t="shared" si="89"/>
        <v>0</v>
      </c>
      <c r="AD292" s="41">
        <f t="shared" si="90"/>
        <v>0</v>
      </c>
      <c r="AE292" s="41">
        <f t="shared" si="91"/>
        <v>0</v>
      </c>
      <c r="AF292" s="41">
        <f t="shared" si="92"/>
        <v>0</v>
      </c>
      <c r="AG292" s="41">
        <f t="shared" si="93"/>
        <v>0</v>
      </c>
      <c r="AH292" s="41">
        <f t="shared" si="94"/>
        <v>0</v>
      </c>
      <c r="AI292" s="41">
        <f t="shared" si="95"/>
        <v>19</v>
      </c>
      <c r="AJ292" s="41">
        <f t="shared" si="96"/>
        <v>365</v>
      </c>
      <c r="AK292" s="41">
        <f t="shared" si="97"/>
        <v>181</v>
      </c>
      <c r="AL292" s="42">
        <f t="shared" si="98"/>
        <v>2.8869041095890413</v>
      </c>
      <c r="AM292" s="42">
        <f t="shared" si="99"/>
        <v>522.52964383561653</v>
      </c>
      <c r="AN292" s="43">
        <f t="shared" si="84"/>
        <v>526860</v>
      </c>
      <c r="AO292" s="43"/>
      <c r="AP292" s="42">
        <f t="shared" si="100"/>
        <v>87810</v>
      </c>
      <c r="AQ292" s="43">
        <v>5</v>
      </c>
      <c r="AR292" s="44">
        <f t="shared" si="101"/>
        <v>0.8571428571428571</v>
      </c>
      <c r="AS292" s="45">
        <f t="shared" si="102"/>
        <v>1672.5714285714287</v>
      </c>
      <c r="AU292" s="1">
        <v>351240</v>
      </c>
      <c r="AV292" s="50">
        <v>175620</v>
      </c>
    </row>
    <row r="293" spans="1:48" s="1" customFormat="1" ht="37.200000000000003" thickTop="1" thickBot="1" x14ac:dyDescent="0.55000000000000004">
      <c r="A293" s="33">
        <v>286</v>
      </c>
      <c r="B293" s="34" t="s">
        <v>340</v>
      </c>
      <c r="C293" s="34" t="s">
        <v>965</v>
      </c>
      <c r="D293" s="35" t="s">
        <v>795</v>
      </c>
      <c r="E293" s="35" t="s">
        <v>966</v>
      </c>
      <c r="F293" s="36" t="s">
        <v>1250</v>
      </c>
      <c r="G293" s="36" t="s">
        <v>1420</v>
      </c>
      <c r="H293" s="36" t="s">
        <v>1421</v>
      </c>
      <c r="I293" s="36" t="s">
        <v>1421</v>
      </c>
      <c r="J293" s="36" t="s">
        <v>1421</v>
      </c>
      <c r="K293" s="36">
        <v>350</v>
      </c>
      <c r="L293" s="36" t="s">
        <v>1422</v>
      </c>
      <c r="M293" s="49">
        <v>4</v>
      </c>
      <c r="N293" s="37" t="s">
        <v>1708</v>
      </c>
      <c r="O293" s="37"/>
      <c r="P293" s="36">
        <v>1</v>
      </c>
      <c r="Q293" s="36" t="s">
        <v>1995</v>
      </c>
      <c r="R293" s="36" t="s">
        <v>2193</v>
      </c>
      <c r="S293" s="36" t="s">
        <v>1880</v>
      </c>
      <c r="T293" s="36" t="s">
        <v>1883</v>
      </c>
      <c r="U293" s="38">
        <v>45638</v>
      </c>
      <c r="V293" s="39">
        <v>775518</v>
      </c>
      <c r="W293" s="39" t="s">
        <v>2363</v>
      </c>
      <c r="X293" s="39" t="s">
        <v>2363</v>
      </c>
      <c r="Y293" s="40">
        <f t="shared" si="85"/>
        <v>38775.9</v>
      </c>
      <c r="Z293" s="40">
        <f t="shared" si="86"/>
        <v>814293.9</v>
      </c>
      <c r="AA293" s="41" t="str">
        <f t="shared" si="87"/>
        <v>0.0022</v>
      </c>
      <c r="AB293" s="41">
        <f t="shared" si="88"/>
        <v>0</v>
      </c>
      <c r="AC293" s="41">
        <f t="shared" si="89"/>
        <v>0</v>
      </c>
      <c r="AD293" s="41">
        <f t="shared" si="90"/>
        <v>0</v>
      </c>
      <c r="AE293" s="41">
        <f t="shared" si="91"/>
        <v>0</v>
      </c>
      <c r="AF293" s="41">
        <f t="shared" si="92"/>
        <v>0</v>
      </c>
      <c r="AG293" s="41">
        <f t="shared" si="93"/>
        <v>0</v>
      </c>
      <c r="AH293" s="41">
        <f t="shared" si="94"/>
        <v>0</v>
      </c>
      <c r="AI293" s="41">
        <f t="shared" si="95"/>
        <v>19</v>
      </c>
      <c r="AJ293" s="41">
        <f t="shared" si="96"/>
        <v>365</v>
      </c>
      <c r="AK293" s="41">
        <f t="shared" si="97"/>
        <v>181</v>
      </c>
      <c r="AL293" s="42">
        <f t="shared" si="98"/>
        <v>4.674355068493151</v>
      </c>
      <c r="AM293" s="42">
        <f t="shared" si="99"/>
        <v>846.05826739726035</v>
      </c>
      <c r="AN293" s="43">
        <f t="shared" si="84"/>
        <v>659190.30000000005</v>
      </c>
      <c r="AO293" s="43"/>
      <c r="AP293" s="42">
        <f t="shared" si="100"/>
        <v>155103.59999999998</v>
      </c>
      <c r="AQ293" s="43">
        <v>5</v>
      </c>
      <c r="AR293" s="44">
        <f t="shared" si="101"/>
        <v>0.80952380952380953</v>
      </c>
      <c r="AS293" s="45">
        <f t="shared" si="102"/>
        <v>2215.7657142857142</v>
      </c>
      <c r="AU293" s="1">
        <v>659190.30000000005</v>
      </c>
      <c r="AV293" s="50">
        <v>0</v>
      </c>
    </row>
    <row r="294" spans="1:48" s="1" customFormat="1" ht="37.200000000000003" thickTop="1" thickBot="1" x14ac:dyDescent="0.55000000000000004">
      <c r="A294" s="33">
        <v>287</v>
      </c>
      <c r="B294" s="34" t="s">
        <v>341</v>
      </c>
      <c r="C294" s="34" t="s">
        <v>965</v>
      </c>
      <c r="D294" s="35" t="s">
        <v>796</v>
      </c>
      <c r="E294" s="35" t="s">
        <v>966</v>
      </c>
      <c r="F294" s="36" t="s">
        <v>1251</v>
      </c>
      <c r="G294" s="36" t="s">
        <v>1420</v>
      </c>
      <c r="H294" s="36" t="s">
        <v>1421</v>
      </c>
      <c r="I294" s="36" t="s">
        <v>1421</v>
      </c>
      <c r="J294" s="36" t="s">
        <v>1421</v>
      </c>
      <c r="K294" s="36">
        <v>375</v>
      </c>
      <c r="L294" s="36" t="s">
        <v>1422</v>
      </c>
      <c r="M294" s="49">
        <v>4</v>
      </c>
      <c r="N294" s="37" t="s">
        <v>1709</v>
      </c>
      <c r="O294" s="37"/>
      <c r="P294" s="36">
        <v>1</v>
      </c>
      <c r="Q294" s="36" t="s">
        <v>1931</v>
      </c>
      <c r="R294" s="36" t="s">
        <v>2194</v>
      </c>
      <c r="S294" s="36" t="s">
        <v>1880</v>
      </c>
      <c r="T294" s="36" t="s">
        <v>1881</v>
      </c>
      <c r="U294" s="38">
        <v>45639</v>
      </c>
      <c r="V294" s="39">
        <v>612877</v>
      </c>
      <c r="W294" s="39" t="s">
        <v>2363</v>
      </c>
      <c r="X294" s="39" t="s">
        <v>2363</v>
      </c>
      <c r="Y294" s="40">
        <f t="shared" si="85"/>
        <v>30643.85</v>
      </c>
      <c r="Z294" s="40">
        <f t="shared" si="86"/>
        <v>643520.85</v>
      </c>
      <c r="AA294" s="41" t="str">
        <f t="shared" si="87"/>
        <v>0.0018</v>
      </c>
      <c r="AB294" s="41">
        <f t="shared" si="88"/>
        <v>0</v>
      </c>
      <c r="AC294" s="41">
        <f t="shared" si="89"/>
        <v>0</v>
      </c>
      <c r="AD294" s="41">
        <f t="shared" si="90"/>
        <v>0</v>
      </c>
      <c r="AE294" s="41">
        <f t="shared" si="91"/>
        <v>0</v>
      </c>
      <c r="AF294" s="41">
        <f t="shared" si="92"/>
        <v>0</v>
      </c>
      <c r="AG294" s="41">
        <f t="shared" si="93"/>
        <v>0</v>
      </c>
      <c r="AH294" s="41">
        <f t="shared" si="94"/>
        <v>0</v>
      </c>
      <c r="AI294" s="41">
        <f t="shared" si="95"/>
        <v>18</v>
      </c>
      <c r="AJ294" s="41">
        <f t="shared" si="96"/>
        <v>365</v>
      </c>
      <c r="AK294" s="41">
        <f t="shared" si="97"/>
        <v>181</v>
      </c>
      <c r="AL294" s="42">
        <f t="shared" si="98"/>
        <v>3.022407123287671</v>
      </c>
      <c r="AM294" s="42">
        <f t="shared" si="99"/>
        <v>547.05568931506843</v>
      </c>
      <c r="AN294" s="43">
        <f t="shared" si="84"/>
        <v>551589.30000000005</v>
      </c>
      <c r="AO294" s="43"/>
      <c r="AP294" s="42">
        <f t="shared" si="100"/>
        <v>91931.54999999993</v>
      </c>
      <c r="AQ294" s="43">
        <v>5</v>
      </c>
      <c r="AR294" s="44">
        <f t="shared" si="101"/>
        <v>0.85714285714285721</v>
      </c>
      <c r="AS294" s="45">
        <f t="shared" si="102"/>
        <v>1634.3386666666668</v>
      </c>
      <c r="AU294" s="1">
        <v>459657.75</v>
      </c>
      <c r="AV294" s="50">
        <v>91931.55</v>
      </c>
    </row>
    <row r="295" spans="1:48" s="1" customFormat="1" ht="37.200000000000003" thickTop="1" thickBot="1" x14ac:dyDescent="0.55000000000000004">
      <c r="A295" s="33">
        <v>288</v>
      </c>
      <c r="B295" s="34" t="s">
        <v>342</v>
      </c>
      <c r="C295" s="34" t="s">
        <v>965</v>
      </c>
      <c r="D295" s="35" t="s">
        <v>797</v>
      </c>
      <c r="E295" s="35" t="s">
        <v>966</v>
      </c>
      <c r="F295" s="36" t="s">
        <v>1252</v>
      </c>
      <c r="G295" s="36" t="s">
        <v>1420</v>
      </c>
      <c r="H295" s="36" t="s">
        <v>1421</v>
      </c>
      <c r="I295" s="36" t="s">
        <v>1421</v>
      </c>
      <c r="J295" s="36" t="s">
        <v>1421</v>
      </c>
      <c r="K295" s="36">
        <v>375</v>
      </c>
      <c r="L295" s="36" t="s">
        <v>1422</v>
      </c>
      <c r="M295" s="49">
        <v>4</v>
      </c>
      <c r="N295" s="37" t="s">
        <v>1710</v>
      </c>
      <c r="O295" s="37"/>
      <c r="P295" s="36">
        <v>1</v>
      </c>
      <c r="Q295" s="36" t="s">
        <v>1935</v>
      </c>
      <c r="R295" s="36" t="s">
        <v>2195</v>
      </c>
      <c r="S295" s="36" t="s">
        <v>1880</v>
      </c>
      <c r="T295" s="36" t="s">
        <v>1883</v>
      </c>
      <c r="U295" s="38">
        <v>45639</v>
      </c>
      <c r="V295" s="39">
        <v>770250</v>
      </c>
      <c r="W295" s="39" t="s">
        <v>2363</v>
      </c>
      <c r="X295" s="39" t="s">
        <v>2363</v>
      </c>
      <c r="Y295" s="40">
        <f t="shared" si="85"/>
        <v>38512.5</v>
      </c>
      <c r="Z295" s="40">
        <f t="shared" si="86"/>
        <v>808762.5</v>
      </c>
      <c r="AA295" s="41" t="str">
        <f t="shared" si="87"/>
        <v>0.0022</v>
      </c>
      <c r="AB295" s="41">
        <f t="shared" si="88"/>
        <v>0</v>
      </c>
      <c r="AC295" s="41">
        <f t="shared" si="89"/>
        <v>0</v>
      </c>
      <c r="AD295" s="41">
        <f t="shared" si="90"/>
        <v>0</v>
      </c>
      <c r="AE295" s="41">
        <f t="shared" si="91"/>
        <v>0</v>
      </c>
      <c r="AF295" s="41">
        <f t="shared" si="92"/>
        <v>0</v>
      </c>
      <c r="AG295" s="41">
        <f t="shared" si="93"/>
        <v>0</v>
      </c>
      <c r="AH295" s="41">
        <f t="shared" si="94"/>
        <v>0</v>
      </c>
      <c r="AI295" s="41">
        <f t="shared" si="95"/>
        <v>18</v>
      </c>
      <c r="AJ295" s="41">
        <f t="shared" si="96"/>
        <v>365</v>
      </c>
      <c r="AK295" s="41">
        <f t="shared" si="97"/>
        <v>181</v>
      </c>
      <c r="AL295" s="42">
        <f t="shared" si="98"/>
        <v>4.6426027397260281</v>
      </c>
      <c r="AM295" s="42">
        <f t="shared" si="99"/>
        <v>840.31109589041114</v>
      </c>
      <c r="AN295" s="43">
        <f t="shared" si="84"/>
        <v>539175</v>
      </c>
      <c r="AO295" s="43"/>
      <c r="AP295" s="42">
        <f t="shared" si="100"/>
        <v>269587.5</v>
      </c>
      <c r="AQ295" s="43">
        <v>4</v>
      </c>
      <c r="AR295" s="44">
        <f t="shared" si="101"/>
        <v>0.66666666666666663</v>
      </c>
      <c r="AS295" s="45">
        <f t="shared" si="102"/>
        <v>2054</v>
      </c>
      <c r="AU295" s="1">
        <v>539175</v>
      </c>
      <c r="AV295" s="50">
        <v>0</v>
      </c>
    </row>
    <row r="296" spans="1:48" s="1" customFormat="1" ht="37.200000000000003" thickTop="1" thickBot="1" x14ac:dyDescent="0.55000000000000004">
      <c r="A296" s="33">
        <v>289</v>
      </c>
      <c r="B296" s="34" t="s">
        <v>343</v>
      </c>
      <c r="C296" s="34" t="s">
        <v>965</v>
      </c>
      <c r="D296" s="35" t="s">
        <v>798</v>
      </c>
      <c r="E296" s="35" t="s">
        <v>966</v>
      </c>
      <c r="F296" s="36" t="s">
        <v>1253</v>
      </c>
      <c r="G296" s="36" t="s">
        <v>1420</v>
      </c>
      <c r="H296" s="36" t="s">
        <v>1421</v>
      </c>
      <c r="I296" s="36" t="s">
        <v>1421</v>
      </c>
      <c r="J296" s="36" t="s">
        <v>1421</v>
      </c>
      <c r="K296" s="36">
        <v>368.75</v>
      </c>
      <c r="L296" s="36" t="s">
        <v>1422</v>
      </c>
      <c r="M296" s="49">
        <v>4</v>
      </c>
      <c r="N296" s="37" t="s">
        <v>1711</v>
      </c>
      <c r="O296" s="37"/>
      <c r="P296" s="36">
        <v>1</v>
      </c>
      <c r="Q296" s="36" t="s">
        <v>1943</v>
      </c>
      <c r="R296" s="36" t="s">
        <v>2196</v>
      </c>
      <c r="S296" s="36" t="s">
        <v>1880</v>
      </c>
      <c r="T296" s="36" t="s">
        <v>1881</v>
      </c>
      <c r="U296" s="38">
        <v>45642</v>
      </c>
      <c r="V296" s="39">
        <v>666645</v>
      </c>
      <c r="W296" s="39" t="s">
        <v>2363</v>
      </c>
      <c r="X296" s="39" t="s">
        <v>2363</v>
      </c>
      <c r="Y296" s="40">
        <f t="shared" si="85"/>
        <v>33332.25</v>
      </c>
      <c r="Z296" s="40">
        <f t="shared" si="86"/>
        <v>699977.25</v>
      </c>
      <c r="AA296" s="41" t="str">
        <f t="shared" si="87"/>
        <v>0.0018</v>
      </c>
      <c r="AB296" s="41">
        <f t="shared" si="88"/>
        <v>0</v>
      </c>
      <c r="AC296" s="41">
        <f t="shared" si="89"/>
        <v>0</v>
      </c>
      <c r="AD296" s="41">
        <f t="shared" si="90"/>
        <v>0</v>
      </c>
      <c r="AE296" s="41">
        <f t="shared" si="91"/>
        <v>0</v>
      </c>
      <c r="AF296" s="41">
        <f t="shared" si="92"/>
        <v>0</v>
      </c>
      <c r="AG296" s="41">
        <f t="shared" si="93"/>
        <v>0</v>
      </c>
      <c r="AH296" s="41">
        <f t="shared" si="94"/>
        <v>0</v>
      </c>
      <c r="AI296" s="41">
        <f t="shared" si="95"/>
        <v>15</v>
      </c>
      <c r="AJ296" s="41">
        <f t="shared" si="96"/>
        <v>365</v>
      </c>
      <c r="AK296" s="41">
        <f t="shared" si="97"/>
        <v>181</v>
      </c>
      <c r="AL296" s="42">
        <f t="shared" si="98"/>
        <v>3.2875643835616439</v>
      </c>
      <c r="AM296" s="42">
        <f t="shared" si="99"/>
        <v>595.04915342465756</v>
      </c>
      <c r="AN296" s="43">
        <f t="shared" si="84"/>
        <v>599980.5</v>
      </c>
      <c r="AO296" s="43"/>
      <c r="AP296" s="42">
        <f t="shared" si="100"/>
        <v>99996.75</v>
      </c>
      <c r="AQ296" s="43">
        <v>5</v>
      </c>
      <c r="AR296" s="44">
        <f t="shared" si="101"/>
        <v>0.8571428571428571</v>
      </c>
      <c r="AS296" s="45">
        <f t="shared" si="102"/>
        <v>1807.8508474576272</v>
      </c>
      <c r="AU296" s="1">
        <v>599980.5</v>
      </c>
      <c r="AV296" s="50">
        <v>0</v>
      </c>
    </row>
    <row r="297" spans="1:48" s="1" customFormat="1" ht="37.200000000000003" thickTop="1" thickBot="1" x14ac:dyDescent="0.55000000000000004">
      <c r="A297" s="33">
        <v>290</v>
      </c>
      <c r="B297" s="34" t="s">
        <v>344</v>
      </c>
      <c r="C297" s="34" t="s">
        <v>965</v>
      </c>
      <c r="D297" s="35" t="s">
        <v>799</v>
      </c>
      <c r="E297" s="35" t="s">
        <v>966</v>
      </c>
      <c r="F297" s="36" t="s">
        <v>1254</v>
      </c>
      <c r="G297" s="36" t="s">
        <v>1420</v>
      </c>
      <c r="H297" s="36" t="s">
        <v>1421</v>
      </c>
      <c r="I297" s="36" t="s">
        <v>1421</v>
      </c>
      <c r="J297" s="36" t="s">
        <v>1421</v>
      </c>
      <c r="K297" s="36">
        <v>375</v>
      </c>
      <c r="L297" s="36" t="s">
        <v>1422</v>
      </c>
      <c r="M297" s="49">
        <v>4</v>
      </c>
      <c r="N297" s="37" t="s">
        <v>1712</v>
      </c>
      <c r="O297" s="37"/>
      <c r="P297" s="36">
        <v>1</v>
      </c>
      <c r="Q297" s="36" t="s">
        <v>1931</v>
      </c>
      <c r="R297" s="36" t="s">
        <v>2197</v>
      </c>
      <c r="S297" s="36" t="s">
        <v>1880</v>
      </c>
      <c r="T297" s="36" t="s">
        <v>1881</v>
      </c>
      <c r="U297" s="38">
        <v>45642</v>
      </c>
      <c r="V297" s="39">
        <v>612876.64</v>
      </c>
      <c r="W297" s="39" t="s">
        <v>2363</v>
      </c>
      <c r="X297" s="39" t="s">
        <v>2363</v>
      </c>
      <c r="Y297" s="40">
        <f t="shared" si="85"/>
        <v>30643.832000000002</v>
      </c>
      <c r="Z297" s="40">
        <f t="shared" si="86"/>
        <v>643520.47200000007</v>
      </c>
      <c r="AA297" s="41" t="str">
        <f t="shared" si="87"/>
        <v>0.0018</v>
      </c>
      <c r="AB297" s="41">
        <f t="shared" si="88"/>
        <v>0</v>
      </c>
      <c r="AC297" s="41">
        <f t="shared" si="89"/>
        <v>0</v>
      </c>
      <c r="AD297" s="41">
        <f t="shared" si="90"/>
        <v>0</v>
      </c>
      <c r="AE297" s="41">
        <f t="shared" si="91"/>
        <v>0</v>
      </c>
      <c r="AF297" s="41">
        <f t="shared" si="92"/>
        <v>0</v>
      </c>
      <c r="AG297" s="41">
        <f t="shared" si="93"/>
        <v>0</v>
      </c>
      <c r="AH297" s="41">
        <f t="shared" si="94"/>
        <v>0</v>
      </c>
      <c r="AI297" s="41">
        <f t="shared" si="95"/>
        <v>15</v>
      </c>
      <c r="AJ297" s="41">
        <f t="shared" si="96"/>
        <v>365</v>
      </c>
      <c r="AK297" s="41">
        <f t="shared" si="97"/>
        <v>181</v>
      </c>
      <c r="AL297" s="42">
        <f t="shared" si="98"/>
        <v>3.0224053479452055</v>
      </c>
      <c r="AM297" s="42">
        <f t="shared" si="99"/>
        <v>547.05536797808224</v>
      </c>
      <c r="AN297" s="43">
        <f t="shared" si="84"/>
        <v>551588.99</v>
      </c>
      <c r="AO297" s="43"/>
      <c r="AP297" s="42">
        <f t="shared" si="100"/>
        <v>91931.482000000076</v>
      </c>
      <c r="AQ297" s="43">
        <v>5</v>
      </c>
      <c r="AR297" s="44">
        <f t="shared" si="101"/>
        <v>0.85714287889818663</v>
      </c>
      <c r="AS297" s="45">
        <f t="shared" si="102"/>
        <v>1634.3377066666667</v>
      </c>
      <c r="AU297" s="1">
        <v>367725.99</v>
      </c>
      <c r="AV297" s="50">
        <v>183863</v>
      </c>
    </row>
    <row r="298" spans="1:48" s="1" customFormat="1" ht="37.200000000000003" thickTop="1" thickBot="1" x14ac:dyDescent="0.55000000000000004">
      <c r="A298" s="33">
        <v>291</v>
      </c>
      <c r="B298" s="34" t="s">
        <v>345</v>
      </c>
      <c r="C298" s="34" t="s">
        <v>965</v>
      </c>
      <c r="D298" s="35" t="s">
        <v>800</v>
      </c>
      <c r="E298" s="35" t="s">
        <v>966</v>
      </c>
      <c r="F298" s="36" t="s">
        <v>1255</v>
      </c>
      <c r="G298" s="36" t="s">
        <v>1420</v>
      </c>
      <c r="H298" s="36" t="s">
        <v>1421</v>
      </c>
      <c r="I298" s="36" t="s">
        <v>1421</v>
      </c>
      <c r="J298" s="36" t="s">
        <v>1421</v>
      </c>
      <c r="K298" s="36">
        <v>350</v>
      </c>
      <c r="L298" s="36" t="s">
        <v>1422</v>
      </c>
      <c r="M298" s="49">
        <v>4</v>
      </c>
      <c r="N298" s="37" t="s">
        <v>1713</v>
      </c>
      <c r="O298" s="37"/>
      <c r="P298" s="36">
        <v>1</v>
      </c>
      <c r="Q298" s="36" t="s">
        <v>1933</v>
      </c>
      <c r="R298" s="36" t="s">
        <v>2198</v>
      </c>
      <c r="S298" s="36" t="s">
        <v>1880</v>
      </c>
      <c r="T298" s="36" t="s">
        <v>1881</v>
      </c>
      <c r="U298" s="38">
        <v>45642</v>
      </c>
      <c r="V298" s="39">
        <v>740000</v>
      </c>
      <c r="W298" s="39" t="s">
        <v>2363</v>
      </c>
      <c r="X298" s="39" t="s">
        <v>2363</v>
      </c>
      <c r="Y298" s="40">
        <f t="shared" si="85"/>
        <v>37000</v>
      </c>
      <c r="Z298" s="40">
        <f t="shared" si="86"/>
        <v>777000</v>
      </c>
      <c r="AA298" s="41" t="str">
        <f t="shared" si="87"/>
        <v>0.0022</v>
      </c>
      <c r="AB298" s="41">
        <f t="shared" si="88"/>
        <v>0</v>
      </c>
      <c r="AC298" s="41">
        <f t="shared" si="89"/>
        <v>0</v>
      </c>
      <c r="AD298" s="41">
        <f t="shared" si="90"/>
        <v>0</v>
      </c>
      <c r="AE298" s="41">
        <f t="shared" si="91"/>
        <v>0</v>
      </c>
      <c r="AF298" s="41">
        <f t="shared" si="92"/>
        <v>0</v>
      </c>
      <c r="AG298" s="41">
        <f t="shared" si="93"/>
        <v>0</v>
      </c>
      <c r="AH298" s="41">
        <f t="shared" si="94"/>
        <v>0</v>
      </c>
      <c r="AI298" s="41">
        <f t="shared" si="95"/>
        <v>15</v>
      </c>
      <c r="AJ298" s="41">
        <f t="shared" si="96"/>
        <v>365</v>
      </c>
      <c r="AK298" s="41">
        <f t="shared" si="97"/>
        <v>181</v>
      </c>
      <c r="AL298" s="42">
        <f t="shared" si="98"/>
        <v>4.4602739726027396</v>
      </c>
      <c r="AM298" s="42">
        <f t="shared" si="99"/>
        <v>807.30958904109582</v>
      </c>
      <c r="AN298" s="43">
        <f t="shared" si="84"/>
        <v>666000</v>
      </c>
      <c r="AO298" s="43"/>
      <c r="AP298" s="42">
        <f t="shared" si="100"/>
        <v>111000</v>
      </c>
      <c r="AQ298" s="43">
        <v>5</v>
      </c>
      <c r="AR298" s="44">
        <f t="shared" si="101"/>
        <v>0.8571428571428571</v>
      </c>
      <c r="AS298" s="45">
        <f t="shared" si="102"/>
        <v>2114.2857142857142</v>
      </c>
      <c r="AU298" s="1">
        <v>555000</v>
      </c>
      <c r="AV298" s="50">
        <v>111000</v>
      </c>
    </row>
    <row r="299" spans="1:48" s="1" customFormat="1" ht="37.200000000000003" thickTop="1" thickBot="1" x14ac:dyDescent="0.55000000000000004">
      <c r="A299" s="33">
        <v>292</v>
      </c>
      <c r="B299" s="34" t="s">
        <v>346</v>
      </c>
      <c r="C299" s="34" t="s">
        <v>965</v>
      </c>
      <c r="D299" s="35" t="s">
        <v>801</v>
      </c>
      <c r="E299" s="35" t="s">
        <v>966</v>
      </c>
      <c r="F299" s="36" t="s">
        <v>1256</v>
      </c>
      <c r="G299" s="36" t="s">
        <v>1420</v>
      </c>
      <c r="H299" s="36" t="s">
        <v>1421</v>
      </c>
      <c r="I299" s="36" t="s">
        <v>1421</v>
      </c>
      <c r="J299" s="36" t="s">
        <v>1421</v>
      </c>
      <c r="K299" s="36">
        <v>375</v>
      </c>
      <c r="L299" s="36" t="s">
        <v>1422</v>
      </c>
      <c r="M299" s="49">
        <v>4</v>
      </c>
      <c r="N299" s="37" t="s">
        <v>1714</v>
      </c>
      <c r="O299" s="37"/>
      <c r="P299" s="36">
        <v>1</v>
      </c>
      <c r="Q299" s="36" t="s">
        <v>1933</v>
      </c>
      <c r="R299" s="36" t="s">
        <v>2199</v>
      </c>
      <c r="S299" s="36" t="s">
        <v>1880</v>
      </c>
      <c r="T299" s="36" t="s">
        <v>1881</v>
      </c>
      <c r="U299" s="38">
        <v>45642</v>
      </c>
      <c r="V299" s="39">
        <v>612876.64</v>
      </c>
      <c r="W299" s="39" t="s">
        <v>2363</v>
      </c>
      <c r="X299" s="39" t="s">
        <v>2363</v>
      </c>
      <c r="Y299" s="40">
        <f t="shared" si="85"/>
        <v>30643.832000000002</v>
      </c>
      <c r="Z299" s="40">
        <f t="shared" si="86"/>
        <v>643520.47200000007</v>
      </c>
      <c r="AA299" s="41" t="str">
        <f t="shared" si="87"/>
        <v>0.0018</v>
      </c>
      <c r="AB299" s="41">
        <f t="shared" si="88"/>
        <v>0</v>
      </c>
      <c r="AC299" s="41">
        <f t="shared" si="89"/>
        <v>0</v>
      </c>
      <c r="AD299" s="41">
        <f t="shared" si="90"/>
        <v>0</v>
      </c>
      <c r="AE299" s="41">
        <f t="shared" si="91"/>
        <v>0</v>
      </c>
      <c r="AF299" s="41">
        <f t="shared" si="92"/>
        <v>0</v>
      </c>
      <c r="AG299" s="41">
        <f t="shared" si="93"/>
        <v>0</v>
      </c>
      <c r="AH299" s="41">
        <f t="shared" si="94"/>
        <v>0</v>
      </c>
      <c r="AI299" s="41">
        <f t="shared" si="95"/>
        <v>15</v>
      </c>
      <c r="AJ299" s="41">
        <f t="shared" si="96"/>
        <v>365</v>
      </c>
      <c r="AK299" s="41">
        <f t="shared" si="97"/>
        <v>181</v>
      </c>
      <c r="AL299" s="42">
        <f t="shared" si="98"/>
        <v>3.0224053479452055</v>
      </c>
      <c r="AM299" s="42">
        <f t="shared" si="99"/>
        <v>547.05536797808224</v>
      </c>
      <c r="AN299" s="43">
        <f t="shared" si="84"/>
        <v>551588.99</v>
      </c>
      <c r="AO299" s="43"/>
      <c r="AP299" s="42">
        <f t="shared" si="100"/>
        <v>91931.482000000076</v>
      </c>
      <c r="AQ299" s="43">
        <v>5</v>
      </c>
      <c r="AR299" s="44">
        <f t="shared" si="101"/>
        <v>0.85714287889818663</v>
      </c>
      <c r="AS299" s="45">
        <f t="shared" si="102"/>
        <v>1634.3377066666667</v>
      </c>
      <c r="AU299" s="1">
        <v>459657.49000000005</v>
      </c>
      <c r="AV299" s="50">
        <v>91931.5</v>
      </c>
    </row>
    <row r="300" spans="1:48" s="1" customFormat="1" ht="37.200000000000003" thickTop="1" thickBot="1" x14ac:dyDescent="0.55000000000000004">
      <c r="A300" s="33">
        <v>293</v>
      </c>
      <c r="B300" s="34" t="s">
        <v>347</v>
      </c>
      <c r="C300" s="34" t="s">
        <v>965</v>
      </c>
      <c r="D300" s="35" t="s">
        <v>802</v>
      </c>
      <c r="E300" s="35" t="s">
        <v>966</v>
      </c>
      <c r="F300" s="36" t="s">
        <v>1257</v>
      </c>
      <c r="G300" s="36" t="s">
        <v>1420</v>
      </c>
      <c r="H300" s="36" t="s">
        <v>1421</v>
      </c>
      <c r="I300" s="36" t="s">
        <v>1421</v>
      </c>
      <c r="J300" s="36" t="s">
        <v>1421</v>
      </c>
      <c r="K300" s="36">
        <v>375</v>
      </c>
      <c r="L300" s="36" t="s">
        <v>1422</v>
      </c>
      <c r="M300" s="49">
        <v>4</v>
      </c>
      <c r="N300" s="37" t="s">
        <v>1715</v>
      </c>
      <c r="O300" s="37"/>
      <c r="P300" s="36">
        <v>1</v>
      </c>
      <c r="Q300" s="36" t="s">
        <v>1935</v>
      </c>
      <c r="R300" s="36" t="s">
        <v>2200</v>
      </c>
      <c r="S300" s="36" t="s">
        <v>1880</v>
      </c>
      <c r="T300" s="36" t="s">
        <v>1881</v>
      </c>
      <c r="U300" s="38">
        <v>45642</v>
      </c>
      <c r="V300" s="39">
        <v>612876.64</v>
      </c>
      <c r="W300" s="39" t="s">
        <v>2363</v>
      </c>
      <c r="X300" s="39" t="s">
        <v>2363</v>
      </c>
      <c r="Y300" s="40">
        <f t="shared" si="85"/>
        <v>30643.832000000002</v>
      </c>
      <c r="Z300" s="40">
        <f t="shared" si="86"/>
        <v>643520.47200000007</v>
      </c>
      <c r="AA300" s="41" t="str">
        <f t="shared" si="87"/>
        <v>0.0018</v>
      </c>
      <c r="AB300" s="41">
        <f t="shared" si="88"/>
        <v>0</v>
      </c>
      <c r="AC300" s="41">
        <f t="shared" si="89"/>
        <v>0</v>
      </c>
      <c r="AD300" s="41">
        <f t="shared" si="90"/>
        <v>0</v>
      </c>
      <c r="AE300" s="41">
        <f t="shared" si="91"/>
        <v>0</v>
      </c>
      <c r="AF300" s="41">
        <f t="shared" si="92"/>
        <v>0</v>
      </c>
      <c r="AG300" s="41">
        <f t="shared" si="93"/>
        <v>0</v>
      </c>
      <c r="AH300" s="41">
        <f t="shared" si="94"/>
        <v>0</v>
      </c>
      <c r="AI300" s="41">
        <f t="shared" si="95"/>
        <v>15</v>
      </c>
      <c r="AJ300" s="41">
        <f t="shared" si="96"/>
        <v>365</v>
      </c>
      <c r="AK300" s="41">
        <f t="shared" si="97"/>
        <v>181</v>
      </c>
      <c r="AL300" s="42">
        <f t="shared" si="98"/>
        <v>3.0224053479452055</v>
      </c>
      <c r="AM300" s="42">
        <f t="shared" si="99"/>
        <v>547.05536797808224</v>
      </c>
      <c r="AN300" s="43">
        <f t="shared" si="84"/>
        <v>551588.99</v>
      </c>
      <c r="AO300" s="43"/>
      <c r="AP300" s="42">
        <f t="shared" si="100"/>
        <v>91931.482000000076</v>
      </c>
      <c r="AQ300" s="43">
        <v>5</v>
      </c>
      <c r="AR300" s="44">
        <f t="shared" si="101"/>
        <v>0.85714287889818663</v>
      </c>
      <c r="AS300" s="45">
        <f t="shared" si="102"/>
        <v>1634.3377066666667</v>
      </c>
      <c r="AU300" s="1">
        <v>367725.99</v>
      </c>
      <c r="AV300" s="50">
        <v>183863</v>
      </c>
    </row>
    <row r="301" spans="1:48" s="1" customFormat="1" ht="37.200000000000003" thickTop="1" thickBot="1" x14ac:dyDescent="0.55000000000000004">
      <c r="A301" s="33">
        <v>294</v>
      </c>
      <c r="B301" s="34" t="s">
        <v>348</v>
      </c>
      <c r="C301" s="34" t="s">
        <v>965</v>
      </c>
      <c r="D301" s="35" t="s">
        <v>803</v>
      </c>
      <c r="E301" s="35" t="s">
        <v>966</v>
      </c>
      <c r="F301" s="36" t="s">
        <v>1258</v>
      </c>
      <c r="G301" s="36" t="s">
        <v>1420</v>
      </c>
      <c r="H301" s="36" t="s">
        <v>1421</v>
      </c>
      <c r="I301" s="36" t="s">
        <v>1421</v>
      </c>
      <c r="J301" s="36" t="s">
        <v>1421</v>
      </c>
      <c r="K301" s="36">
        <v>415.78</v>
      </c>
      <c r="L301" s="36" t="s">
        <v>1422</v>
      </c>
      <c r="M301" s="49">
        <v>4</v>
      </c>
      <c r="N301" s="37" t="s">
        <v>1716</v>
      </c>
      <c r="O301" s="37"/>
      <c r="P301" s="36">
        <v>1</v>
      </c>
      <c r="Q301" s="36" t="s">
        <v>1937</v>
      </c>
      <c r="R301" s="36" t="s">
        <v>2201</v>
      </c>
      <c r="S301" s="36" t="s">
        <v>1880</v>
      </c>
      <c r="T301" s="36" t="s">
        <v>1883</v>
      </c>
      <c r="U301" s="38">
        <v>45643</v>
      </c>
      <c r="V301" s="39">
        <v>888127.06</v>
      </c>
      <c r="W301" s="39" t="s">
        <v>2363</v>
      </c>
      <c r="X301" s="39" t="s">
        <v>2363</v>
      </c>
      <c r="Y301" s="40">
        <f t="shared" si="85"/>
        <v>44406.35300000001</v>
      </c>
      <c r="Z301" s="40">
        <f t="shared" si="86"/>
        <v>932533.41300000006</v>
      </c>
      <c r="AA301" s="41" t="str">
        <f t="shared" si="87"/>
        <v>0.0022</v>
      </c>
      <c r="AB301" s="41">
        <f t="shared" si="88"/>
        <v>0</v>
      </c>
      <c r="AC301" s="41">
        <f t="shared" si="89"/>
        <v>0</v>
      </c>
      <c r="AD301" s="41">
        <f t="shared" si="90"/>
        <v>0</v>
      </c>
      <c r="AE301" s="41">
        <f t="shared" si="91"/>
        <v>0</v>
      </c>
      <c r="AF301" s="41">
        <f t="shared" si="92"/>
        <v>0</v>
      </c>
      <c r="AG301" s="41">
        <f t="shared" si="93"/>
        <v>0</v>
      </c>
      <c r="AH301" s="41">
        <f t="shared" si="94"/>
        <v>0</v>
      </c>
      <c r="AI301" s="41">
        <f t="shared" si="95"/>
        <v>14</v>
      </c>
      <c r="AJ301" s="41">
        <f t="shared" si="96"/>
        <v>365</v>
      </c>
      <c r="AK301" s="41">
        <f t="shared" si="97"/>
        <v>181</v>
      </c>
      <c r="AL301" s="42">
        <f t="shared" si="98"/>
        <v>5.3530946082191786</v>
      </c>
      <c r="AM301" s="42">
        <f t="shared" si="99"/>
        <v>968.91012408767131</v>
      </c>
      <c r="AN301" s="43">
        <f t="shared" si="84"/>
        <v>621688.92999999993</v>
      </c>
      <c r="AO301" s="43"/>
      <c r="AP301" s="42">
        <f t="shared" si="100"/>
        <v>310844.48300000012</v>
      </c>
      <c r="AQ301" s="43">
        <v>4</v>
      </c>
      <c r="AR301" s="44">
        <f t="shared" si="101"/>
        <v>0.66666665379849488</v>
      </c>
      <c r="AS301" s="45">
        <f t="shared" si="102"/>
        <v>2136.0504593775559</v>
      </c>
      <c r="AU301" s="1">
        <v>621688.92999999993</v>
      </c>
      <c r="AV301" s="50">
        <v>0</v>
      </c>
    </row>
    <row r="302" spans="1:48" s="1" customFormat="1" ht="37.200000000000003" thickTop="1" thickBot="1" x14ac:dyDescent="0.55000000000000004">
      <c r="A302" s="33">
        <v>295</v>
      </c>
      <c r="B302" s="34" t="s">
        <v>349</v>
      </c>
      <c r="C302" s="34" t="s">
        <v>965</v>
      </c>
      <c r="D302" s="35" t="s">
        <v>804</v>
      </c>
      <c r="E302" s="35" t="s">
        <v>966</v>
      </c>
      <c r="F302" s="36" t="s">
        <v>1259</v>
      </c>
      <c r="G302" s="36" t="s">
        <v>1420</v>
      </c>
      <c r="H302" s="36" t="s">
        <v>1421</v>
      </c>
      <c r="I302" s="36" t="s">
        <v>1421</v>
      </c>
      <c r="J302" s="36" t="s">
        <v>1421</v>
      </c>
      <c r="K302" s="36">
        <v>356.25</v>
      </c>
      <c r="L302" s="36" t="s">
        <v>1422</v>
      </c>
      <c r="M302" s="49">
        <v>4</v>
      </c>
      <c r="N302" s="37" t="s">
        <v>1717</v>
      </c>
      <c r="O302" s="37"/>
      <c r="P302" s="36">
        <v>1</v>
      </c>
      <c r="Q302" s="36" t="s">
        <v>1915</v>
      </c>
      <c r="R302" s="36" t="s">
        <v>2202</v>
      </c>
      <c r="S302" s="36" t="s">
        <v>1880</v>
      </c>
      <c r="T302" s="36" t="s">
        <v>1883</v>
      </c>
      <c r="U302" s="38">
        <v>45643</v>
      </c>
      <c r="V302" s="39">
        <v>764354.84</v>
      </c>
      <c r="W302" s="39" t="s">
        <v>2363</v>
      </c>
      <c r="X302" s="39" t="s">
        <v>2363</v>
      </c>
      <c r="Y302" s="40">
        <f t="shared" si="85"/>
        <v>38217.741999999998</v>
      </c>
      <c r="Z302" s="40">
        <f t="shared" si="86"/>
        <v>802572.58199999994</v>
      </c>
      <c r="AA302" s="41" t="str">
        <f t="shared" si="87"/>
        <v>0.0022</v>
      </c>
      <c r="AB302" s="41">
        <f t="shared" si="88"/>
        <v>0</v>
      </c>
      <c r="AC302" s="41">
        <f t="shared" si="89"/>
        <v>0</v>
      </c>
      <c r="AD302" s="41">
        <f t="shared" si="90"/>
        <v>0</v>
      </c>
      <c r="AE302" s="41">
        <f t="shared" si="91"/>
        <v>0</v>
      </c>
      <c r="AF302" s="41">
        <f t="shared" si="92"/>
        <v>0</v>
      </c>
      <c r="AG302" s="41">
        <f t="shared" si="93"/>
        <v>0</v>
      </c>
      <c r="AH302" s="41">
        <f t="shared" si="94"/>
        <v>0</v>
      </c>
      <c r="AI302" s="41">
        <f t="shared" si="95"/>
        <v>14</v>
      </c>
      <c r="AJ302" s="41">
        <f t="shared" si="96"/>
        <v>365</v>
      </c>
      <c r="AK302" s="41">
        <f t="shared" si="97"/>
        <v>181</v>
      </c>
      <c r="AL302" s="42">
        <f t="shared" si="98"/>
        <v>4.6070702684931506</v>
      </c>
      <c r="AM302" s="42">
        <f t="shared" si="99"/>
        <v>833.87971859726031</v>
      </c>
      <c r="AN302" s="43">
        <f t="shared" si="84"/>
        <v>649701.67999999993</v>
      </c>
      <c r="AO302" s="43"/>
      <c r="AP302" s="42">
        <f t="shared" si="100"/>
        <v>152870.902</v>
      </c>
      <c r="AQ302" s="43">
        <v>5</v>
      </c>
      <c r="AR302" s="44">
        <f t="shared" si="101"/>
        <v>0.80952389175936235</v>
      </c>
      <c r="AS302" s="45">
        <f t="shared" si="102"/>
        <v>2145.5574456140348</v>
      </c>
      <c r="AU302" s="1">
        <v>649701.67999999993</v>
      </c>
      <c r="AV302" s="50">
        <v>0</v>
      </c>
    </row>
    <row r="303" spans="1:48" s="1" customFormat="1" ht="37.200000000000003" thickTop="1" thickBot="1" x14ac:dyDescent="0.55000000000000004">
      <c r="A303" s="33">
        <v>296</v>
      </c>
      <c r="B303" s="34" t="s">
        <v>350</v>
      </c>
      <c r="C303" s="34" t="s">
        <v>965</v>
      </c>
      <c r="D303" s="35" t="s">
        <v>805</v>
      </c>
      <c r="E303" s="35" t="s">
        <v>966</v>
      </c>
      <c r="F303" s="36" t="s">
        <v>1260</v>
      </c>
      <c r="G303" s="36" t="s">
        <v>1420</v>
      </c>
      <c r="H303" s="36" t="s">
        <v>1421</v>
      </c>
      <c r="I303" s="36" t="s">
        <v>1421</v>
      </c>
      <c r="J303" s="36" t="s">
        <v>1421</v>
      </c>
      <c r="K303" s="36">
        <v>350</v>
      </c>
      <c r="L303" s="36" t="s">
        <v>1422</v>
      </c>
      <c r="M303" s="49">
        <v>4</v>
      </c>
      <c r="N303" s="37" t="s">
        <v>1718</v>
      </c>
      <c r="O303" s="37"/>
      <c r="P303" s="36">
        <v>1</v>
      </c>
      <c r="Q303" s="36" t="s">
        <v>1933</v>
      </c>
      <c r="R303" s="36" t="s">
        <v>2203</v>
      </c>
      <c r="S303" s="36" t="s">
        <v>1880</v>
      </c>
      <c r="T303" s="36" t="s">
        <v>1881</v>
      </c>
      <c r="U303" s="38">
        <v>45643</v>
      </c>
      <c r="V303" s="39">
        <v>757749.84</v>
      </c>
      <c r="W303" s="39" t="s">
        <v>2363</v>
      </c>
      <c r="X303" s="39" t="s">
        <v>2363</v>
      </c>
      <c r="Y303" s="40">
        <f t="shared" si="85"/>
        <v>37887.491999999998</v>
      </c>
      <c r="Z303" s="40">
        <f t="shared" si="86"/>
        <v>795637.33199999994</v>
      </c>
      <c r="AA303" s="41" t="str">
        <f t="shared" si="87"/>
        <v>0.0022</v>
      </c>
      <c r="AB303" s="41">
        <f t="shared" si="88"/>
        <v>0</v>
      </c>
      <c r="AC303" s="41">
        <f t="shared" si="89"/>
        <v>0</v>
      </c>
      <c r="AD303" s="41">
        <f t="shared" si="90"/>
        <v>0</v>
      </c>
      <c r="AE303" s="41">
        <f t="shared" si="91"/>
        <v>0</v>
      </c>
      <c r="AF303" s="41">
        <f t="shared" si="92"/>
        <v>0</v>
      </c>
      <c r="AG303" s="41">
        <f t="shared" si="93"/>
        <v>0</v>
      </c>
      <c r="AH303" s="41">
        <f t="shared" si="94"/>
        <v>0</v>
      </c>
      <c r="AI303" s="41">
        <f t="shared" si="95"/>
        <v>14</v>
      </c>
      <c r="AJ303" s="41">
        <f t="shared" si="96"/>
        <v>365</v>
      </c>
      <c r="AK303" s="41">
        <f t="shared" si="97"/>
        <v>181</v>
      </c>
      <c r="AL303" s="42">
        <f t="shared" si="98"/>
        <v>4.5672593095890406</v>
      </c>
      <c r="AM303" s="42">
        <f t="shared" si="99"/>
        <v>826.6739350356163</v>
      </c>
      <c r="AN303" s="43">
        <f t="shared" si="84"/>
        <v>681974.87</v>
      </c>
      <c r="AO303" s="43"/>
      <c r="AP303" s="42">
        <f t="shared" si="100"/>
        <v>113662.46199999994</v>
      </c>
      <c r="AQ303" s="43">
        <v>5</v>
      </c>
      <c r="AR303" s="44">
        <f t="shared" si="101"/>
        <v>0.8571428747388139</v>
      </c>
      <c r="AS303" s="45">
        <f t="shared" si="102"/>
        <v>2164.9995428571428</v>
      </c>
      <c r="AU303" s="1">
        <v>568312.39</v>
      </c>
      <c r="AV303" s="50">
        <v>113662.48</v>
      </c>
    </row>
    <row r="304" spans="1:48" s="1" customFormat="1" ht="37.200000000000003" thickTop="1" thickBot="1" x14ac:dyDescent="0.55000000000000004">
      <c r="A304" s="33">
        <v>297</v>
      </c>
      <c r="B304" s="34" t="s">
        <v>351</v>
      </c>
      <c r="C304" s="34" t="s">
        <v>965</v>
      </c>
      <c r="D304" s="35" t="s">
        <v>806</v>
      </c>
      <c r="E304" s="35" t="s">
        <v>966</v>
      </c>
      <c r="F304" s="36" t="s">
        <v>1261</v>
      </c>
      <c r="G304" s="36" t="s">
        <v>1420</v>
      </c>
      <c r="H304" s="36" t="s">
        <v>1421</v>
      </c>
      <c r="I304" s="36" t="s">
        <v>1421</v>
      </c>
      <c r="J304" s="36" t="s">
        <v>1421</v>
      </c>
      <c r="K304" s="36">
        <v>375</v>
      </c>
      <c r="L304" s="36" t="s">
        <v>1422</v>
      </c>
      <c r="M304" s="49">
        <v>4</v>
      </c>
      <c r="N304" s="37" t="s">
        <v>1719</v>
      </c>
      <c r="O304" s="37"/>
      <c r="P304" s="36">
        <v>1</v>
      </c>
      <c r="Q304" s="36" t="s">
        <v>1954</v>
      </c>
      <c r="R304" s="36" t="s">
        <v>2204</v>
      </c>
      <c r="S304" s="36" t="s">
        <v>1880</v>
      </c>
      <c r="T304" s="36" t="s">
        <v>1881</v>
      </c>
      <c r="U304" s="38">
        <v>45643</v>
      </c>
      <c r="V304" s="39">
        <v>589349</v>
      </c>
      <c r="W304" s="39" t="s">
        <v>2363</v>
      </c>
      <c r="X304" s="39" t="s">
        <v>2363</v>
      </c>
      <c r="Y304" s="40">
        <f t="shared" si="85"/>
        <v>29467.45</v>
      </c>
      <c r="Z304" s="40">
        <f t="shared" si="86"/>
        <v>618816.44999999995</v>
      </c>
      <c r="AA304" s="41" t="str">
        <f t="shared" si="87"/>
        <v>0.0018</v>
      </c>
      <c r="AB304" s="41">
        <f t="shared" si="88"/>
        <v>0</v>
      </c>
      <c r="AC304" s="41">
        <f t="shared" si="89"/>
        <v>0</v>
      </c>
      <c r="AD304" s="41">
        <f t="shared" si="90"/>
        <v>0</v>
      </c>
      <c r="AE304" s="41">
        <f t="shared" si="91"/>
        <v>0</v>
      </c>
      <c r="AF304" s="41">
        <f t="shared" si="92"/>
        <v>0</v>
      </c>
      <c r="AG304" s="41">
        <f t="shared" si="93"/>
        <v>0</v>
      </c>
      <c r="AH304" s="41">
        <f t="shared" si="94"/>
        <v>0</v>
      </c>
      <c r="AI304" s="41">
        <f t="shared" si="95"/>
        <v>14</v>
      </c>
      <c r="AJ304" s="41">
        <f t="shared" si="96"/>
        <v>365</v>
      </c>
      <c r="AK304" s="41">
        <f t="shared" si="97"/>
        <v>181</v>
      </c>
      <c r="AL304" s="42">
        <f t="shared" si="98"/>
        <v>2.9063786301369863</v>
      </c>
      <c r="AM304" s="42">
        <f t="shared" si="99"/>
        <v>526.05453205479455</v>
      </c>
      <c r="AN304" s="43">
        <f t="shared" si="84"/>
        <v>530414.1</v>
      </c>
      <c r="AO304" s="43"/>
      <c r="AP304" s="42">
        <f t="shared" si="100"/>
        <v>88402.349999999977</v>
      </c>
      <c r="AQ304" s="43">
        <v>5</v>
      </c>
      <c r="AR304" s="44">
        <f t="shared" si="101"/>
        <v>0.85714285714285721</v>
      </c>
      <c r="AS304" s="45">
        <f t="shared" si="102"/>
        <v>1571.5973333333334</v>
      </c>
      <c r="AU304" s="1">
        <v>442011.75</v>
      </c>
      <c r="AV304" s="50">
        <v>88402.35</v>
      </c>
    </row>
    <row r="305" spans="1:48" s="1" customFormat="1" ht="37.200000000000003" thickTop="1" thickBot="1" x14ac:dyDescent="0.55000000000000004">
      <c r="A305" s="33">
        <v>298</v>
      </c>
      <c r="B305" s="34" t="s">
        <v>352</v>
      </c>
      <c r="C305" s="34" t="s">
        <v>965</v>
      </c>
      <c r="D305" s="35" t="s">
        <v>807</v>
      </c>
      <c r="E305" s="35" t="s">
        <v>966</v>
      </c>
      <c r="F305" s="36" t="s">
        <v>1262</v>
      </c>
      <c r="G305" s="36" t="s">
        <v>1420</v>
      </c>
      <c r="H305" s="36" t="s">
        <v>1421</v>
      </c>
      <c r="I305" s="36" t="s">
        <v>1421</v>
      </c>
      <c r="J305" s="36" t="s">
        <v>1421</v>
      </c>
      <c r="K305" s="36">
        <v>373</v>
      </c>
      <c r="L305" s="36" t="s">
        <v>1422</v>
      </c>
      <c r="M305" s="49">
        <v>4</v>
      </c>
      <c r="N305" s="37" t="s">
        <v>1720</v>
      </c>
      <c r="O305" s="37"/>
      <c r="P305" s="36">
        <v>1</v>
      </c>
      <c r="Q305" s="36" t="s">
        <v>1941</v>
      </c>
      <c r="R305" s="36" t="s">
        <v>2205</v>
      </c>
      <c r="S305" s="36" t="s">
        <v>1880</v>
      </c>
      <c r="T305" s="36" t="s">
        <v>1881</v>
      </c>
      <c r="U305" s="38">
        <v>45643</v>
      </c>
      <c r="V305" s="39">
        <v>849877.65</v>
      </c>
      <c r="W305" s="39" t="s">
        <v>2363</v>
      </c>
      <c r="X305" s="39" t="s">
        <v>2363</v>
      </c>
      <c r="Y305" s="40">
        <f t="shared" si="85"/>
        <v>42493.8825</v>
      </c>
      <c r="Z305" s="40">
        <f t="shared" si="86"/>
        <v>892371.53249999997</v>
      </c>
      <c r="AA305" s="41" t="str">
        <f t="shared" si="87"/>
        <v>0.0022</v>
      </c>
      <c r="AB305" s="41">
        <f t="shared" si="88"/>
        <v>0</v>
      </c>
      <c r="AC305" s="41">
        <f t="shared" si="89"/>
        <v>0</v>
      </c>
      <c r="AD305" s="41">
        <f t="shared" si="90"/>
        <v>0</v>
      </c>
      <c r="AE305" s="41">
        <f t="shared" si="91"/>
        <v>0</v>
      </c>
      <c r="AF305" s="41">
        <f t="shared" si="92"/>
        <v>0</v>
      </c>
      <c r="AG305" s="41">
        <f t="shared" si="93"/>
        <v>0</v>
      </c>
      <c r="AH305" s="41">
        <f t="shared" si="94"/>
        <v>0</v>
      </c>
      <c r="AI305" s="41">
        <f t="shared" si="95"/>
        <v>14</v>
      </c>
      <c r="AJ305" s="41">
        <f t="shared" si="96"/>
        <v>365</v>
      </c>
      <c r="AK305" s="41">
        <f t="shared" si="97"/>
        <v>181</v>
      </c>
      <c r="AL305" s="42">
        <f t="shared" si="98"/>
        <v>5.1225502191780823</v>
      </c>
      <c r="AM305" s="42">
        <f t="shared" si="99"/>
        <v>927.18158967123293</v>
      </c>
      <c r="AN305" s="43">
        <f t="shared" si="84"/>
        <v>764889.89</v>
      </c>
      <c r="AO305" s="43"/>
      <c r="AP305" s="42">
        <f t="shared" si="100"/>
        <v>127481.64249999996</v>
      </c>
      <c r="AQ305" s="43">
        <v>5</v>
      </c>
      <c r="AR305" s="44">
        <f t="shared" si="101"/>
        <v>0.85714286274590457</v>
      </c>
      <c r="AS305" s="45">
        <f t="shared" si="102"/>
        <v>2278.4923592493296</v>
      </c>
      <c r="AU305" s="1">
        <v>637408.24</v>
      </c>
      <c r="AV305" s="50">
        <v>127481.65</v>
      </c>
    </row>
    <row r="306" spans="1:48" s="1" customFormat="1" ht="37.200000000000003" thickTop="1" thickBot="1" x14ac:dyDescent="0.55000000000000004">
      <c r="A306" s="33">
        <v>299</v>
      </c>
      <c r="B306" s="34" t="s">
        <v>353</v>
      </c>
      <c r="C306" s="34" t="s">
        <v>965</v>
      </c>
      <c r="D306" s="35" t="s">
        <v>808</v>
      </c>
      <c r="E306" s="35" t="s">
        <v>966</v>
      </c>
      <c r="F306" s="36" t="s">
        <v>1263</v>
      </c>
      <c r="G306" s="36" t="s">
        <v>1420</v>
      </c>
      <c r="H306" s="36" t="s">
        <v>1421</v>
      </c>
      <c r="I306" s="36" t="s">
        <v>1421</v>
      </c>
      <c r="J306" s="36" t="s">
        <v>1421</v>
      </c>
      <c r="K306" s="36">
        <v>375</v>
      </c>
      <c r="L306" s="36" t="s">
        <v>1422</v>
      </c>
      <c r="M306" s="49">
        <v>4</v>
      </c>
      <c r="N306" s="37" t="s">
        <v>1721</v>
      </c>
      <c r="O306" s="37"/>
      <c r="P306" s="36">
        <v>1</v>
      </c>
      <c r="Q306" s="36" t="s">
        <v>1933</v>
      </c>
      <c r="R306" s="36" t="s">
        <v>2206</v>
      </c>
      <c r="S306" s="36" t="s">
        <v>1880</v>
      </c>
      <c r="T306" s="36" t="s">
        <v>1883</v>
      </c>
      <c r="U306" s="38">
        <v>45643</v>
      </c>
      <c r="V306" s="39">
        <v>687476</v>
      </c>
      <c r="W306" s="39" t="s">
        <v>2363</v>
      </c>
      <c r="X306" s="39" t="s">
        <v>2363</v>
      </c>
      <c r="Y306" s="40">
        <f t="shared" si="85"/>
        <v>34373.800000000003</v>
      </c>
      <c r="Z306" s="40">
        <f t="shared" si="86"/>
        <v>721849.8</v>
      </c>
      <c r="AA306" s="41" t="str">
        <f t="shared" si="87"/>
        <v>0.0018</v>
      </c>
      <c r="AB306" s="41">
        <f t="shared" si="88"/>
        <v>0</v>
      </c>
      <c r="AC306" s="41">
        <f t="shared" si="89"/>
        <v>0</v>
      </c>
      <c r="AD306" s="41">
        <f t="shared" si="90"/>
        <v>0</v>
      </c>
      <c r="AE306" s="41">
        <f t="shared" si="91"/>
        <v>0</v>
      </c>
      <c r="AF306" s="41">
        <f t="shared" si="92"/>
        <v>0</v>
      </c>
      <c r="AG306" s="41">
        <f t="shared" si="93"/>
        <v>0</v>
      </c>
      <c r="AH306" s="41">
        <f t="shared" si="94"/>
        <v>0</v>
      </c>
      <c r="AI306" s="41">
        <f t="shared" si="95"/>
        <v>14</v>
      </c>
      <c r="AJ306" s="41">
        <f t="shared" si="96"/>
        <v>365</v>
      </c>
      <c r="AK306" s="41">
        <f t="shared" si="97"/>
        <v>181</v>
      </c>
      <c r="AL306" s="42">
        <f t="shared" si="98"/>
        <v>3.3902926027397258</v>
      </c>
      <c r="AM306" s="42">
        <f t="shared" si="99"/>
        <v>613.64296109589031</v>
      </c>
      <c r="AN306" s="43">
        <f t="shared" si="84"/>
        <v>618728.4</v>
      </c>
      <c r="AO306" s="43"/>
      <c r="AP306" s="42">
        <f t="shared" si="100"/>
        <v>103121.40000000002</v>
      </c>
      <c r="AQ306" s="43">
        <v>5</v>
      </c>
      <c r="AR306" s="44">
        <f t="shared" si="101"/>
        <v>0.8571428571428571</v>
      </c>
      <c r="AS306" s="45">
        <f t="shared" si="102"/>
        <v>1833.2693333333334</v>
      </c>
      <c r="AU306" s="1">
        <v>515607.00000000006</v>
      </c>
      <c r="AV306" s="50">
        <v>103121.4</v>
      </c>
    </row>
    <row r="307" spans="1:48" s="1" customFormat="1" ht="37.200000000000003" thickTop="1" thickBot="1" x14ac:dyDescent="0.55000000000000004">
      <c r="A307" s="33">
        <v>300</v>
      </c>
      <c r="B307" s="34" t="s">
        <v>354</v>
      </c>
      <c r="C307" s="34" t="s">
        <v>965</v>
      </c>
      <c r="D307" s="35" t="s">
        <v>809</v>
      </c>
      <c r="E307" s="35" t="s">
        <v>966</v>
      </c>
      <c r="F307" s="36" t="s">
        <v>1264</v>
      </c>
      <c r="G307" s="36" t="s">
        <v>1420</v>
      </c>
      <c r="H307" s="36" t="s">
        <v>1421</v>
      </c>
      <c r="I307" s="36" t="s">
        <v>1421</v>
      </c>
      <c r="J307" s="36" t="s">
        <v>1421</v>
      </c>
      <c r="K307" s="36">
        <v>350</v>
      </c>
      <c r="L307" s="36" t="s">
        <v>1422</v>
      </c>
      <c r="M307" s="49">
        <v>4</v>
      </c>
      <c r="N307" s="37" t="s">
        <v>1722</v>
      </c>
      <c r="O307" s="37"/>
      <c r="P307" s="36">
        <v>1</v>
      </c>
      <c r="Q307" s="36" t="s">
        <v>1915</v>
      </c>
      <c r="R307" s="36" t="s">
        <v>2207</v>
      </c>
      <c r="S307" s="36" t="s">
        <v>1880</v>
      </c>
      <c r="T307" s="36" t="s">
        <v>1883</v>
      </c>
      <c r="U307" s="38">
        <v>45644</v>
      </c>
      <c r="V307" s="39">
        <v>701770</v>
      </c>
      <c r="W307" s="39" t="s">
        <v>2363</v>
      </c>
      <c r="X307" s="39" t="s">
        <v>2363</v>
      </c>
      <c r="Y307" s="40">
        <f t="shared" si="85"/>
        <v>35088.5</v>
      </c>
      <c r="Z307" s="40">
        <f t="shared" si="86"/>
        <v>736858.5</v>
      </c>
      <c r="AA307" s="41" t="str">
        <f t="shared" si="87"/>
        <v>0.0022</v>
      </c>
      <c r="AB307" s="41">
        <f t="shared" si="88"/>
        <v>0</v>
      </c>
      <c r="AC307" s="41">
        <f t="shared" si="89"/>
        <v>0</v>
      </c>
      <c r="AD307" s="41">
        <f t="shared" si="90"/>
        <v>0</v>
      </c>
      <c r="AE307" s="41">
        <f t="shared" si="91"/>
        <v>0</v>
      </c>
      <c r="AF307" s="41">
        <f t="shared" si="92"/>
        <v>0</v>
      </c>
      <c r="AG307" s="41">
        <f t="shared" si="93"/>
        <v>0</v>
      </c>
      <c r="AH307" s="41">
        <f t="shared" si="94"/>
        <v>0</v>
      </c>
      <c r="AI307" s="41">
        <f t="shared" si="95"/>
        <v>13</v>
      </c>
      <c r="AJ307" s="41">
        <f t="shared" si="96"/>
        <v>365</v>
      </c>
      <c r="AK307" s="41">
        <f t="shared" si="97"/>
        <v>181</v>
      </c>
      <c r="AL307" s="42">
        <f t="shared" si="98"/>
        <v>4.2298465753424654</v>
      </c>
      <c r="AM307" s="42">
        <f t="shared" si="99"/>
        <v>765.60223013698624</v>
      </c>
      <c r="AN307" s="43">
        <f t="shared" si="84"/>
        <v>596504.5</v>
      </c>
      <c r="AO307" s="43"/>
      <c r="AP307" s="42">
        <f t="shared" si="100"/>
        <v>140354</v>
      </c>
      <c r="AQ307" s="43">
        <v>5</v>
      </c>
      <c r="AR307" s="44">
        <f t="shared" si="101"/>
        <v>0.80952380952380953</v>
      </c>
      <c r="AS307" s="45">
        <f t="shared" si="102"/>
        <v>2005.0571428571429</v>
      </c>
      <c r="AU307" s="1">
        <v>596504.5</v>
      </c>
      <c r="AV307" s="50">
        <v>0</v>
      </c>
    </row>
    <row r="308" spans="1:48" s="1" customFormat="1" ht="37.200000000000003" thickTop="1" thickBot="1" x14ac:dyDescent="0.55000000000000004">
      <c r="A308" s="33">
        <v>301</v>
      </c>
      <c r="B308" s="34" t="s">
        <v>355</v>
      </c>
      <c r="C308" s="34" t="s">
        <v>965</v>
      </c>
      <c r="D308" s="35" t="s">
        <v>810</v>
      </c>
      <c r="E308" s="35" t="s">
        <v>966</v>
      </c>
      <c r="F308" s="36" t="s">
        <v>1265</v>
      </c>
      <c r="G308" s="36" t="s">
        <v>1420</v>
      </c>
      <c r="H308" s="36" t="s">
        <v>1421</v>
      </c>
      <c r="I308" s="36" t="s">
        <v>1421</v>
      </c>
      <c r="J308" s="36" t="s">
        <v>1421</v>
      </c>
      <c r="K308" s="36">
        <v>375</v>
      </c>
      <c r="L308" s="36" t="s">
        <v>1422</v>
      </c>
      <c r="M308" s="49">
        <v>4</v>
      </c>
      <c r="N308" s="37" t="s">
        <v>1723</v>
      </c>
      <c r="O308" s="37"/>
      <c r="P308" s="36">
        <v>1</v>
      </c>
      <c r="Q308" s="36" t="s">
        <v>1941</v>
      </c>
      <c r="R308" s="36" t="s">
        <v>2208</v>
      </c>
      <c r="S308" s="36" t="s">
        <v>1880</v>
      </c>
      <c r="T308" s="36" t="s">
        <v>1881</v>
      </c>
      <c r="U308" s="38">
        <v>45644</v>
      </c>
      <c r="V308" s="39">
        <v>681474</v>
      </c>
      <c r="W308" s="39" t="s">
        <v>2363</v>
      </c>
      <c r="X308" s="39" t="s">
        <v>2363</v>
      </c>
      <c r="Y308" s="40">
        <f t="shared" si="85"/>
        <v>34073.699999999997</v>
      </c>
      <c r="Z308" s="40">
        <f t="shared" si="86"/>
        <v>715547.7</v>
      </c>
      <c r="AA308" s="41" t="str">
        <f t="shared" si="87"/>
        <v>0.0018</v>
      </c>
      <c r="AB308" s="41">
        <f t="shared" si="88"/>
        <v>0</v>
      </c>
      <c r="AC308" s="41">
        <f t="shared" si="89"/>
        <v>0</v>
      </c>
      <c r="AD308" s="41">
        <f t="shared" si="90"/>
        <v>0</v>
      </c>
      <c r="AE308" s="41">
        <f t="shared" si="91"/>
        <v>0</v>
      </c>
      <c r="AF308" s="41">
        <f t="shared" si="92"/>
        <v>0</v>
      </c>
      <c r="AG308" s="41">
        <f t="shared" si="93"/>
        <v>0</v>
      </c>
      <c r="AH308" s="41">
        <f t="shared" si="94"/>
        <v>0</v>
      </c>
      <c r="AI308" s="41">
        <f t="shared" si="95"/>
        <v>13</v>
      </c>
      <c r="AJ308" s="41">
        <f t="shared" si="96"/>
        <v>365</v>
      </c>
      <c r="AK308" s="41">
        <f t="shared" si="97"/>
        <v>181</v>
      </c>
      <c r="AL308" s="42">
        <f t="shared" si="98"/>
        <v>3.3606936986301368</v>
      </c>
      <c r="AM308" s="42">
        <f t="shared" si="99"/>
        <v>608.28555945205471</v>
      </c>
      <c r="AN308" s="43">
        <f t="shared" si="84"/>
        <v>613326.6</v>
      </c>
      <c r="AO308" s="43"/>
      <c r="AP308" s="42">
        <f t="shared" si="100"/>
        <v>102221.09999999998</v>
      </c>
      <c r="AQ308" s="43">
        <v>5</v>
      </c>
      <c r="AR308" s="44">
        <f t="shared" si="101"/>
        <v>0.85714285714285721</v>
      </c>
      <c r="AS308" s="45">
        <f t="shared" si="102"/>
        <v>1817.2639999999999</v>
      </c>
      <c r="AU308" s="1">
        <v>511105.49999999994</v>
      </c>
      <c r="AV308" s="50">
        <v>102221.1</v>
      </c>
    </row>
    <row r="309" spans="1:48" s="1" customFormat="1" ht="37.200000000000003" thickTop="1" thickBot="1" x14ac:dyDescent="0.55000000000000004">
      <c r="A309" s="33">
        <v>302</v>
      </c>
      <c r="B309" s="34" t="s">
        <v>356</v>
      </c>
      <c r="C309" s="34" t="s">
        <v>965</v>
      </c>
      <c r="D309" s="35" t="s">
        <v>811</v>
      </c>
      <c r="E309" s="35" t="s">
        <v>966</v>
      </c>
      <c r="F309" s="36" t="s">
        <v>1266</v>
      </c>
      <c r="G309" s="36" t="s">
        <v>1420</v>
      </c>
      <c r="H309" s="36" t="s">
        <v>1421</v>
      </c>
      <c r="I309" s="36" t="s">
        <v>1421</v>
      </c>
      <c r="J309" s="36" t="s">
        <v>1421</v>
      </c>
      <c r="K309" s="36">
        <v>375</v>
      </c>
      <c r="L309" s="36" t="s">
        <v>1422</v>
      </c>
      <c r="M309" s="49">
        <v>4</v>
      </c>
      <c r="N309" s="37" t="s">
        <v>1724</v>
      </c>
      <c r="O309" s="37"/>
      <c r="P309" s="36">
        <v>1</v>
      </c>
      <c r="Q309" s="36" t="s">
        <v>1941</v>
      </c>
      <c r="R309" s="36" t="s">
        <v>2209</v>
      </c>
      <c r="S309" s="36" t="s">
        <v>1880</v>
      </c>
      <c r="T309" s="36" t="s">
        <v>1881</v>
      </c>
      <c r="U309" s="38">
        <v>45644</v>
      </c>
      <c r="V309" s="39">
        <v>681474</v>
      </c>
      <c r="W309" s="39" t="s">
        <v>2363</v>
      </c>
      <c r="X309" s="39" t="s">
        <v>2363</v>
      </c>
      <c r="Y309" s="40">
        <f t="shared" si="85"/>
        <v>34073.699999999997</v>
      </c>
      <c r="Z309" s="40">
        <f t="shared" si="86"/>
        <v>715547.7</v>
      </c>
      <c r="AA309" s="41" t="str">
        <f t="shared" si="87"/>
        <v>0.0018</v>
      </c>
      <c r="AB309" s="41">
        <f t="shared" si="88"/>
        <v>0</v>
      </c>
      <c r="AC309" s="41">
        <f t="shared" si="89"/>
        <v>0</v>
      </c>
      <c r="AD309" s="41">
        <f t="shared" si="90"/>
        <v>0</v>
      </c>
      <c r="AE309" s="41">
        <f t="shared" si="91"/>
        <v>0</v>
      </c>
      <c r="AF309" s="41">
        <f t="shared" si="92"/>
        <v>0</v>
      </c>
      <c r="AG309" s="41">
        <f t="shared" si="93"/>
        <v>0</v>
      </c>
      <c r="AH309" s="41">
        <f t="shared" si="94"/>
        <v>0</v>
      </c>
      <c r="AI309" s="41">
        <f t="shared" si="95"/>
        <v>13</v>
      </c>
      <c r="AJ309" s="41">
        <f t="shared" si="96"/>
        <v>365</v>
      </c>
      <c r="AK309" s="41">
        <f t="shared" si="97"/>
        <v>181</v>
      </c>
      <c r="AL309" s="42">
        <f t="shared" si="98"/>
        <v>3.3606936986301368</v>
      </c>
      <c r="AM309" s="42">
        <f t="shared" si="99"/>
        <v>608.28555945205471</v>
      </c>
      <c r="AN309" s="43">
        <f t="shared" si="84"/>
        <v>613326.6</v>
      </c>
      <c r="AO309" s="43"/>
      <c r="AP309" s="42">
        <f t="shared" si="100"/>
        <v>102221.09999999998</v>
      </c>
      <c r="AQ309" s="43">
        <v>5</v>
      </c>
      <c r="AR309" s="44">
        <f t="shared" si="101"/>
        <v>0.85714285714285721</v>
      </c>
      <c r="AS309" s="45">
        <f t="shared" si="102"/>
        <v>1817.2639999999999</v>
      </c>
      <c r="AU309" s="1">
        <v>511105.49999999994</v>
      </c>
      <c r="AV309" s="50">
        <v>102221.1</v>
      </c>
    </row>
    <row r="310" spans="1:48" s="1" customFormat="1" ht="37.200000000000003" thickTop="1" thickBot="1" x14ac:dyDescent="0.55000000000000004">
      <c r="A310" s="33">
        <v>303</v>
      </c>
      <c r="B310" s="34" t="s">
        <v>357</v>
      </c>
      <c r="C310" s="34" t="s">
        <v>965</v>
      </c>
      <c r="D310" s="35" t="s">
        <v>812</v>
      </c>
      <c r="E310" s="35" t="s">
        <v>966</v>
      </c>
      <c r="F310" s="36" t="s">
        <v>1267</v>
      </c>
      <c r="G310" s="36" t="s">
        <v>1420</v>
      </c>
      <c r="H310" s="36" t="s">
        <v>1421</v>
      </c>
      <c r="I310" s="36" t="s">
        <v>1421</v>
      </c>
      <c r="J310" s="36" t="s">
        <v>1421</v>
      </c>
      <c r="K310" s="36">
        <v>350</v>
      </c>
      <c r="L310" s="36" t="s">
        <v>1422</v>
      </c>
      <c r="M310" s="49">
        <v>4</v>
      </c>
      <c r="N310" s="37" t="s">
        <v>1725</v>
      </c>
      <c r="O310" s="37"/>
      <c r="P310" s="36">
        <v>1</v>
      </c>
      <c r="Q310" s="36" t="s">
        <v>1933</v>
      </c>
      <c r="R310" s="36" t="s">
        <v>2210</v>
      </c>
      <c r="S310" s="36" t="s">
        <v>1880</v>
      </c>
      <c r="T310" s="36" t="s">
        <v>1881</v>
      </c>
      <c r="U310" s="38">
        <v>45644</v>
      </c>
      <c r="V310" s="39">
        <v>609077.80000000005</v>
      </c>
      <c r="W310" s="39" t="s">
        <v>2363</v>
      </c>
      <c r="X310" s="39" t="s">
        <v>2363</v>
      </c>
      <c r="Y310" s="40">
        <f t="shared" si="85"/>
        <v>30453.89</v>
      </c>
      <c r="Z310" s="40">
        <f t="shared" si="86"/>
        <v>639531.69000000006</v>
      </c>
      <c r="AA310" s="41" t="str">
        <f t="shared" si="87"/>
        <v>0.0018</v>
      </c>
      <c r="AB310" s="41">
        <f t="shared" si="88"/>
        <v>0</v>
      </c>
      <c r="AC310" s="41">
        <f t="shared" si="89"/>
        <v>0</v>
      </c>
      <c r="AD310" s="41">
        <f t="shared" si="90"/>
        <v>0</v>
      </c>
      <c r="AE310" s="41">
        <f t="shared" si="91"/>
        <v>0</v>
      </c>
      <c r="AF310" s="41">
        <f t="shared" si="92"/>
        <v>0</v>
      </c>
      <c r="AG310" s="41">
        <f t="shared" si="93"/>
        <v>0</v>
      </c>
      <c r="AH310" s="41">
        <f t="shared" si="94"/>
        <v>0</v>
      </c>
      <c r="AI310" s="41">
        <f t="shared" si="95"/>
        <v>13</v>
      </c>
      <c r="AJ310" s="41">
        <f t="shared" si="96"/>
        <v>365</v>
      </c>
      <c r="AK310" s="41">
        <f t="shared" si="97"/>
        <v>181</v>
      </c>
      <c r="AL310" s="42">
        <f t="shared" si="98"/>
        <v>3.0036713424657537</v>
      </c>
      <c r="AM310" s="42">
        <f t="shared" si="99"/>
        <v>543.66451298630147</v>
      </c>
      <c r="AN310" s="43">
        <f t="shared" si="84"/>
        <v>548170.02</v>
      </c>
      <c r="AO310" s="43"/>
      <c r="AP310" s="42">
        <f t="shared" si="100"/>
        <v>91361.670000000042</v>
      </c>
      <c r="AQ310" s="43">
        <v>5</v>
      </c>
      <c r="AR310" s="44">
        <f t="shared" si="101"/>
        <v>0.8571428571428571</v>
      </c>
      <c r="AS310" s="45">
        <f t="shared" si="102"/>
        <v>1740.2222857142858</v>
      </c>
      <c r="AU310" s="1">
        <v>456808.35</v>
      </c>
      <c r="AV310" s="50">
        <v>91361.67</v>
      </c>
    </row>
    <row r="311" spans="1:48" s="1" customFormat="1" ht="37.200000000000003" thickTop="1" thickBot="1" x14ac:dyDescent="0.55000000000000004">
      <c r="A311" s="33">
        <v>304</v>
      </c>
      <c r="B311" s="34" t="s">
        <v>358</v>
      </c>
      <c r="C311" s="34" t="s">
        <v>965</v>
      </c>
      <c r="D311" s="35" t="s">
        <v>813</v>
      </c>
      <c r="E311" s="35" t="s">
        <v>966</v>
      </c>
      <c r="F311" s="36" t="s">
        <v>1268</v>
      </c>
      <c r="G311" s="36" t="s">
        <v>1420</v>
      </c>
      <c r="H311" s="36" t="s">
        <v>1421</v>
      </c>
      <c r="I311" s="36" t="s">
        <v>1421</v>
      </c>
      <c r="J311" s="36" t="s">
        <v>1421</v>
      </c>
      <c r="K311" s="36">
        <v>350</v>
      </c>
      <c r="L311" s="36" t="s">
        <v>1422</v>
      </c>
      <c r="M311" s="49">
        <v>4</v>
      </c>
      <c r="N311" s="37" t="s">
        <v>1726</v>
      </c>
      <c r="O311" s="37"/>
      <c r="P311" s="36">
        <v>1</v>
      </c>
      <c r="Q311" s="36" t="s">
        <v>1937</v>
      </c>
      <c r="R311" s="36" t="s">
        <v>2211</v>
      </c>
      <c r="S311" s="36" t="s">
        <v>1880</v>
      </c>
      <c r="T311" s="36" t="s">
        <v>1881</v>
      </c>
      <c r="U311" s="38">
        <v>45644</v>
      </c>
      <c r="V311" s="39">
        <v>609077.80000000005</v>
      </c>
      <c r="W311" s="39" t="s">
        <v>2363</v>
      </c>
      <c r="X311" s="39" t="s">
        <v>2363</v>
      </c>
      <c r="Y311" s="40">
        <f t="shared" si="85"/>
        <v>30453.89</v>
      </c>
      <c r="Z311" s="40">
        <f t="shared" si="86"/>
        <v>639531.69000000006</v>
      </c>
      <c r="AA311" s="41" t="str">
        <f t="shared" si="87"/>
        <v>0.0018</v>
      </c>
      <c r="AB311" s="41">
        <f t="shared" si="88"/>
        <v>0</v>
      </c>
      <c r="AC311" s="41">
        <f t="shared" si="89"/>
        <v>0</v>
      </c>
      <c r="AD311" s="41">
        <f t="shared" si="90"/>
        <v>0</v>
      </c>
      <c r="AE311" s="41">
        <f t="shared" si="91"/>
        <v>0</v>
      </c>
      <c r="AF311" s="41">
        <f t="shared" si="92"/>
        <v>0</v>
      </c>
      <c r="AG311" s="41">
        <f t="shared" si="93"/>
        <v>0</v>
      </c>
      <c r="AH311" s="41">
        <f t="shared" si="94"/>
        <v>0</v>
      </c>
      <c r="AI311" s="41">
        <f t="shared" si="95"/>
        <v>13</v>
      </c>
      <c r="AJ311" s="41">
        <f t="shared" si="96"/>
        <v>365</v>
      </c>
      <c r="AK311" s="41">
        <f t="shared" si="97"/>
        <v>181</v>
      </c>
      <c r="AL311" s="42">
        <f t="shared" si="98"/>
        <v>3.0036713424657537</v>
      </c>
      <c r="AM311" s="42">
        <f t="shared" si="99"/>
        <v>543.66451298630147</v>
      </c>
      <c r="AN311" s="43">
        <f t="shared" si="84"/>
        <v>548170.02</v>
      </c>
      <c r="AO311" s="43"/>
      <c r="AP311" s="42">
        <f t="shared" si="100"/>
        <v>91361.670000000042</v>
      </c>
      <c r="AQ311" s="43">
        <v>5</v>
      </c>
      <c r="AR311" s="44">
        <f t="shared" si="101"/>
        <v>0.8571428571428571</v>
      </c>
      <c r="AS311" s="45">
        <f t="shared" si="102"/>
        <v>1740.2222857142858</v>
      </c>
      <c r="AU311" s="1">
        <v>365446.68</v>
      </c>
      <c r="AV311" s="50">
        <v>182723.34</v>
      </c>
    </row>
    <row r="312" spans="1:48" s="1" customFormat="1" ht="37.200000000000003" thickTop="1" thickBot="1" x14ac:dyDescent="0.55000000000000004">
      <c r="A312" s="33">
        <v>305</v>
      </c>
      <c r="B312" s="34" t="s">
        <v>359</v>
      </c>
      <c r="C312" s="34" t="s">
        <v>965</v>
      </c>
      <c r="D312" s="35" t="s">
        <v>814</v>
      </c>
      <c r="E312" s="35" t="s">
        <v>966</v>
      </c>
      <c r="F312" s="36" t="s">
        <v>1269</v>
      </c>
      <c r="G312" s="36" t="s">
        <v>1420</v>
      </c>
      <c r="H312" s="36" t="s">
        <v>1421</v>
      </c>
      <c r="I312" s="36" t="s">
        <v>1421</v>
      </c>
      <c r="J312" s="36" t="s">
        <v>1421</v>
      </c>
      <c r="K312" s="36">
        <v>395.25</v>
      </c>
      <c r="L312" s="36" t="s">
        <v>1422</v>
      </c>
      <c r="M312" s="49">
        <v>4</v>
      </c>
      <c r="N312" s="37" t="s">
        <v>1727</v>
      </c>
      <c r="O312" s="37"/>
      <c r="P312" s="36">
        <v>1</v>
      </c>
      <c r="Q312" s="36" t="s">
        <v>1933</v>
      </c>
      <c r="R312" s="36" t="s">
        <v>2212</v>
      </c>
      <c r="S312" s="36" t="s">
        <v>1880</v>
      </c>
      <c r="T312" s="36" t="s">
        <v>1881</v>
      </c>
      <c r="U312" s="38">
        <v>45645</v>
      </c>
      <c r="V312" s="39">
        <v>902521.79</v>
      </c>
      <c r="W312" s="39" t="s">
        <v>2363</v>
      </c>
      <c r="X312" s="39" t="s">
        <v>2363</v>
      </c>
      <c r="Y312" s="40">
        <f t="shared" si="85"/>
        <v>45126.089500000002</v>
      </c>
      <c r="Z312" s="40">
        <f t="shared" si="86"/>
        <v>947647.87950000004</v>
      </c>
      <c r="AA312" s="41" t="str">
        <f t="shared" si="87"/>
        <v>0.0022</v>
      </c>
      <c r="AB312" s="41">
        <f t="shared" si="88"/>
        <v>0</v>
      </c>
      <c r="AC312" s="41">
        <f t="shared" si="89"/>
        <v>0</v>
      </c>
      <c r="AD312" s="41">
        <f t="shared" si="90"/>
        <v>0</v>
      </c>
      <c r="AE312" s="41">
        <f t="shared" si="91"/>
        <v>0</v>
      </c>
      <c r="AF312" s="41">
        <f t="shared" si="92"/>
        <v>0</v>
      </c>
      <c r="AG312" s="41">
        <f t="shared" si="93"/>
        <v>0</v>
      </c>
      <c r="AH312" s="41">
        <f t="shared" si="94"/>
        <v>0</v>
      </c>
      <c r="AI312" s="41">
        <f t="shared" si="95"/>
        <v>12</v>
      </c>
      <c r="AJ312" s="41">
        <f t="shared" si="96"/>
        <v>365</v>
      </c>
      <c r="AK312" s="41">
        <f t="shared" si="97"/>
        <v>181</v>
      </c>
      <c r="AL312" s="42">
        <f t="shared" si="98"/>
        <v>5.4398573643835624</v>
      </c>
      <c r="AM312" s="42">
        <f t="shared" si="99"/>
        <v>984.6141829534248</v>
      </c>
      <c r="AN312" s="43">
        <f t="shared" si="84"/>
        <v>812269.61999999988</v>
      </c>
      <c r="AO312" s="43"/>
      <c r="AP312" s="42">
        <f t="shared" si="100"/>
        <v>135378.25950000016</v>
      </c>
      <c r="AQ312" s="43">
        <v>5</v>
      </c>
      <c r="AR312" s="44">
        <f t="shared" si="101"/>
        <v>0.85714286664005546</v>
      </c>
      <c r="AS312" s="45">
        <f t="shared" si="102"/>
        <v>2283.4200885515497</v>
      </c>
      <c r="AU312" s="1">
        <v>541513.07999999996</v>
      </c>
      <c r="AV312" s="50">
        <v>270756.53999999998</v>
      </c>
    </row>
    <row r="313" spans="1:48" s="1" customFormat="1" ht="37.200000000000003" thickTop="1" thickBot="1" x14ac:dyDescent="0.55000000000000004">
      <c r="A313" s="33">
        <v>306</v>
      </c>
      <c r="B313" s="34" t="s">
        <v>360</v>
      </c>
      <c r="C313" s="34" t="s">
        <v>965</v>
      </c>
      <c r="D313" s="35" t="s">
        <v>815</v>
      </c>
      <c r="E313" s="35" t="s">
        <v>966</v>
      </c>
      <c r="F313" s="36" t="s">
        <v>1270</v>
      </c>
      <c r="G313" s="36" t="s">
        <v>1420</v>
      </c>
      <c r="H313" s="36" t="s">
        <v>1421</v>
      </c>
      <c r="I313" s="36" t="s">
        <v>1421</v>
      </c>
      <c r="J313" s="36" t="s">
        <v>1421</v>
      </c>
      <c r="K313" s="36">
        <v>439.89</v>
      </c>
      <c r="L313" s="36" t="s">
        <v>1422</v>
      </c>
      <c r="M313" s="49">
        <v>4</v>
      </c>
      <c r="N313" s="37" t="s">
        <v>1728</v>
      </c>
      <c r="O313" s="37"/>
      <c r="P313" s="36">
        <v>1</v>
      </c>
      <c r="Q313" s="36" t="s">
        <v>1941</v>
      </c>
      <c r="R313" s="36" t="s">
        <v>2213</v>
      </c>
      <c r="S313" s="36" t="s">
        <v>1880</v>
      </c>
      <c r="T313" s="36" t="s">
        <v>2071</v>
      </c>
      <c r="U313" s="38">
        <v>45645</v>
      </c>
      <c r="V313" s="39">
        <v>891304.75</v>
      </c>
      <c r="W313" s="39" t="s">
        <v>2363</v>
      </c>
      <c r="X313" s="39" t="s">
        <v>2363</v>
      </c>
      <c r="Y313" s="40">
        <f t="shared" si="85"/>
        <v>44565.237500000003</v>
      </c>
      <c r="Z313" s="40">
        <f t="shared" si="86"/>
        <v>935869.98750000005</v>
      </c>
      <c r="AA313" s="41" t="str">
        <f t="shared" si="87"/>
        <v>0.0022</v>
      </c>
      <c r="AB313" s="41">
        <f t="shared" si="88"/>
        <v>0</v>
      </c>
      <c r="AC313" s="41">
        <f t="shared" si="89"/>
        <v>0</v>
      </c>
      <c r="AD313" s="41">
        <f t="shared" si="90"/>
        <v>0</v>
      </c>
      <c r="AE313" s="41">
        <f t="shared" si="91"/>
        <v>0</v>
      </c>
      <c r="AF313" s="41">
        <f t="shared" si="92"/>
        <v>0</v>
      </c>
      <c r="AG313" s="41">
        <f t="shared" si="93"/>
        <v>0</v>
      </c>
      <c r="AH313" s="41">
        <f t="shared" si="94"/>
        <v>0</v>
      </c>
      <c r="AI313" s="41">
        <f t="shared" si="95"/>
        <v>12</v>
      </c>
      <c r="AJ313" s="41">
        <f t="shared" si="96"/>
        <v>365</v>
      </c>
      <c r="AK313" s="41">
        <f t="shared" si="97"/>
        <v>181</v>
      </c>
      <c r="AL313" s="42">
        <f t="shared" si="98"/>
        <v>5.3722478082191785</v>
      </c>
      <c r="AM313" s="42">
        <f t="shared" si="99"/>
        <v>972.37685328767134</v>
      </c>
      <c r="AN313" s="43">
        <f t="shared" si="84"/>
        <v>623913.32000000007</v>
      </c>
      <c r="AO313" s="43"/>
      <c r="AP313" s="42">
        <f t="shared" si="100"/>
        <v>311956.66749999998</v>
      </c>
      <c r="AQ313" s="43">
        <v>4</v>
      </c>
      <c r="AR313" s="44">
        <f t="shared" si="101"/>
        <v>0.66666666132404429</v>
      </c>
      <c r="AS313" s="45">
        <f t="shared" si="102"/>
        <v>2026.1991634272206</v>
      </c>
      <c r="AU313" s="1">
        <v>445652.37</v>
      </c>
      <c r="AV313" s="50">
        <v>178260.95</v>
      </c>
    </row>
    <row r="314" spans="1:48" s="1" customFormat="1" ht="37.200000000000003" thickTop="1" thickBot="1" x14ac:dyDescent="0.55000000000000004">
      <c r="A314" s="33">
        <v>307</v>
      </c>
      <c r="B314" s="34" t="s">
        <v>361</v>
      </c>
      <c r="C314" s="34" t="s">
        <v>965</v>
      </c>
      <c r="D314" s="35" t="s">
        <v>816</v>
      </c>
      <c r="E314" s="35" t="s">
        <v>966</v>
      </c>
      <c r="F314" s="36" t="s">
        <v>1271</v>
      </c>
      <c r="G314" s="36" t="s">
        <v>1420</v>
      </c>
      <c r="H314" s="36" t="s">
        <v>1421</v>
      </c>
      <c r="I314" s="36" t="s">
        <v>1421</v>
      </c>
      <c r="J314" s="36" t="s">
        <v>1421</v>
      </c>
      <c r="K314" s="36">
        <v>350</v>
      </c>
      <c r="L314" s="36" t="s">
        <v>1422</v>
      </c>
      <c r="M314" s="49">
        <v>4</v>
      </c>
      <c r="N314" s="37" t="s">
        <v>1729</v>
      </c>
      <c r="O314" s="37"/>
      <c r="P314" s="36">
        <v>1</v>
      </c>
      <c r="Q314" s="36" t="s">
        <v>1937</v>
      </c>
      <c r="R314" s="36" t="s">
        <v>2214</v>
      </c>
      <c r="S314" s="36" t="s">
        <v>1880</v>
      </c>
      <c r="T314" s="36" t="s">
        <v>1881</v>
      </c>
      <c r="U314" s="38">
        <v>45645</v>
      </c>
      <c r="V314" s="39">
        <v>609077.80000000005</v>
      </c>
      <c r="W314" s="39" t="s">
        <v>2363</v>
      </c>
      <c r="X314" s="39" t="s">
        <v>2363</v>
      </c>
      <c r="Y314" s="40">
        <f t="shared" si="85"/>
        <v>30453.89</v>
      </c>
      <c r="Z314" s="40">
        <f t="shared" si="86"/>
        <v>639531.69000000006</v>
      </c>
      <c r="AA314" s="41" t="str">
        <f t="shared" si="87"/>
        <v>0.0018</v>
      </c>
      <c r="AB314" s="41">
        <f t="shared" si="88"/>
        <v>0</v>
      </c>
      <c r="AC314" s="41">
        <f t="shared" si="89"/>
        <v>0</v>
      </c>
      <c r="AD314" s="41">
        <f t="shared" si="90"/>
        <v>0</v>
      </c>
      <c r="AE314" s="41">
        <f t="shared" si="91"/>
        <v>0</v>
      </c>
      <c r="AF314" s="41">
        <f t="shared" si="92"/>
        <v>0</v>
      </c>
      <c r="AG314" s="41">
        <f t="shared" si="93"/>
        <v>0</v>
      </c>
      <c r="AH314" s="41">
        <f t="shared" si="94"/>
        <v>0</v>
      </c>
      <c r="AI314" s="41">
        <f t="shared" si="95"/>
        <v>12</v>
      </c>
      <c r="AJ314" s="41">
        <f t="shared" si="96"/>
        <v>365</v>
      </c>
      <c r="AK314" s="41">
        <f t="shared" si="97"/>
        <v>181</v>
      </c>
      <c r="AL314" s="42">
        <f t="shared" si="98"/>
        <v>3.0036713424657537</v>
      </c>
      <c r="AM314" s="42">
        <f t="shared" si="99"/>
        <v>543.66451298630147</v>
      </c>
      <c r="AN314" s="43">
        <f t="shared" si="84"/>
        <v>548170.02</v>
      </c>
      <c r="AO314" s="43"/>
      <c r="AP314" s="42">
        <f t="shared" si="100"/>
        <v>91361.670000000042</v>
      </c>
      <c r="AQ314" s="43">
        <v>5</v>
      </c>
      <c r="AR314" s="44">
        <f t="shared" si="101"/>
        <v>0.8571428571428571</v>
      </c>
      <c r="AS314" s="45">
        <f t="shared" si="102"/>
        <v>1740.2222857142858</v>
      </c>
      <c r="AU314" s="1">
        <v>365446.68</v>
      </c>
      <c r="AV314" s="50">
        <v>182723.34</v>
      </c>
    </row>
    <row r="315" spans="1:48" s="1" customFormat="1" ht="37.200000000000003" thickTop="1" thickBot="1" x14ac:dyDescent="0.55000000000000004">
      <c r="A315" s="33">
        <v>308</v>
      </c>
      <c r="B315" s="34" t="s">
        <v>362</v>
      </c>
      <c r="C315" s="34" t="s">
        <v>965</v>
      </c>
      <c r="D315" s="35" t="s">
        <v>817</v>
      </c>
      <c r="E315" s="35" t="s">
        <v>966</v>
      </c>
      <c r="F315" s="36" t="s">
        <v>1272</v>
      </c>
      <c r="G315" s="36" t="s">
        <v>1420</v>
      </c>
      <c r="H315" s="36" t="s">
        <v>1421</v>
      </c>
      <c r="I315" s="36" t="s">
        <v>1421</v>
      </c>
      <c r="J315" s="36" t="s">
        <v>1421</v>
      </c>
      <c r="K315" s="36">
        <v>375</v>
      </c>
      <c r="L315" s="36" t="s">
        <v>1422</v>
      </c>
      <c r="M315" s="49">
        <v>4</v>
      </c>
      <c r="N315" s="37" t="s">
        <v>1730</v>
      </c>
      <c r="O315" s="37"/>
      <c r="P315" s="36">
        <v>1</v>
      </c>
      <c r="Q315" s="36" t="s">
        <v>1935</v>
      </c>
      <c r="R315" s="36" t="s">
        <v>2215</v>
      </c>
      <c r="S315" s="36" t="s">
        <v>1880</v>
      </c>
      <c r="T315" s="36" t="s">
        <v>1901</v>
      </c>
      <c r="U315" s="38">
        <v>45648</v>
      </c>
      <c r="V315" s="39">
        <v>612876.64</v>
      </c>
      <c r="W315" s="39" t="s">
        <v>2363</v>
      </c>
      <c r="X315" s="39" t="s">
        <v>2363</v>
      </c>
      <c r="Y315" s="40">
        <f t="shared" si="85"/>
        <v>30643.832000000002</v>
      </c>
      <c r="Z315" s="40">
        <f t="shared" si="86"/>
        <v>643520.47200000007</v>
      </c>
      <c r="AA315" s="41" t="str">
        <f t="shared" si="87"/>
        <v>0.0018</v>
      </c>
      <c r="AB315" s="41">
        <f t="shared" si="88"/>
        <v>0</v>
      </c>
      <c r="AC315" s="41">
        <f t="shared" si="89"/>
        <v>0</v>
      </c>
      <c r="AD315" s="41">
        <f t="shared" si="90"/>
        <v>0</v>
      </c>
      <c r="AE315" s="41">
        <f t="shared" si="91"/>
        <v>0</v>
      </c>
      <c r="AF315" s="41">
        <f t="shared" si="92"/>
        <v>0</v>
      </c>
      <c r="AG315" s="41">
        <f t="shared" si="93"/>
        <v>0</v>
      </c>
      <c r="AH315" s="41">
        <f t="shared" si="94"/>
        <v>0</v>
      </c>
      <c r="AI315" s="41">
        <f t="shared" si="95"/>
        <v>9</v>
      </c>
      <c r="AJ315" s="41">
        <f t="shared" si="96"/>
        <v>365</v>
      </c>
      <c r="AK315" s="41">
        <f t="shared" si="97"/>
        <v>181</v>
      </c>
      <c r="AL315" s="42">
        <f t="shared" si="98"/>
        <v>3.0224053479452055</v>
      </c>
      <c r="AM315" s="42">
        <f t="shared" si="99"/>
        <v>547.05536797808224</v>
      </c>
      <c r="AN315" s="43">
        <f t="shared" si="84"/>
        <v>551589.09</v>
      </c>
      <c r="AO315" s="43"/>
      <c r="AP315" s="42">
        <f t="shared" si="100"/>
        <v>91931.3820000001</v>
      </c>
      <c r="AQ315" s="43">
        <v>5</v>
      </c>
      <c r="AR315" s="44">
        <f t="shared" si="101"/>
        <v>0.85714303429339833</v>
      </c>
      <c r="AS315" s="45">
        <f t="shared" si="102"/>
        <v>1634.3377066666667</v>
      </c>
      <c r="AU315" s="1">
        <v>367725.99</v>
      </c>
      <c r="AV315" s="50">
        <v>183863.1</v>
      </c>
    </row>
    <row r="316" spans="1:48" s="1" customFormat="1" ht="37.200000000000003" thickTop="1" thickBot="1" x14ac:dyDescent="0.55000000000000004">
      <c r="A316" s="33">
        <v>309</v>
      </c>
      <c r="B316" s="34" t="s">
        <v>363</v>
      </c>
      <c r="C316" s="34" t="s">
        <v>965</v>
      </c>
      <c r="D316" s="35" t="s">
        <v>818</v>
      </c>
      <c r="E316" s="35" t="s">
        <v>966</v>
      </c>
      <c r="F316" s="36" t="s">
        <v>1273</v>
      </c>
      <c r="G316" s="36" t="s">
        <v>1420</v>
      </c>
      <c r="H316" s="36" t="s">
        <v>1421</v>
      </c>
      <c r="I316" s="36" t="s">
        <v>1421</v>
      </c>
      <c r="J316" s="36" t="s">
        <v>1421</v>
      </c>
      <c r="K316" s="36">
        <v>375</v>
      </c>
      <c r="L316" s="36" t="s">
        <v>1422</v>
      </c>
      <c r="M316" s="49">
        <v>4</v>
      </c>
      <c r="N316" s="37" t="s">
        <v>1731</v>
      </c>
      <c r="O316" s="37"/>
      <c r="P316" s="36">
        <v>1</v>
      </c>
      <c r="Q316" s="36" t="s">
        <v>2032</v>
      </c>
      <c r="R316" s="36" t="s">
        <v>2216</v>
      </c>
      <c r="S316" s="36" t="s">
        <v>1880</v>
      </c>
      <c r="T316" s="36" t="s">
        <v>1883</v>
      </c>
      <c r="U316" s="38">
        <v>45648</v>
      </c>
      <c r="V316" s="39">
        <v>589349</v>
      </c>
      <c r="W316" s="39" t="s">
        <v>2363</v>
      </c>
      <c r="X316" s="39" t="s">
        <v>2363</v>
      </c>
      <c r="Y316" s="40">
        <f t="shared" si="85"/>
        <v>29467.45</v>
      </c>
      <c r="Z316" s="40">
        <f t="shared" si="86"/>
        <v>618816.44999999995</v>
      </c>
      <c r="AA316" s="41" t="str">
        <f t="shared" si="87"/>
        <v>0.0018</v>
      </c>
      <c r="AB316" s="41">
        <f t="shared" si="88"/>
        <v>0</v>
      </c>
      <c r="AC316" s="41">
        <f t="shared" si="89"/>
        <v>0</v>
      </c>
      <c r="AD316" s="41">
        <f t="shared" si="90"/>
        <v>0</v>
      </c>
      <c r="AE316" s="41">
        <f t="shared" si="91"/>
        <v>0</v>
      </c>
      <c r="AF316" s="41">
        <f t="shared" si="92"/>
        <v>0</v>
      </c>
      <c r="AG316" s="41">
        <f t="shared" si="93"/>
        <v>0</v>
      </c>
      <c r="AH316" s="41">
        <f t="shared" si="94"/>
        <v>0</v>
      </c>
      <c r="AI316" s="41">
        <f t="shared" si="95"/>
        <v>9</v>
      </c>
      <c r="AJ316" s="41">
        <f t="shared" si="96"/>
        <v>365</v>
      </c>
      <c r="AK316" s="41">
        <f t="shared" si="97"/>
        <v>181</v>
      </c>
      <c r="AL316" s="42">
        <f t="shared" si="98"/>
        <v>2.9063786301369863</v>
      </c>
      <c r="AM316" s="42">
        <f t="shared" si="99"/>
        <v>526.05453205479455</v>
      </c>
      <c r="AN316" s="43">
        <f t="shared" si="84"/>
        <v>500946.65</v>
      </c>
      <c r="AO316" s="43"/>
      <c r="AP316" s="42">
        <f t="shared" si="100"/>
        <v>117869.79999999993</v>
      </c>
      <c r="AQ316" s="43">
        <v>5</v>
      </c>
      <c r="AR316" s="44">
        <f t="shared" si="101"/>
        <v>0.80952380952380965</v>
      </c>
      <c r="AS316" s="45">
        <f t="shared" si="102"/>
        <v>1571.5973333333334</v>
      </c>
      <c r="AU316" s="1">
        <v>412544.3</v>
      </c>
      <c r="AV316" s="50">
        <v>88402.35</v>
      </c>
    </row>
    <row r="317" spans="1:48" s="1" customFormat="1" ht="37.200000000000003" thickTop="1" thickBot="1" x14ac:dyDescent="0.55000000000000004">
      <c r="A317" s="33">
        <v>310</v>
      </c>
      <c r="B317" s="34" t="s">
        <v>364</v>
      </c>
      <c r="C317" s="34" t="s">
        <v>965</v>
      </c>
      <c r="D317" s="35" t="s">
        <v>819</v>
      </c>
      <c r="E317" s="35" t="s">
        <v>966</v>
      </c>
      <c r="F317" s="36" t="s">
        <v>1274</v>
      </c>
      <c r="G317" s="36" t="s">
        <v>1420</v>
      </c>
      <c r="H317" s="36" t="s">
        <v>1421</v>
      </c>
      <c r="I317" s="36" t="s">
        <v>1421</v>
      </c>
      <c r="J317" s="36" t="s">
        <v>1421</v>
      </c>
      <c r="K317" s="36">
        <v>349.96</v>
      </c>
      <c r="L317" s="36" t="s">
        <v>1422</v>
      </c>
      <c r="M317" s="49">
        <v>4</v>
      </c>
      <c r="N317" s="37" t="s">
        <v>1732</v>
      </c>
      <c r="O317" s="37"/>
      <c r="P317" s="36">
        <v>1</v>
      </c>
      <c r="Q317" s="36" t="s">
        <v>1972</v>
      </c>
      <c r="R317" s="36" t="s">
        <v>2217</v>
      </c>
      <c r="S317" s="36" t="s">
        <v>1880</v>
      </c>
      <c r="T317" s="36" t="s">
        <v>1883</v>
      </c>
      <c r="U317" s="38">
        <v>45648</v>
      </c>
      <c r="V317" s="39">
        <v>624026.73</v>
      </c>
      <c r="W317" s="39" t="s">
        <v>2363</v>
      </c>
      <c r="X317" s="39" t="s">
        <v>2363</v>
      </c>
      <c r="Y317" s="40">
        <f t="shared" si="85"/>
        <v>31201.336499999998</v>
      </c>
      <c r="Z317" s="40">
        <f t="shared" si="86"/>
        <v>655228.06649999996</v>
      </c>
      <c r="AA317" s="41" t="str">
        <f t="shared" si="87"/>
        <v>0.0018</v>
      </c>
      <c r="AB317" s="41">
        <f t="shared" si="88"/>
        <v>0</v>
      </c>
      <c r="AC317" s="41">
        <f t="shared" si="89"/>
        <v>0</v>
      </c>
      <c r="AD317" s="41">
        <f t="shared" si="90"/>
        <v>0</v>
      </c>
      <c r="AE317" s="41">
        <f t="shared" si="91"/>
        <v>0</v>
      </c>
      <c r="AF317" s="41">
        <f t="shared" si="92"/>
        <v>0</v>
      </c>
      <c r="AG317" s="41">
        <f t="shared" si="93"/>
        <v>0</v>
      </c>
      <c r="AH317" s="41">
        <f t="shared" si="94"/>
        <v>0</v>
      </c>
      <c r="AI317" s="41">
        <f t="shared" si="95"/>
        <v>9</v>
      </c>
      <c r="AJ317" s="41">
        <f t="shared" si="96"/>
        <v>365</v>
      </c>
      <c r="AK317" s="41">
        <f t="shared" si="97"/>
        <v>181</v>
      </c>
      <c r="AL317" s="42">
        <f t="shared" si="98"/>
        <v>3.0773920931506851</v>
      </c>
      <c r="AM317" s="42">
        <f t="shared" si="99"/>
        <v>557.00796886027399</v>
      </c>
      <c r="AN317" s="43">
        <f t="shared" si="84"/>
        <v>530422.87</v>
      </c>
      <c r="AO317" s="43"/>
      <c r="AP317" s="42">
        <f t="shared" si="100"/>
        <v>124805.19649999996</v>
      </c>
      <c r="AQ317" s="43">
        <v>5</v>
      </c>
      <c r="AR317" s="44">
        <f t="shared" si="101"/>
        <v>0.8095240376886389</v>
      </c>
      <c r="AS317" s="45">
        <f t="shared" si="102"/>
        <v>1783.137301405875</v>
      </c>
      <c r="AU317" s="1">
        <v>436818.81999999995</v>
      </c>
      <c r="AV317" s="50">
        <v>93604.05</v>
      </c>
    </row>
    <row r="318" spans="1:48" s="1" customFormat="1" ht="37.200000000000003" thickTop="1" thickBot="1" x14ac:dyDescent="0.55000000000000004">
      <c r="A318" s="33">
        <v>311</v>
      </c>
      <c r="B318" s="34" t="s">
        <v>365</v>
      </c>
      <c r="C318" s="34" t="s">
        <v>965</v>
      </c>
      <c r="D318" s="35" t="s">
        <v>820</v>
      </c>
      <c r="E318" s="35" t="s">
        <v>966</v>
      </c>
      <c r="F318" s="36" t="s">
        <v>1275</v>
      </c>
      <c r="G318" s="36" t="s">
        <v>1420</v>
      </c>
      <c r="H318" s="36" t="s">
        <v>1421</v>
      </c>
      <c r="I318" s="36" t="s">
        <v>1421</v>
      </c>
      <c r="J318" s="36" t="s">
        <v>1421</v>
      </c>
      <c r="K318" s="36">
        <v>350</v>
      </c>
      <c r="L318" s="36" t="s">
        <v>1422</v>
      </c>
      <c r="M318" s="49">
        <v>4</v>
      </c>
      <c r="N318" s="37" t="s">
        <v>1733</v>
      </c>
      <c r="O318" s="37"/>
      <c r="P318" s="36">
        <v>1</v>
      </c>
      <c r="Q318" s="36" t="s">
        <v>1937</v>
      </c>
      <c r="R318" s="36" t="s">
        <v>2218</v>
      </c>
      <c r="S318" s="36" t="s">
        <v>1880</v>
      </c>
      <c r="T318" s="36" t="s">
        <v>1881</v>
      </c>
      <c r="U318" s="38">
        <v>45648</v>
      </c>
      <c r="V318" s="39">
        <v>609077.80000000005</v>
      </c>
      <c r="W318" s="39" t="s">
        <v>2363</v>
      </c>
      <c r="X318" s="39" t="s">
        <v>2363</v>
      </c>
      <c r="Y318" s="40">
        <f t="shared" si="85"/>
        <v>30453.89</v>
      </c>
      <c r="Z318" s="40">
        <f t="shared" si="86"/>
        <v>639531.69000000006</v>
      </c>
      <c r="AA318" s="41" t="str">
        <f t="shared" si="87"/>
        <v>0.0018</v>
      </c>
      <c r="AB318" s="41">
        <f t="shared" si="88"/>
        <v>0</v>
      </c>
      <c r="AC318" s="41">
        <f t="shared" si="89"/>
        <v>0</v>
      </c>
      <c r="AD318" s="41">
        <f t="shared" si="90"/>
        <v>0</v>
      </c>
      <c r="AE318" s="41">
        <f t="shared" si="91"/>
        <v>0</v>
      </c>
      <c r="AF318" s="41">
        <f t="shared" si="92"/>
        <v>0</v>
      </c>
      <c r="AG318" s="41">
        <f t="shared" si="93"/>
        <v>0</v>
      </c>
      <c r="AH318" s="41">
        <f t="shared" si="94"/>
        <v>0</v>
      </c>
      <c r="AI318" s="41">
        <f t="shared" si="95"/>
        <v>9</v>
      </c>
      <c r="AJ318" s="41">
        <f t="shared" si="96"/>
        <v>365</v>
      </c>
      <c r="AK318" s="41">
        <f t="shared" si="97"/>
        <v>181</v>
      </c>
      <c r="AL318" s="42">
        <f t="shared" si="98"/>
        <v>3.0036713424657537</v>
      </c>
      <c r="AM318" s="42">
        <f t="shared" si="99"/>
        <v>543.66451298630147</v>
      </c>
      <c r="AN318" s="43">
        <f t="shared" si="84"/>
        <v>548170.02</v>
      </c>
      <c r="AO318" s="43"/>
      <c r="AP318" s="42">
        <f t="shared" si="100"/>
        <v>91361.670000000042</v>
      </c>
      <c r="AQ318" s="43">
        <v>5</v>
      </c>
      <c r="AR318" s="44">
        <f t="shared" si="101"/>
        <v>0.8571428571428571</v>
      </c>
      <c r="AS318" s="45">
        <f t="shared" si="102"/>
        <v>1740.2222857142858</v>
      </c>
      <c r="AU318" s="1">
        <v>365446.68</v>
      </c>
      <c r="AV318" s="50">
        <v>182723.34</v>
      </c>
    </row>
    <row r="319" spans="1:48" s="1" customFormat="1" ht="37.200000000000003" thickTop="1" thickBot="1" x14ac:dyDescent="0.55000000000000004">
      <c r="A319" s="33">
        <v>312</v>
      </c>
      <c r="B319" s="34" t="s">
        <v>366</v>
      </c>
      <c r="C319" s="34" t="s">
        <v>965</v>
      </c>
      <c r="D319" s="35" t="s">
        <v>821</v>
      </c>
      <c r="E319" s="35" t="s">
        <v>966</v>
      </c>
      <c r="F319" s="36" t="s">
        <v>1276</v>
      </c>
      <c r="G319" s="36" t="s">
        <v>1420</v>
      </c>
      <c r="H319" s="36" t="s">
        <v>1421</v>
      </c>
      <c r="I319" s="36" t="s">
        <v>1421</v>
      </c>
      <c r="J319" s="36" t="s">
        <v>1421</v>
      </c>
      <c r="K319" s="36">
        <v>341.98</v>
      </c>
      <c r="L319" s="36" t="s">
        <v>1422</v>
      </c>
      <c r="M319" s="49">
        <v>4</v>
      </c>
      <c r="N319" s="37" t="s">
        <v>1734</v>
      </c>
      <c r="O319" s="37"/>
      <c r="P319" s="36">
        <v>1</v>
      </c>
      <c r="Q319" s="36" t="s">
        <v>1995</v>
      </c>
      <c r="R319" s="36" t="s">
        <v>2219</v>
      </c>
      <c r="S319" s="36" t="s">
        <v>1880</v>
      </c>
      <c r="T319" s="36" t="s">
        <v>1991</v>
      </c>
      <c r="U319" s="38">
        <v>45648</v>
      </c>
      <c r="V319" s="39">
        <v>817608.25</v>
      </c>
      <c r="W319" s="39" t="s">
        <v>2363</v>
      </c>
      <c r="X319" s="39" t="s">
        <v>2363</v>
      </c>
      <c r="Y319" s="40">
        <f t="shared" si="85"/>
        <v>40880.412499999999</v>
      </c>
      <c r="Z319" s="40">
        <f t="shared" si="86"/>
        <v>858488.66249999998</v>
      </c>
      <c r="AA319" s="41" t="str">
        <f t="shared" si="87"/>
        <v>0.0022</v>
      </c>
      <c r="AB319" s="41">
        <f t="shared" si="88"/>
        <v>0</v>
      </c>
      <c r="AC319" s="41">
        <f t="shared" si="89"/>
        <v>0</v>
      </c>
      <c r="AD319" s="41">
        <f t="shared" si="90"/>
        <v>0</v>
      </c>
      <c r="AE319" s="41">
        <f t="shared" si="91"/>
        <v>0</v>
      </c>
      <c r="AF319" s="41">
        <f t="shared" si="92"/>
        <v>0</v>
      </c>
      <c r="AG319" s="41">
        <f t="shared" si="93"/>
        <v>0</v>
      </c>
      <c r="AH319" s="41">
        <f t="shared" si="94"/>
        <v>0</v>
      </c>
      <c r="AI319" s="41">
        <f t="shared" si="95"/>
        <v>9</v>
      </c>
      <c r="AJ319" s="41">
        <f t="shared" si="96"/>
        <v>365</v>
      </c>
      <c r="AK319" s="41">
        <f t="shared" si="97"/>
        <v>181</v>
      </c>
      <c r="AL319" s="42">
        <f t="shared" si="98"/>
        <v>4.9280497260273979</v>
      </c>
      <c r="AM319" s="42">
        <f t="shared" si="99"/>
        <v>891.97700041095902</v>
      </c>
      <c r="AN319" s="43">
        <f t="shared" si="84"/>
        <v>776727.75</v>
      </c>
      <c r="AO319" s="43"/>
      <c r="AP319" s="42">
        <f t="shared" si="100"/>
        <v>81760.912499999977</v>
      </c>
      <c r="AQ319" s="43">
        <v>6</v>
      </c>
      <c r="AR319" s="44">
        <f t="shared" si="101"/>
        <v>0.90476180283860186</v>
      </c>
      <c r="AS319" s="45">
        <f t="shared" si="102"/>
        <v>2390.8072109480086</v>
      </c>
      <c r="AU319" s="1">
        <v>735847.35</v>
      </c>
      <c r="AV319" s="50">
        <v>40880.400000000001</v>
      </c>
    </row>
    <row r="320" spans="1:48" s="1" customFormat="1" ht="37.200000000000003" thickTop="1" thickBot="1" x14ac:dyDescent="0.55000000000000004">
      <c r="A320" s="33">
        <v>313</v>
      </c>
      <c r="B320" s="34" t="s">
        <v>367</v>
      </c>
      <c r="C320" s="34" t="s">
        <v>965</v>
      </c>
      <c r="D320" s="35" t="s">
        <v>822</v>
      </c>
      <c r="E320" s="35" t="s">
        <v>966</v>
      </c>
      <c r="F320" s="36" t="s">
        <v>1277</v>
      </c>
      <c r="G320" s="36" t="s">
        <v>1420</v>
      </c>
      <c r="H320" s="36" t="s">
        <v>1421</v>
      </c>
      <c r="I320" s="36" t="s">
        <v>1421</v>
      </c>
      <c r="J320" s="36" t="s">
        <v>1421</v>
      </c>
      <c r="K320" s="36">
        <v>375</v>
      </c>
      <c r="L320" s="36" t="s">
        <v>1422</v>
      </c>
      <c r="M320" s="49">
        <v>4</v>
      </c>
      <c r="N320" s="37" t="s">
        <v>1735</v>
      </c>
      <c r="O320" s="37"/>
      <c r="P320" s="36">
        <v>1</v>
      </c>
      <c r="Q320" s="36" t="s">
        <v>1931</v>
      </c>
      <c r="R320" s="36" t="s">
        <v>2220</v>
      </c>
      <c r="S320" s="36" t="s">
        <v>1880</v>
      </c>
      <c r="T320" s="36" t="s">
        <v>1883</v>
      </c>
      <c r="U320" s="38">
        <v>45648</v>
      </c>
      <c r="V320" s="39">
        <v>612876.64</v>
      </c>
      <c r="W320" s="39" t="s">
        <v>2363</v>
      </c>
      <c r="X320" s="39" t="s">
        <v>2363</v>
      </c>
      <c r="Y320" s="40">
        <f t="shared" si="85"/>
        <v>30643.832000000002</v>
      </c>
      <c r="Z320" s="40">
        <f t="shared" si="86"/>
        <v>643520.47200000007</v>
      </c>
      <c r="AA320" s="41" t="str">
        <f t="shared" si="87"/>
        <v>0.0018</v>
      </c>
      <c r="AB320" s="41">
        <f t="shared" si="88"/>
        <v>0</v>
      </c>
      <c r="AC320" s="41">
        <f t="shared" si="89"/>
        <v>0</v>
      </c>
      <c r="AD320" s="41">
        <f t="shared" si="90"/>
        <v>0</v>
      </c>
      <c r="AE320" s="41">
        <f t="shared" si="91"/>
        <v>0</v>
      </c>
      <c r="AF320" s="41">
        <f t="shared" si="92"/>
        <v>0</v>
      </c>
      <c r="AG320" s="41">
        <f t="shared" si="93"/>
        <v>0</v>
      </c>
      <c r="AH320" s="41">
        <f t="shared" si="94"/>
        <v>0</v>
      </c>
      <c r="AI320" s="41">
        <f t="shared" si="95"/>
        <v>9</v>
      </c>
      <c r="AJ320" s="41">
        <f t="shared" si="96"/>
        <v>365</v>
      </c>
      <c r="AK320" s="41">
        <f t="shared" si="97"/>
        <v>181</v>
      </c>
      <c r="AL320" s="42">
        <f t="shared" si="98"/>
        <v>3.0224053479452055</v>
      </c>
      <c r="AM320" s="42">
        <f t="shared" si="99"/>
        <v>547.05536797808224</v>
      </c>
      <c r="AN320" s="43">
        <f t="shared" si="84"/>
        <v>520945.35000000003</v>
      </c>
      <c r="AO320" s="43"/>
      <c r="AP320" s="42">
        <f t="shared" si="100"/>
        <v>122575.12200000003</v>
      </c>
      <c r="AQ320" s="43">
        <v>5</v>
      </c>
      <c r="AR320" s="44">
        <f t="shared" si="101"/>
        <v>0.80952412963794562</v>
      </c>
      <c r="AS320" s="45">
        <f t="shared" si="102"/>
        <v>1634.3377066666667</v>
      </c>
      <c r="AU320" s="1">
        <v>429013.80000000005</v>
      </c>
      <c r="AV320" s="50">
        <v>91931.55</v>
      </c>
    </row>
    <row r="321" spans="1:48" s="1" customFormat="1" ht="37.200000000000003" thickTop="1" thickBot="1" x14ac:dyDescent="0.55000000000000004">
      <c r="A321" s="33">
        <v>314</v>
      </c>
      <c r="B321" s="34" t="s">
        <v>368</v>
      </c>
      <c r="C321" s="34" t="s">
        <v>965</v>
      </c>
      <c r="D321" s="35" t="s">
        <v>823</v>
      </c>
      <c r="E321" s="35" t="s">
        <v>966</v>
      </c>
      <c r="F321" s="36" t="s">
        <v>1278</v>
      </c>
      <c r="G321" s="36" t="s">
        <v>1420</v>
      </c>
      <c r="H321" s="36" t="s">
        <v>1421</v>
      </c>
      <c r="I321" s="36" t="s">
        <v>1421</v>
      </c>
      <c r="J321" s="36" t="s">
        <v>1421</v>
      </c>
      <c r="K321" s="36">
        <v>350</v>
      </c>
      <c r="L321" s="36" t="s">
        <v>1422</v>
      </c>
      <c r="M321" s="49">
        <v>4</v>
      </c>
      <c r="N321" s="37" t="s">
        <v>1736</v>
      </c>
      <c r="O321" s="37"/>
      <c r="P321" s="36">
        <v>1</v>
      </c>
      <c r="Q321" s="36" t="s">
        <v>1995</v>
      </c>
      <c r="R321" s="36" t="s">
        <v>2221</v>
      </c>
      <c r="S321" s="36" t="s">
        <v>1880</v>
      </c>
      <c r="T321" s="36" t="s">
        <v>1883</v>
      </c>
      <c r="U321" s="38">
        <v>45648</v>
      </c>
      <c r="V321" s="39">
        <v>673474</v>
      </c>
      <c r="W321" s="39" t="s">
        <v>2363</v>
      </c>
      <c r="X321" s="39" t="s">
        <v>2363</v>
      </c>
      <c r="Y321" s="40">
        <f t="shared" si="85"/>
        <v>33673.699999999997</v>
      </c>
      <c r="Z321" s="40">
        <f t="shared" si="86"/>
        <v>707147.7</v>
      </c>
      <c r="AA321" s="41" t="str">
        <f t="shared" si="87"/>
        <v>0.0018</v>
      </c>
      <c r="AB321" s="41">
        <f t="shared" si="88"/>
        <v>0</v>
      </c>
      <c r="AC321" s="41">
        <f t="shared" si="89"/>
        <v>0</v>
      </c>
      <c r="AD321" s="41">
        <f t="shared" si="90"/>
        <v>0</v>
      </c>
      <c r="AE321" s="41">
        <f t="shared" si="91"/>
        <v>0</v>
      </c>
      <c r="AF321" s="41">
        <f t="shared" si="92"/>
        <v>0</v>
      </c>
      <c r="AG321" s="41">
        <f t="shared" si="93"/>
        <v>0</v>
      </c>
      <c r="AH321" s="41">
        <f t="shared" si="94"/>
        <v>0</v>
      </c>
      <c r="AI321" s="41">
        <f t="shared" si="95"/>
        <v>9</v>
      </c>
      <c r="AJ321" s="41">
        <f t="shared" si="96"/>
        <v>365</v>
      </c>
      <c r="AK321" s="41">
        <f t="shared" si="97"/>
        <v>181</v>
      </c>
      <c r="AL321" s="42">
        <f t="shared" si="98"/>
        <v>3.321241643835616</v>
      </c>
      <c r="AM321" s="42">
        <f t="shared" si="99"/>
        <v>601.14473753424647</v>
      </c>
      <c r="AN321" s="43">
        <f t="shared" si="84"/>
        <v>639800.29999999993</v>
      </c>
      <c r="AO321" s="43"/>
      <c r="AP321" s="42">
        <f t="shared" si="100"/>
        <v>67347.400000000023</v>
      </c>
      <c r="AQ321" s="43">
        <v>6</v>
      </c>
      <c r="AR321" s="44">
        <f t="shared" si="101"/>
        <v>0.90476190476190477</v>
      </c>
      <c r="AS321" s="45">
        <f t="shared" si="102"/>
        <v>1924.2114285714285</v>
      </c>
      <c r="AU321" s="1">
        <v>606126.6</v>
      </c>
      <c r="AV321" s="50">
        <v>33673.699999999997</v>
      </c>
    </row>
    <row r="322" spans="1:48" s="1" customFormat="1" ht="37.200000000000003" thickTop="1" thickBot="1" x14ac:dyDescent="0.55000000000000004">
      <c r="A322" s="33">
        <v>315</v>
      </c>
      <c r="B322" s="34" t="s">
        <v>369</v>
      </c>
      <c r="C322" s="34" t="s">
        <v>965</v>
      </c>
      <c r="D322" s="35" t="s">
        <v>824</v>
      </c>
      <c r="E322" s="35" t="s">
        <v>966</v>
      </c>
      <c r="F322" s="36" t="s">
        <v>1279</v>
      </c>
      <c r="G322" s="36" t="s">
        <v>1420</v>
      </c>
      <c r="H322" s="36" t="s">
        <v>1421</v>
      </c>
      <c r="I322" s="36" t="s">
        <v>1421</v>
      </c>
      <c r="J322" s="36" t="s">
        <v>1421</v>
      </c>
      <c r="K322" s="36">
        <v>375</v>
      </c>
      <c r="L322" s="36" t="s">
        <v>1422</v>
      </c>
      <c r="M322" s="49">
        <v>4</v>
      </c>
      <c r="N322" s="37" t="s">
        <v>1737</v>
      </c>
      <c r="O322" s="37"/>
      <c r="P322" s="36">
        <v>1</v>
      </c>
      <c r="Q322" s="36" t="s">
        <v>1935</v>
      </c>
      <c r="R322" s="36" t="s">
        <v>2222</v>
      </c>
      <c r="S322" s="36" t="s">
        <v>1880</v>
      </c>
      <c r="T322" s="36" t="s">
        <v>1881</v>
      </c>
      <c r="U322" s="38">
        <v>45648</v>
      </c>
      <c r="V322" s="39">
        <v>612876.64</v>
      </c>
      <c r="W322" s="39" t="s">
        <v>2363</v>
      </c>
      <c r="X322" s="39" t="s">
        <v>2363</v>
      </c>
      <c r="Y322" s="40">
        <f t="shared" si="85"/>
        <v>30643.832000000002</v>
      </c>
      <c r="Z322" s="40">
        <f t="shared" si="86"/>
        <v>643520.47200000007</v>
      </c>
      <c r="AA322" s="41" t="str">
        <f t="shared" si="87"/>
        <v>0.0018</v>
      </c>
      <c r="AB322" s="41">
        <f t="shared" si="88"/>
        <v>0</v>
      </c>
      <c r="AC322" s="41">
        <f t="shared" si="89"/>
        <v>0</v>
      </c>
      <c r="AD322" s="41">
        <f t="shared" si="90"/>
        <v>0</v>
      </c>
      <c r="AE322" s="41">
        <f t="shared" si="91"/>
        <v>0</v>
      </c>
      <c r="AF322" s="41">
        <f t="shared" si="92"/>
        <v>0</v>
      </c>
      <c r="AG322" s="41">
        <f t="shared" si="93"/>
        <v>0</v>
      </c>
      <c r="AH322" s="41">
        <f t="shared" si="94"/>
        <v>0</v>
      </c>
      <c r="AI322" s="41">
        <f t="shared" si="95"/>
        <v>9</v>
      </c>
      <c r="AJ322" s="41">
        <f t="shared" si="96"/>
        <v>365</v>
      </c>
      <c r="AK322" s="41">
        <f t="shared" si="97"/>
        <v>181</v>
      </c>
      <c r="AL322" s="42">
        <f t="shared" si="98"/>
        <v>3.0224053479452055</v>
      </c>
      <c r="AM322" s="42">
        <f t="shared" si="99"/>
        <v>547.05536797808224</v>
      </c>
      <c r="AN322" s="43">
        <f t="shared" si="84"/>
        <v>551588.99</v>
      </c>
      <c r="AO322" s="43"/>
      <c r="AP322" s="42">
        <f t="shared" si="100"/>
        <v>91931.482000000076</v>
      </c>
      <c r="AQ322" s="43">
        <v>5</v>
      </c>
      <c r="AR322" s="44">
        <f t="shared" si="101"/>
        <v>0.85714287889818663</v>
      </c>
      <c r="AS322" s="45">
        <f t="shared" si="102"/>
        <v>1634.3377066666667</v>
      </c>
      <c r="AU322" s="1">
        <v>367725.99</v>
      </c>
      <c r="AV322" s="50">
        <v>183863</v>
      </c>
    </row>
    <row r="323" spans="1:48" s="1" customFormat="1" ht="37.200000000000003" thickTop="1" thickBot="1" x14ac:dyDescent="0.55000000000000004">
      <c r="A323" s="33">
        <v>316</v>
      </c>
      <c r="B323" s="34" t="s">
        <v>370</v>
      </c>
      <c r="C323" s="34" t="s">
        <v>965</v>
      </c>
      <c r="D323" s="35" t="s">
        <v>825</v>
      </c>
      <c r="E323" s="35" t="s">
        <v>966</v>
      </c>
      <c r="F323" s="36" t="s">
        <v>1280</v>
      </c>
      <c r="G323" s="36" t="s">
        <v>1420</v>
      </c>
      <c r="H323" s="36" t="s">
        <v>1421</v>
      </c>
      <c r="I323" s="36" t="s">
        <v>1421</v>
      </c>
      <c r="J323" s="36" t="s">
        <v>1421</v>
      </c>
      <c r="K323" s="36">
        <v>404.8</v>
      </c>
      <c r="L323" s="36" t="s">
        <v>1422</v>
      </c>
      <c r="M323" s="49">
        <v>4</v>
      </c>
      <c r="N323" s="37" t="s">
        <v>1738</v>
      </c>
      <c r="O323" s="37"/>
      <c r="P323" s="36">
        <v>1</v>
      </c>
      <c r="Q323" s="36" t="s">
        <v>1935</v>
      </c>
      <c r="R323" s="36" t="s">
        <v>2223</v>
      </c>
      <c r="S323" s="36" t="s">
        <v>1880</v>
      </c>
      <c r="T323" s="36" t="s">
        <v>1881</v>
      </c>
      <c r="U323" s="38">
        <v>45648</v>
      </c>
      <c r="V323" s="39">
        <v>906096.48</v>
      </c>
      <c r="W323" s="39" t="s">
        <v>2363</v>
      </c>
      <c r="X323" s="39" t="s">
        <v>2363</v>
      </c>
      <c r="Y323" s="40">
        <f t="shared" si="85"/>
        <v>45304.824000000001</v>
      </c>
      <c r="Z323" s="40">
        <f t="shared" si="86"/>
        <v>951401.304</v>
      </c>
      <c r="AA323" s="41" t="str">
        <f t="shared" si="87"/>
        <v>0.0022</v>
      </c>
      <c r="AB323" s="41">
        <f t="shared" si="88"/>
        <v>0</v>
      </c>
      <c r="AC323" s="41">
        <f t="shared" si="89"/>
        <v>0</v>
      </c>
      <c r="AD323" s="41">
        <f t="shared" si="90"/>
        <v>0</v>
      </c>
      <c r="AE323" s="41">
        <f t="shared" si="91"/>
        <v>0</v>
      </c>
      <c r="AF323" s="41">
        <f t="shared" si="92"/>
        <v>0</v>
      </c>
      <c r="AG323" s="41">
        <f t="shared" si="93"/>
        <v>0</v>
      </c>
      <c r="AH323" s="41">
        <f t="shared" si="94"/>
        <v>0</v>
      </c>
      <c r="AI323" s="41">
        <f t="shared" si="95"/>
        <v>9</v>
      </c>
      <c r="AJ323" s="41">
        <f t="shared" si="96"/>
        <v>365</v>
      </c>
      <c r="AK323" s="41">
        <f t="shared" si="97"/>
        <v>181</v>
      </c>
      <c r="AL323" s="42">
        <f t="shared" si="98"/>
        <v>5.4614034410958903</v>
      </c>
      <c r="AM323" s="42">
        <f t="shared" si="99"/>
        <v>988.51402283835614</v>
      </c>
      <c r="AN323" s="43">
        <f t="shared" si="84"/>
        <v>815486.84</v>
      </c>
      <c r="AO323" s="43"/>
      <c r="AP323" s="42">
        <f t="shared" si="100"/>
        <v>135914.46400000004</v>
      </c>
      <c r="AQ323" s="43">
        <v>5</v>
      </c>
      <c r="AR323" s="44">
        <f t="shared" si="101"/>
        <v>0.85714286555150654</v>
      </c>
      <c r="AS323" s="45">
        <f t="shared" si="102"/>
        <v>2238.3806324110669</v>
      </c>
      <c r="AU323" s="1">
        <v>679572.37</v>
      </c>
      <c r="AV323" s="50">
        <v>135914.47</v>
      </c>
    </row>
    <row r="324" spans="1:48" s="1" customFormat="1" ht="37.200000000000003" thickTop="1" thickBot="1" x14ac:dyDescent="0.55000000000000004">
      <c r="A324" s="33">
        <v>317</v>
      </c>
      <c r="B324" s="34" t="s">
        <v>371</v>
      </c>
      <c r="C324" s="34" t="s">
        <v>965</v>
      </c>
      <c r="D324" s="35" t="s">
        <v>826</v>
      </c>
      <c r="E324" s="35" t="s">
        <v>966</v>
      </c>
      <c r="F324" s="36" t="s">
        <v>1281</v>
      </c>
      <c r="G324" s="36" t="s">
        <v>1420</v>
      </c>
      <c r="H324" s="36" t="s">
        <v>1421</v>
      </c>
      <c r="I324" s="36" t="s">
        <v>1421</v>
      </c>
      <c r="J324" s="36" t="s">
        <v>1421</v>
      </c>
      <c r="K324" s="36">
        <v>356.25</v>
      </c>
      <c r="L324" s="36" t="s">
        <v>1422</v>
      </c>
      <c r="M324" s="49">
        <v>4</v>
      </c>
      <c r="N324" s="37" t="s">
        <v>1739</v>
      </c>
      <c r="O324" s="37"/>
      <c r="P324" s="36">
        <v>1</v>
      </c>
      <c r="Q324" s="36" t="s">
        <v>1915</v>
      </c>
      <c r="R324" s="36" t="s">
        <v>2224</v>
      </c>
      <c r="S324" s="36" t="s">
        <v>1880</v>
      </c>
      <c r="T324" s="36" t="s">
        <v>1881</v>
      </c>
      <c r="U324" s="38">
        <v>45648</v>
      </c>
      <c r="V324" s="39">
        <v>759134.84</v>
      </c>
      <c r="W324" s="39" t="s">
        <v>2363</v>
      </c>
      <c r="X324" s="39" t="s">
        <v>2363</v>
      </c>
      <c r="Y324" s="40">
        <f t="shared" si="85"/>
        <v>37956.741999999998</v>
      </c>
      <c r="Z324" s="40">
        <f t="shared" si="86"/>
        <v>797091.58199999994</v>
      </c>
      <c r="AA324" s="41" t="str">
        <f t="shared" si="87"/>
        <v>0.0022</v>
      </c>
      <c r="AB324" s="41">
        <f t="shared" si="88"/>
        <v>0</v>
      </c>
      <c r="AC324" s="41">
        <f t="shared" si="89"/>
        <v>0</v>
      </c>
      <c r="AD324" s="41">
        <f t="shared" si="90"/>
        <v>0</v>
      </c>
      <c r="AE324" s="41">
        <f t="shared" si="91"/>
        <v>0</v>
      </c>
      <c r="AF324" s="41">
        <f t="shared" si="92"/>
        <v>0</v>
      </c>
      <c r="AG324" s="41">
        <f t="shared" si="93"/>
        <v>0</v>
      </c>
      <c r="AH324" s="41">
        <f t="shared" si="94"/>
        <v>0</v>
      </c>
      <c r="AI324" s="41">
        <f t="shared" si="95"/>
        <v>9</v>
      </c>
      <c r="AJ324" s="41">
        <f t="shared" si="96"/>
        <v>365</v>
      </c>
      <c r="AK324" s="41">
        <f t="shared" si="97"/>
        <v>181</v>
      </c>
      <c r="AL324" s="42">
        <f t="shared" si="98"/>
        <v>4.5756072547945204</v>
      </c>
      <c r="AM324" s="42">
        <f t="shared" si="99"/>
        <v>828.18491311780815</v>
      </c>
      <c r="AN324" s="43">
        <f t="shared" si="84"/>
        <v>721178.11</v>
      </c>
      <c r="AO324" s="43"/>
      <c r="AP324" s="42">
        <f t="shared" si="100"/>
        <v>75913.471999999951</v>
      </c>
      <c r="AQ324" s="43">
        <v>6</v>
      </c>
      <c r="AR324" s="44">
        <f t="shared" si="101"/>
        <v>0.90476191981663667</v>
      </c>
      <c r="AS324" s="45">
        <f t="shared" si="102"/>
        <v>2130.9048140350878</v>
      </c>
      <c r="AU324" s="1">
        <v>683221.37</v>
      </c>
      <c r="AV324" s="50">
        <v>37956.74</v>
      </c>
    </row>
    <row r="325" spans="1:48" s="1" customFormat="1" ht="37.200000000000003" thickTop="1" thickBot="1" x14ac:dyDescent="0.55000000000000004">
      <c r="A325" s="33">
        <v>318</v>
      </c>
      <c r="B325" s="34" t="s">
        <v>372</v>
      </c>
      <c r="C325" s="34" t="s">
        <v>965</v>
      </c>
      <c r="D325" s="35" t="s">
        <v>827</v>
      </c>
      <c r="E325" s="35" t="s">
        <v>966</v>
      </c>
      <c r="F325" s="36" t="s">
        <v>1282</v>
      </c>
      <c r="G325" s="36" t="s">
        <v>1420</v>
      </c>
      <c r="H325" s="36" t="s">
        <v>1421</v>
      </c>
      <c r="I325" s="36" t="s">
        <v>1421</v>
      </c>
      <c r="J325" s="36" t="s">
        <v>1421</v>
      </c>
      <c r="K325" s="36">
        <v>350</v>
      </c>
      <c r="L325" s="36" t="s">
        <v>1422</v>
      </c>
      <c r="M325" s="49">
        <v>4</v>
      </c>
      <c r="N325" s="37" t="s">
        <v>1740</v>
      </c>
      <c r="O325" s="37"/>
      <c r="P325" s="36">
        <v>1</v>
      </c>
      <c r="Q325" s="36" t="s">
        <v>1931</v>
      </c>
      <c r="R325" s="36" t="s">
        <v>2225</v>
      </c>
      <c r="S325" s="36" t="s">
        <v>1880</v>
      </c>
      <c r="T325" s="36" t="s">
        <v>1881</v>
      </c>
      <c r="U325" s="38">
        <v>45649</v>
      </c>
      <c r="V325" s="39">
        <v>761229.84</v>
      </c>
      <c r="W325" s="39" t="s">
        <v>2363</v>
      </c>
      <c r="X325" s="39" t="s">
        <v>2363</v>
      </c>
      <c r="Y325" s="40">
        <f t="shared" si="85"/>
        <v>38061.491999999998</v>
      </c>
      <c r="Z325" s="40">
        <f t="shared" si="86"/>
        <v>799291.33199999994</v>
      </c>
      <c r="AA325" s="41" t="str">
        <f t="shared" si="87"/>
        <v>0.0022</v>
      </c>
      <c r="AB325" s="41">
        <f t="shared" si="88"/>
        <v>0</v>
      </c>
      <c r="AC325" s="41">
        <f t="shared" si="89"/>
        <v>0</v>
      </c>
      <c r="AD325" s="41">
        <f t="shared" si="90"/>
        <v>0</v>
      </c>
      <c r="AE325" s="41">
        <f t="shared" si="91"/>
        <v>0</v>
      </c>
      <c r="AF325" s="41">
        <f t="shared" si="92"/>
        <v>0</v>
      </c>
      <c r="AG325" s="41">
        <f t="shared" si="93"/>
        <v>0</v>
      </c>
      <c r="AH325" s="41">
        <f t="shared" si="94"/>
        <v>0</v>
      </c>
      <c r="AI325" s="41">
        <f t="shared" si="95"/>
        <v>8</v>
      </c>
      <c r="AJ325" s="41">
        <f t="shared" si="96"/>
        <v>365</v>
      </c>
      <c r="AK325" s="41">
        <f t="shared" si="97"/>
        <v>181</v>
      </c>
      <c r="AL325" s="42">
        <f t="shared" si="98"/>
        <v>4.588234652054795</v>
      </c>
      <c r="AM325" s="42">
        <f t="shared" si="99"/>
        <v>830.47047202191789</v>
      </c>
      <c r="AN325" s="43">
        <f t="shared" si="84"/>
        <v>685106.87</v>
      </c>
      <c r="AO325" s="43"/>
      <c r="AP325" s="42">
        <f t="shared" si="100"/>
        <v>114184.46199999994</v>
      </c>
      <c r="AQ325" s="43">
        <v>5</v>
      </c>
      <c r="AR325" s="44">
        <f t="shared" si="101"/>
        <v>0.85714287465837302</v>
      </c>
      <c r="AS325" s="45">
        <f t="shared" si="102"/>
        <v>2174.9423999999999</v>
      </c>
      <c r="AU325" s="1">
        <v>570922.39</v>
      </c>
      <c r="AV325" s="50">
        <v>114184.48</v>
      </c>
    </row>
    <row r="326" spans="1:48" s="1" customFormat="1" ht="37.200000000000003" thickTop="1" thickBot="1" x14ac:dyDescent="0.55000000000000004">
      <c r="A326" s="33">
        <v>319</v>
      </c>
      <c r="B326" s="34" t="s">
        <v>373</v>
      </c>
      <c r="C326" s="34" t="s">
        <v>965</v>
      </c>
      <c r="D326" s="35" t="s">
        <v>828</v>
      </c>
      <c r="E326" s="35" t="s">
        <v>966</v>
      </c>
      <c r="F326" s="36" t="s">
        <v>1283</v>
      </c>
      <c r="G326" s="36" t="s">
        <v>1420</v>
      </c>
      <c r="H326" s="36" t="s">
        <v>1421</v>
      </c>
      <c r="I326" s="36" t="s">
        <v>1421</v>
      </c>
      <c r="J326" s="36" t="s">
        <v>1421</v>
      </c>
      <c r="K326" s="36">
        <v>350</v>
      </c>
      <c r="L326" s="36" t="s">
        <v>1422</v>
      </c>
      <c r="M326" s="49">
        <v>4</v>
      </c>
      <c r="N326" s="37" t="s">
        <v>1741</v>
      </c>
      <c r="O326" s="37"/>
      <c r="P326" s="36">
        <v>1</v>
      </c>
      <c r="Q326" s="36" t="s">
        <v>1995</v>
      </c>
      <c r="R326" s="36" t="s">
        <v>2226</v>
      </c>
      <c r="S326" s="36" t="s">
        <v>1880</v>
      </c>
      <c r="T326" s="36" t="s">
        <v>1881</v>
      </c>
      <c r="U326" s="38">
        <v>45649</v>
      </c>
      <c r="V326" s="39">
        <v>783168.8</v>
      </c>
      <c r="W326" s="39" t="s">
        <v>2363</v>
      </c>
      <c r="X326" s="39" t="s">
        <v>2363</v>
      </c>
      <c r="Y326" s="40">
        <f t="shared" si="85"/>
        <v>39158.44</v>
      </c>
      <c r="Z326" s="40">
        <f t="shared" si="86"/>
        <v>822327.24</v>
      </c>
      <c r="AA326" s="41" t="str">
        <f t="shared" si="87"/>
        <v>0.0022</v>
      </c>
      <c r="AB326" s="41">
        <f t="shared" si="88"/>
        <v>0</v>
      </c>
      <c r="AC326" s="41">
        <f t="shared" si="89"/>
        <v>0</v>
      </c>
      <c r="AD326" s="41">
        <f t="shared" si="90"/>
        <v>0</v>
      </c>
      <c r="AE326" s="41">
        <f t="shared" si="91"/>
        <v>0</v>
      </c>
      <c r="AF326" s="41">
        <f t="shared" si="92"/>
        <v>0</v>
      </c>
      <c r="AG326" s="41">
        <f t="shared" si="93"/>
        <v>0</v>
      </c>
      <c r="AH326" s="41">
        <f t="shared" si="94"/>
        <v>0</v>
      </c>
      <c r="AI326" s="41">
        <f t="shared" si="95"/>
        <v>8</v>
      </c>
      <c r="AJ326" s="41">
        <f t="shared" si="96"/>
        <v>365</v>
      </c>
      <c r="AK326" s="41">
        <f t="shared" si="97"/>
        <v>181</v>
      </c>
      <c r="AL326" s="42">
        <f t="shared" si="98"/>
        <v>4.7204694794520554</v>
      </c>
      <c r="AM326" s="42">
        <f t="shared" si="99"/>
        <v>854.40497578082204</v>
      </c>
      <c r="AN326" s="43">
        <f t="shared" si="84"/>
        <v>704851.92</v>
      </c>
      <c r="AO326" s="43"/>
      <c r="AP326" s="42">
        <f t="shared" si="100"/>
        <v>117475.31999999995</v>
      </c>
      <c r="AQ326" s="43">
        <v>5</v>
      </c>
      <c r="AR326" s="44">
        <f t="shared" si="101"/>
        <v>0.85714285714285721</v>
      </c>
      <c r="AS326" s="45">
        <f t="shared" si="102"/>
        <v>2237.6251428571431</v>
      </c>
      <c r="AU326" s="1">
        <v>704851.92</v>
      </c>
      <c r="AV326" s="50">
        <v>0</v>
      </c>
    </row>
    <row r="327" spans="1:48" s="1" customFormat="1" ht="37.200000000000003" thickTop="1" thickBot="1" x14ac:dyDescent="0.55000000000000004">
      <c r="A327" s="33">
        <v>320</v>
      </c>
      <c r="B327" s="34" t="s">
        <v>374</v>
      </c>
      <c r="C327" s="34" t="s">
        <v>965</v>
      </c>
      <c r="D327" s="35" t="s">
        <v>829</v>
      </c>
      <c r="E327" s="35" t="s">
        <v>966</v>
      </c>
      <c r="F327" s="36" t="s">
        <v>1284</v>
      </c>
      <c r="G327" s="36" t="s">
        <v>1420</v>
      </c>
      <c r="H327" s="36" t="s">
        <v>1421</v>
      </c>
      <c r="I327" s="36" t="s">
        <v>1421</v>
      </c>
      <c r="J327" s="36" t="s">
        <v>1421</v>
      </c>
      <c r="K327" s="36">
        <v>350</v>
      </c>
      <c r="L327" s="36" t="s">
        <v>1422</v>
      </c>
      <c r="M327" s="49">
        <v>4</v>
      </c>
      <c r="N327" s="37" t="s">
        <v>1742</v>
      </c>
      <c r="O327" s="37"/>
      <c r="P327" s="36">
        <v>1</v>
      </c>
      <c r="Q327" s="36" t="s">
        <v>1995</v>
      </c>
      <c r="R327" s="36" t="s">
        <v>2227</v>
      </c>
      <c r="S327" s="36" t="s">
        <v>1880</v>
      </c>
      <c r="T327" s="36" t="s">
        <v>1881</v>
      </c>
      <c r="U327" s="38">
        <v>45649</v>
      </c>
      <c r="V327" s="39">
        <v>673474</v>
      </c>
      <c r="W327" s="39" t="s">
        <v>2363</v>
      </c>
      <c r="X327" s="39" t="s">
        <v>2363</v>
      </c>
      <c r="Y327" s="40">
        <f t="shared" si="85"/>
        <v>33673.699999999997</v>
      </c>
      <c r="Z327" s="40">
        <f t="shared" si="86"/>
        <v>707147.7</v>
      </c>
      <c r="AA327" s="41" t="str">
        <f t="shared" si="87"/>
        <v>0.0018</v>
      </c>
      <c r="AB327" s="41">
        <f t="shared" si="88"/>
        <v>0</v>
      </c>
      <c r="AC327" s="41">
        <f t="shared" si="89"/>
        <v>0</v>
      </c>
      <c r="AD327" s="41">
        <f t="shared" si="90"/>
        <v>0</v>
      </c>
      <c r="AE327" s="41">
        <f t="shared" si="91"/>
        <v>0</v>
      </c>
      <c r="AF327" s="41">
        <f t="shared" si="92"/>
        <v>0</v>
      </c>
      <c r="AG327" s="41">
        <f t="shared" si="93"/>
        <v>0</v>
      </c>
      <c r="AH327" s="41">
        <f t="shared" si="94"/>
        <v>0</v>
      </c>
      <c r="AI327" s="41">
        <f t="shared" si="95"/>
        <v>8</v>
      </c>
      <c r="AJ327" s="41">
        <f t="shared" si="96"/>
        <v>365</v>
      </c>
      <c r="AK327" s="41">
        <f t="shared" si="97"/>
        <v>181</v>
      </c>
      <c r="AL327" s="42">
        <f t="shared" si="98"/>
        <v>3.321241643835616</v>
      </c>
      <c r="AM327" s="42">
        <f t="shared" si="99"/>
        <v>601.14473753424647</v>
      </c>
      <c r="AN327" s="43">
        <f t="shared" si="84"/>
        <v>639800.29999999993</v>
      </c>
      <c r="AO327" s="43"/>
      <c r="AP327" s="42">
        <f t="shared" si="100"/>
        <v>67347.400000000023</v>
      </c>
      <c r="AQ327" s="43">
        <v>6</v>
      </c>
      <c r="AR327" s="44">
        <f t="shared" si="101"/>
        <v>0.90476190476190477</v>
      </c>
      <c r="AS327" s="45">
        <f t="shared" si="102"/>
        <v>1924.2114285714285</v>
      </c>
      <c r="AU327" s="1">
        <v>606126.6</v>
      </c>
      <c r="AV327" s="50">
        <v>33673.699999999997</v>
      </c>
    </row>
    <row r="328" spans="1:48" s="1" customFormat="1" ht="37.200000000000003" thickTop="1" thickBot="1" x14ac:dyDescent="0.55000000000000004">
      <c r="A328" s="33">
        <v>321</v>
      </c>
      <c r="B328" s="34" t="s">
        <v>375</v>
      </c>
      <c r="C328" s="34" t="s">
        <v>965</v>
      </c>
      <c r="D328" s="35" t="s">
        <v>830</v>
      </c>
      <c r="E328" s="35" t="s">
        <v>966</v>
      </c>
      <c r="F328" s="36" t="s">
        <v>1285</v>
      </c>
      <c r="G328" s="36" t="s">
        <v>1420</v>
      </c>
      <c r="H328" s="36" t="s">
        <v>1421</v>
      </c>
      <c r="I328" s="36" t="s">
        <v>1421</v>
      </c>
      <c r="J328" s="36" t="s">
        <v>1421</v>
      </c>
      <c r="K328" s="36">
        <v>375</v>
      </c>
      <c r="L328" s="36" t="s">
        <v>1422</v>
      </c>
      <c r="M328" s="49">
        <v>4</v>
      </c>
      <c r="N328" s="37" t="s">
        <v>1743</v>
      </c>
      <c r="O328" s="37"/>
      <c r="P328" s="36">
        <v>1</v>
      </c>
      <c r="Q328" s="36" t="s">
        <v>1933</v>
      </c>
      <c r="R328" s="36" t="s">
        <v>2228</v>
      </c>
      <c r="S328" s="36" t="s">
        <v>1880</v>
      </c>
      <c r="T328" s="36" t="s">
        <v>1883</v>
      </c>
      <c r="U328" s="38">
        <v>45650</v>
      </c>
      <c r="V328" s="39">
        <v>612876.64</v>
      </c>
      <c r="W328" s="39" t="s">
        <v>2363</v>
      </c>
      <c r="X328" s="39" t="s">
        <v>2363</v>
      </c>
      <c r="Y328" s="40">
        <f t="shared" si="85"/>
        <v>30643.832000000002</v>
      </c>
      <c r="Z328" s="40">
        <f t="shared" si="86"/>
        <v>643520.47200000007</v>
      </c>
      <c r="AA328" s="41" t="str">
        <f t="shared" si="87"/>
        <v>0.0018</v>
      </c>
      <c r="AB328" s="41">
        <f t="shared" si="88"/>
        <v>0</v>
      </c>
      <c r="AC328" s="41">
        <f t="shared" si="89"/>
        <v>0</v>
      </c>
      <c r="AD328" s="41">
        <f t="shared" si="90"/>
        <v>0</v>
      </c>
      <c r="AE328" s="41">
        <f t="shared" si="91"/>
        <v>0</v>
      </c>
      <c r="AF328" s="41">
        <f t="shared" si="92"/>
        <v>0</v>
      </c>
      <c r="AG328" s="41">
        <f t="shared" si="93"/>
        <v>0</v>
      </c>
      <c r="AH328" s="41">
        <f t="shared" si="94"/>
        <v>0</v>
      </c>
      <c r="AI328" s="41">
        <f t="shared" si="95"/>
        <v>7</v>
      </c>
      <c r="AJ328" s="41">
        <f t="shared" si="96"/>
        <v>365</v>
      </c>
      <c r="AK328" s="41">
        <f t="shared" si="97"/>
        <v>181</v>
      </c>
      <c r="AL328" s="42">
        <f t="shared" si="98"/>
        <v>3.0224053479452055</v>
      </c>
      <c r="AM328" s="42">
        <f t="shared" si="99"/>
        <v>547.05536797808224</v>
      </c>
      <c r="AN328" s="43">
        <f t="shared" ref="AN328:AN391" si="103">AV328+AU328</f>
        <v>520945.28</v>
      </c>
      <c r="AO328" s="43"/>
      <c r="AP328" s="42">
        <f t="shared" si="100"/>
        <v>122575.19200000004</v>
      </c>
      <c r="AQ328" s="43">
        <v>5</v>
      </c>
      <c r="AR328" s="44">
        <f t="shared" si="101"/>
        <v>0.80952402086129749</v>
      </c>
      <c r="AS328" s="45">
        <f t="shared" si="102"/>
        <v>1634.3377066666667</v>
      </c>
      <c r="AU328" s="1">
        <v>429013.73000000004</v>
      </c>
      <c r="AV328" s="50">
        <v>91931.55</v>
      </c>
    </row>
    <row r="329" spans="1:48" s="1" customFormat="1" ht="37.200000000000003" thickTop="1" thickBot="1" x14ac:dyDescent="0.55000000000000004">
      <c r="A329" s="33">
        <v>322</v>
      </c>
      <c r="B329" s="34" t="s">
        <v>376</v>
      </c>
      <c r="C329" s="34" t="s">
        <v>965</v>
      </c>
      <c r="D329" s="35" t="s">
        <v>831</v>
      </c>
      <c r="E329" s="35" t="s">
        <v>966</v>
      </c>
      <c r="F329" s="36" t="s">
        <v>1286</v>
      </c>
      <c r="G329" s="36" t="s">
        <v>1420</v>
      </c>
      <c r="H329" s="36" t="s">
        <v>1421</v>
      </c>
      <c r="I329" s="36" t="s">
        <v>1421</v>
      </c>
      <c r="J329" s="36" t="s">
        <v>1421</v>
      </c>
      <c r="K329" s="36">
        <v>456.13</v>
      </c>
      <c r="L329" s="36" t="s">
        <v>1422</v>
      </c>
      <c r="M329" s="49">
        <v>4</v>
      </c>
      <c r="N329" s="37" t="s">
        <v>1744</v>
      </c>
      <c r="O329" s="37"/>
      <c r="P329" s="36">
        <v>1</v>
      </c>
      <c r="Q329" s="36" t="s">
        <v>1939</v>
      </c>
      <c r="R329" s="36" t="s">
        <v>2229</v>
      </c>
      <c r="S329" s="36" t="s">
        <v>1880</v>
      </c>
      <c r="T329" s="36" t="s">
        <v>1881</v>
      </c>
      <c r="U329" s="38">
        <v>45650</v>
      </c>
      <c r="V329" s="39">
        <v>814480</v>
      </c>
      <c r="W329" s="39" t="s">
        <v>2363</v>
      </c>
      <c r="X329" s="39" t="s">
        <v>2363</v>
      </c>
      <c r="Y329" s="40">
        <f t="shared" si="85"/>
        <v>40724</v>
      </c>
      <c r="Z329" s="40">
        <f t="shared" si="86"/>
        <v>855204</v>
      </c>
      <c r="AA329" s="41" t="str">
        <f t="shared" si="87"/>
        <v>0.0022</v>
      </c>
      <c r="AB329" s="41">
        <f t="shared" si="88"/>
        <v>0</v>
      </c>
      <c r="AC329" s="41">
        <f t="shared" si="89"/>
        <v>0</v>
      </c>
      <c r="AD329" s="41">
        <f t="shared" si="90"/>
        <v>0</v>
      </c>
      <c r="AE329" s="41">
        <f t="shared" si="91"/>
        <v>0</v>
      </c>
      <c r="AF329" s="41">
        <f t="shared" si="92"/>
        <v>0</v>
      </c>
      <c r="AG329" s="41">
        <f t="shared" si="93"/>
        <v>0</v>
      </c>
      <c r="AH329" s="41">
        <f t="shared" si="94"/>
        <v>0</v>
      </c>
      <c r="AI329" s="41">
        <f t="shared" si="95"/>
        <v>7</v>
      </c>
      <c r="AJ329" s="41">
        <f t="shared" si="96"/>
        <v>365</v>
      </c>
      <c r="AK329" s="41">
        <f t="shared" si="97"/>
        <v>181</v>
      </c>
      <c r="AL329" s="42">
        <f t="shared" si="98"/>
        <v>4.9091945205479455</v>
      </c>
      <c r="AM329" s="42">
        <f t="shared" si="99"/>
        <v>888.56420821917811</v>
      </c>
      <c r="AN329" s="43">
        <f t="shared" si="103"/>
        <v>733032.02</v>
      </c>
      <c r="AO329" s="43"/>
      <c r="AP329" s="42">
        <f t="shared" si="100"/>
        <v>122171.97999999998</v>
      </c>
      <c r="AQ329" s="43">
        <v>5</v>
      </c>
      <c r="AR329" s="44">
        <f t="shared" si="101"/>
        <v>0.85714288052909016</v>
      </c>
      <c r="AS329" s="45">
        <f t="shared" si="102"/>
        <v>1785.6312893254117</v>
      </c>
      <c r="AU329" s="1">
        <v>610860.01</v>
      </c>
      <c r="AV329" s="50">
        <v>122172.01</v>
      </c>
    </row>
    <row r="330" spans="1:48" s="1" customFormat="1" ht="37.200000000000003" thickTop="1" thickBot="1" x14ac:dyDescent="0.55000000000000004">
      <c r="A330" s="33">
        <v>323</v>
      </c>
      <c r="B330" s="34" t="s">
        <v>377</v>
      </c>
      <c r="C330" s="34" t="s">
        <v>965</v>
      </c>
      <c r="D330" s="35" t="s">
        <v>832</v>
      </c>
      <c r="E330" s="35" t="s">
        <v>966</v>
      </c>
      <c r="F330" s="36" t="s">
        <v>1287</v>
      </c>
      <c r="G330" s="36" t="s">
        <v>1420</v>
      </c>
      <c r="H330" s="36" t="s">
        <v>1421</v>
      </c>
      <c r="I330" s="36" t="s">
        <v>1421</v>
      </c>
      <c r="J330" s="36" t="s">
        <v>1421</v>
      </c>
      <c r="K330" s="36">
        <v>350</v>
      </c>
      <c r="L330" s="36" t="s">
        <v>1422</v>
      </c>
      <c r="M330" s="49">
        <v>4</v>
      </c>
      <c r="N330" s="37" t="s">
        <v>1745</v>
      </c>
      <c r="O330" s="37"/>
      <c r="P330" s="36">
        <v>1</v>
      </c>
      <c r="Q330" s="36" t="s">
        <v>1933</v>
      </c>
      <c r="R330" s="36" t="s">
        <v>2230</v>
      </c>
      <c r="S330" s="36" t="s">
        <v>1880</v>
      </c>
      <c r="T330" s="36" t="s">
        <v>1881</v>
      </c>
      <c r="U330" s="38">
        <v>45650</v>
      </c>
      <c r="V330" s="39">
        <v>609077.80000000005</v>
      </c>
      <c r="W330" s="39" t="s">
        <v>2363</v>
      </c>
      <c r="X330" s="39" t="s">
        <v>2363</v>
      </c>
      <c r="Y330" s="40">
        <f t="shared" si="85"/>
        <v>30453.89</v>
      </c>
      <c r="Z330" s="40">
        <f t="shared" si="86"/>
        <v>639531.69000000006</v>
      </c>
      <c r="AA330" s="41" t="str">
        <f t="shared" si="87"/>
        <v>0.0018</v>
      </c>
      <c r="AB330" s="41">
        <f t="shared" si="88"/>
        <v>0</v>
      </c>
      <c r="AC330" s="41">
        <f t="shared" si="89"/>
        <v>0</v>
      </c>
      <c r="AD330" s="41">
        <f t="shared" si="90"/>
        <v>0</v>
      </c>
      <c r="AE330" s="41">
        <f t="shared" si="91"/>
        <v>0</v>
      </c>
      <c r="AF330" s="41">
        <f t="shared" si="92"/>
        <v>0</v>
      </c>
      <c r="AG330" s="41">
        <f t="shared" si="93"/>
        <v>0</v>
      </c>
      <c r="AH330" s="41">
        <f t="shared" si="94"/>
        <v>0</v>
      </c>
      <c r="AI330" s="41">
        <f t="shared" si="95"/>
        <v>7</v>
      </c>
      <c r="AJ330" s="41">
        <f t="shared" si="96"/>
        <v>365</v>
      </c>
      <c r="AK330" s="41">
        <f t="shared" si="97"/>
        <v>181</v>
      </c>
      <c r="AL330" s="42">
        <f t="shared" si="98"/>
        <v>3.0036713424657537</v>
      </c>
      <c r="AM330" s="42">
        <f t="shared" si="99"/>
        <v>543.66451298630147</v>
      </c>
      <c r="AN330" s="43">
        <f t="shared" si="103"/>
        <v>548170.02</v>
      </c>
      <c r="AO330" s="43"/>
      <c r="AP330" s="42">
        <f t="shared" si="100"/>
        <v>91361.670000000042</v>
      </c>
      <c r="AQ330" s="43">
        <v>5</v>
      </c>
      <c r="AR330" s="44">
        <f t="shared" si="101"/>
        <v>0.8571428571428571</v>
      </c>
      <c r="AS330" s="45">
        <f t="shared" si="102"/>
        <v>1740.2222857142858</v>
      </c>
      <c r="AU330" s="1">
        <v>456808.35</v>
      </c>
      <c r="AV330" s="50">
        <v>91361.67</v>
      </c>
    </row>
    <row r="331" spans="1:48" s="1" customFormat="1" ht="37.200000000000003" thickTop="1" thickBot="1" x14ac:dyDescent="0.55000000000000004">
      <c r="A331" s="33">
        <v>324</v>
      </c>
      <c r="B331" s="34" t="s">
        <v>378</v>
      </c>
      <c r="C331" s="34" t="s">
        <v>965</v>
      </c>
      <c r="D331" s="35" t="s">
        <v>833</v>
      </c>
      <c r="E331" s="35" t="s">
        <v>966</v>
      </c>
      <c r="F331" s="36" t="s">
        <v>1288</v>
      </c>
      <c r="G331" s="36" t="s">
        <v>1420</v>
      </c>
      <c r="H331" s="36" t="s">
        <v>1421</v>
      </c>
      <c r="I331" s="36" t="s">
        <v>1421</v>
      </c>
      <c r="J331" s="36" t="s">
        <v>1421</v>
      </c>
      <c r="K331" s="36">
        <v>375</v>
      </c>
      <c r="L331" s="36" t="s">
        <v>1422</v>
      </c>
      <c r="M331" s="49">
        <v>4</v>
      </c>
      <c r="N331" s="37" t="s">
        <v>1746</v>
      </c>
      <c r="O331" s="37"/>
      <c r="P331" s="36">
        <v>1</v>
      </c>
      <c r="Q331" s="36" t="s">
        <v>2032</v>
      </c>
      <c r="R331" s="36" t="s">
        <v>2231</v>
      </c>
      <c r="S331" s="36" t="s">
        <v>1880</v>
      </c>
      <c r="T331" s="36" t="s">
        <v>1881</v>
      </c>
      <c r="U331" s="38">
        <v>45650</v>
      </c>
      <c r="V331" s="39">
        <v>589339</v>
      </c>
      <c r="W331" s="39" t="s">
        <v>2363</v>
      </c>
      <c r="X331" s="39" t="s">
        <v>2363</v>
      </c>
      <c r="Y331" s="40">
        <f t="shared" si="85"/>
        <v>29466.95</v>
      </c>
      <c r="Z331" s="40">
        <f t="shared" si="86"/>
        <v>618805.94999999995</v>
      </c>
      <c r="AA331" s="41" t="str">
        <f t="shared" si="87"/>
        <v>0.0018</v>
      </c>
      <c r="AB331" s="41">
        <f t="shared" si="88"/>
        <v>0</v>
      </c>
      <c r="AC331" s="41">
        <f t="shared" si="89"/>
        <v>0</v>
      </c>
      <c r="AD331" s="41">
        <f t="shared" si="90"/>
        <v>0</v>
      </c>
      <c r="AE331" s="41">
        <f t="shared" si="91"/>
        <v>0</v>
      </c>
      <c r="AF331" s="41">
        <f t="shared" si="92"/>
        <v>0</v>
      </c>
      <c r="AG331" s="41">
        <f t="shared" si="93"/>
        <v>0</v>
      </c>
      <c r="AH331" s="41">
        <f t="shared" si="94"/>
        <v>0</v>
      </c>
      <c r="AI331" s="41">
        <f t="shared" si="95"/>
        <v>7</v>
      </c>
      <c r="AJ331" s="41">
        <f t="shared" si="96"/>
        <v>365</v>
      </c>
      <c r="AK331" s="41">
        <f t="shared" si="97"/>
        <v>181</v>
      </c>
      <c r="AL331" s="42">
        <f t="shared" si="98"/>
        <v>2.906329315068493</v>
      </c>
      <c r="AM331" s="42">
        <f t="shared" si="99"/>
        <v>526.04560602739718</v>
      </c>
      <c r="AN331" s="43">
        <f t="shared" si="103"/>
        <v>530405.10000000009</v>
      </c>
      <c r="AO331" s="43"/>
      <c r="AP331" s="42">
        <f t="shared" si="100"/>
        <v>88400.84999999986</v>
      </c>
      <c r="AQ331" s="43">
        <v>5</v>
      </c>
      <c r="AR331" s="44">
        <f t="shared" si="101"/>
        <v>0.85714285714285732</v>
      </c>
      <c r="AS331" s="45">
        <f t="shared" si="102"/>
        <v>1571.5706666666667</v>
      </c>
      <c r="AU331" s="1">
        <v>530405.10000000009</v>
      </c>
      <c r="AV331" s="50">
        <v>0</v>
      </c>
    </row>
    <row r="332" spans="1:48" s="1" customFormat="1" ht="37.200000000000003" thickTop="1" thickBot="1" x14ac:dyDescent="0.55000000000000004">
      <c r="A332" s="33">
        <v>325</v>
      </c>
      <c r="B332" s="34" t="s">
        <v>379</v>
      </c>
      <c r="C332" s="34" t="s">
        <v>965</v>
      </c>
      <c r="D332" s="35" t="s">
        <v>834</v>
      </c>
      <c r="E332" s="35" t="s">
        <v>966</v>
      </c>
      <c r="F332" s="36" t="s">
        <v>1289</v>
      </c>
      <c r="G332" s="36" t="s">
        <v>1420</v>
      </c>
      <c r="H332" s="36" t="s">
        <v>1421</v>
      </c>
      <c r="I332" s="36" t="s">
        <v>1421</v>
      </c>
      <c r="J332" s="36" t="s">
        <v>1421</v>
      </c>
      <c r="K332" s="36">
        <v>350</v>
      </c>
      <c r="L332" s="36" t="s">
        <v>1422</v>
      </c>
      <c r="M332" s="49">
        <v>4</v>
      </c>
      <c r="N332" s="37" t="s">
        <v>1747</v>
      </c>
      <c r="O332" s="37"/>
      <c r="P332" s="36">
        <v>1</v>
      </c>
      <c r="Q332" s="36" t="s">
        <v>1937</v>
      </c>
      <c r="R332" s="36" t="s">
        <v>2232</v>
      </c>
      <c r="S332" s="36" t="s">
        <v>1880</v>
      </c>
      <c r="T332" s="36" t="s">
        <v>1883</v>
      </c>
      <c r="U332" s="38">
        <v>45651</v>
      </c>
      <c r="V332" s="39">
        <v>624046</v>
      </c>
      <c r="W332" s="39" t="s">
        <v>2363</v>
      </c>
      <c r="X332" s="39" t="s">
        <v>2363</v>
      </c>
      <c r="Y332" s="40">
        <f t="shared" si="85"/>
        <v>31202.3</v>
      </c>
      <c r="Z332" s="40">
        <f t="shared" si="86"/>
        <v>655248.30000000005</v>
      </c>
      <c r="AA332" s="41" t="str">
        <f t="shared" si="87"/>
        <v>0.0018</v>
      </c>
      <c r="AB332" s="41">
        <f t="shared" si="88"/>
        <v>0</v>
      </c>
      <c r="AC332" s="41">
        <f t="shared" si="89"/>
        <v>0</v>
      </c>
      <c r="AD332" s="41">
        <f t="shared" si="90"/>
        <v>0</v>
      </c>
      <c r="AE332" s="41">
        <f t="shared" si="91"/>
        <v>0</v>
      </c>
      <c r="AF332" s="41">
        <f t="shared" si="92"/>
        <v>0</v>
      </c>
      <c r="AG332" s="41">
        <f t="shared" si="93"/>
        <v>0</v>
      </c>
      <c r="AH332" s="41">
        <f t="shared" si="94"/>
        <v>0</v>
      </c>
      <c r="AI332" s="41">
        <f t="shared" si="95"/>
        <v>6</v>
      </c>
      <c r="AJ332" s="41">
        <f t="shared" si="96"/>
        <v>365</v>
      </c>
      <c r="AK332" s="41">
        <f t="shared" si="97"/>
        <v>181</v>
      </c>
      <c r="AL332" s="42">
        <f t="shared" si="98"/>
        <v>3.0774871232876713</v>
      </c>
      <c r="AM332" s="42">
        <f t="shared" si="99"/>
        <v>557.02516931506852</v>
      </c>
      <c r="AN332" s="43">
        <f t="shared" si="103"/>
        <v>436832.2</v>
      </c>
      <c r="AO332" s="43"/>
      <c r="AP332" s="42">
        <f t="shared" si="100"/>
        <v>218416.10000000003</v>
      </c>
      <c r="AQ332" s="43">
        <v>4</v>
      </c>
      <c r="AR332" s="44">
        <f t="shared" si="101"/>
        <v>0.66666666666666663</v>
      </c>
      <c r="AS332" s="45">
        <f t="shared" si="102"/>
        <v>1782.9885714285715</v>
      </c>
      <c r="AU332" s="1">
        <v>436832.2</v>
      </c>
      <c r="AV332" s="50">
        <v>0</v>
      </c>
    </row>
    <row r="333" spans="1:48" s="1" customFormat="1" ht="37.200000000000003" thickTop="1" thickBot="1" x14ac:dyDescent="0.55000000000000004">
      <c r="A333" s="33">
        <v>326</v>
      </c>
      <c r="B333" s="34" t="s">
        <v>380</v>
      </c>
      <c r="C333" s="34" t="s">
        <v>965</v>
      </c>
      <c r="D333" s="35" t="s">
        <v>835</v>
      </c>
      <c r="E333" s="35" t="s">
        <v>966</v>
      </c>
      <c r="F333" s="36" t="s">
        <v>1290</v>
      </c>
      <c r="G333" s="36" t="s">
        <v>1420</v>
      </c>
      <c r="H333" s="36" t="s">
        <v>1421</v>
      </c>
      <c r="I333" s="36" t="s">
        <v>1421</v>
      </c>
      <c r="J333" s="36" t="s">
        <v>1421</v>
      </c>
      <c r="K333" s="36">
        <v>375</v>
      </c>
      <c r="L333" s="36" t="s">
        <v>1422</v>
      </c>
      <c r="M333" s="49">
        <v>4</v>
      </c>
      <c r="N333" s="37" t="s">
        <v>1748</v>
      </c>
      <c r="O333" s="37"/>
      <c r="P333" s="36">
        <v>1</v>
      </c>
      <c r="Q333" s="36" t="s">
        <v>2032</v>
      </c>
      <c r="R333" s="36" t="s">
        <v>2233</v>
      </c>
      <c r="S333" s="36" t="s">
        <v>1880</v>
      </c>
      <c r="T333" s="36" t="s">
        <v>1883</v>
      </c>
      <c r="U333" s="38">
        <v>45651</v>
      </c>
      <c r="V333" s="39">
        <v>627543.6</v>
      </c>
      <c r="W333" s="39" t="s">
        <v>2363</v>
      </c>
      <c r="X333" s="39" t="s">
        <v>2363</v>
      </c>
      <c r="Y333" s="40">
        <f t="shared" ref="Y333:Y396" si="104">V333*5/100</f>
        <v>31377.18</v>
      </c>
      <c r="Z333" s="40">
        <f t="shared" ref="Z333:Z396" si="105">V333+Y333</f>
        <v>658920.78</v>
      </c>
      <c r="AA333" s="41" t="str">
        <f t="shared" ref="AA333:AA396" si="106">IF(V333&lt;=500000,"0.0012",IF(AND(V333&gt;500000,V333&lt;=699999),"0.0018",IF(AND(V333&gt;=700000,V333&lt;=999999),"0.0022",IF(AND(V333&gt;=1000000,V333&lt;1500000),"0.0026","0.003"))))</f>
        <v>0.0018</v>
      </c>
      <c r="AB333" s="41">
        <f t="shared" ref="AB333:AB396" si="107">+IF($AB$7&gt;U333,$AB$7-U333,0)</f>
        <v>0</v>
      </c>
      <c r="AC333" s="41">
        <f t="shared" ref="AC333:AC396" si="108">+IF($AC$7&gt;U333,$AC$7-U333-AB333,0)</f>
        <v>0</v>
      </c>
      <c r="AD333" s="41">
        <f t="shared" ref="AD333:AD396" si="109">+IF($AD$7&gt;U333,$AD$7-U333-AB333-AC333,0)</f>
        <v>0</v>
      </c>
      <c r="AE333" s="41">
        <f t="shared" ref="AE333:AE396" si="110">+IF($AE$7&gt;U333,$AE$7-U333-AB333-AD333-AC333,0)</f>
        <v>0</v>
      </c>
      <c r="AF333" s="41">
        <f t="shared" ref="AF333:AF396" si="111">+IF($AF$7&gt;U333,$AF$7-U333-AB333-AC333-AD333-AE333,0)</f>
        <v>0</v>
      </c>
      <c r="AG333" s="41">
        <f t="shared" ref="AG333:AG396" si="112">+IF($AG$7&gt;U333,$AG$7-U333-AB333-AC333-AD333-AE333-AF333,0)</f>
        <v>0</v>
      </c>
      <c r="AH333" s="41">
        <f t="shared" ref="AH333:AH396" si="113">+IF($AH$7&gt;U333,$AH$7-U333-AB333-AC333-AD333-AE333-AF333-AG333,0)</f>
        <v>0</v>
      </c>
      <c r="AI333" s="41">
        <f t="shared" ref="AI333:AI396" si="114">+IF($AI$7&gt;U333,$AI$7-U333-AB333-AC333-AD333-AE333-AF333-AG333-AH333,0)</f>
        <v>6</v>
      </c>
      <c r="AJ333" s="41">
        <f t="shared" ref="AJ333:AJ396" si="115">+IF($AJ$7&gt;U333,$AJ$7-U333-AB333-AC333-AD333-AE333-AF333-AG333-AH333-AI333,0)</f>
        <v>365</v>
      </c>
      <c r="AK333" s="41">
        <f t="shared" ref="AK333:AK396" si="116">+IF($AK$7&gt;U333,$AK$7-U333-AB333-AC333-AD333-AE333-AF333-AG333-AH333-AI333-AJ333,0)</f>
        <v>181</v>
      </c>
      <c r="AL333" s="42">
        <f t="shared" ref="AL333:AL396" si="117">IF(AK333&gt;0,+V333*AA333/365,0)</f>
        <v>3.0947355616438355</v>
      </c>
      <c r="AM333" s="42">
        <f t="shared" ref="AM333:AM396" si="118">+AL333*AK333</f>
        <v>560.14713665753425</v>
      </c>
      <c r="AN333" s="43">
        <f t="shared" si="103"/>
        <v>533412.28</v>
      </c>
      <c r="AO333" s="43"/>
      <c r="AP333" s="42">
        <f t="shared" ref="AP333:AP396" si="119">Z333-AN333</f>
        <v>125508.5</v>
      </c>
      <c r="AQ333" s="43">
        <v>5</v>
      </c>
      <c r="AR333" s="44">
        <f t="shared" ref="AR333:AR396" si="120">AN333/Z333</f>
        <v>0.8095241434030962</v>
      </c>
      <c r="AS333" s="45">
        <f t="shared" ref="AS333:AS396" si="121">V333/K333</f>
        <v>1673.4495999999999</v>
      </c>
      <c r="AU333" s="1">
        <v>439280.68</v>
      </c>
      <c r="AV333" s="50">
        <v>94131.6</v>
      </c>
    </row>
    <row r="334" spans="1:48" s="1" customFormat="1" ht="37.200000000000003" thickTop="1" thickBot="1" x14ac:dyDescent="0.55000000000000004">
      <c r="A334" s="33">
        <v>327</v>
      </c>
      <c r="B334" s="34" t="s">
        <v>381</v>
      </c>
      <c r="C334" s="34" t="s">
        <v>965</v>
      </c>
      <c r="D334" s="35" t="s">
        <v>836</v>
      </c>
      <c r="E334" s="35" t="s">
        <v>966</v>
      </c>
      <c r="F334" s="36" t="s">
        <v>1291</v>
      </c>
      <c r="G334" s="36" t="s">
        <v>1420</v>
      </c>
      <c r="H334" s="36" t="s">
        <v>1421</v>
      </c>
      <c r="I334" s="36" t="s">
        <v>1421</v>
      </c>
      <c r="J334" s="36" t="s">
        <v>1421</v>
      </c>
      <c r="K334" s="36">
        <v>350</v>
      </c>
      <c r="L334" s="36" t="s">
        <v>1422</v>
      </c>
      <c r="M334" s="49">
        <v>4</v>
      </c>
      <c r="N334" s="37" t="s">
        <v>1749</v>
      </c>
      <c r="O334" s="37"/>
      <c r="P334" s="36">
        <v>1</v>
      </c>
      <c r="Q334" s="36" t="s">
        <v>1878</v>
      </c>
      <c r="R334" s="36" t="s">
        <v>2234</v>
      </c>
      <c r="S334" s="36" t="s">
        <v>1880</v>
      </c>
      <c r="T334" s="36" t="s">
        <v>1881</v>
      </c>
      <c r="U334" s="38">
        <v>45651</v>
      </c>
      <c r="V334" s="39">
        <v>609077.80000000005</v>
      </c>
      <c r="W334" s="39" t="s">
        <v>2363</v>
      </c>
      <c r="X334" s="39" t="s">
        <v>2363</v>
      </c>
      <c r="Y334" s="40">
        <f t="shared" si="104"/>
        <v>30453.89</v>
      </c>
      <c r="Z334" s="40">
        <f t="shared" si="105"/>
        <v>639531.69000000006</v>
      </c>
      <c r="AA334" s="41" t="str">
        <f t="shared" si="106"/>
        <v>0.0018</v>
      </c>
      <c r="AB334" s="41">
        <f t="shared" si="107"/>
        <v>0</v>
      </c>
      <c r="AC334" s="41">
        <f t="shared" si="108"/>
        <v>0</v>
      </c>
      <c r="AD334" s="41">
        <f t="shared" si="109"/>
        <v>0</v>
      </c>
      <c r="AE334" s="41">
        <f t="shared" si="110"/>
        <v>0</v>
      </c>
      <c r="AF334" s="41">
        <f t="shared" si="111"/>
        <v>0</v>
      </c>
      <c r="AG334" s="41">
        <f t="shared" si="112"/>
        <v>0</v>
      </c>
      <c r="AH334" s="41">
        <f t="shared" si="113"/>
        <v>0</v>
      </c>
      <c r="AI334" s="41">
        <f t="shared" si="114"/>
        <v>6</v>
      </c>
      <c r="AJ334" s="41">
        <f t="shared" si="115"/>
        <v>365</v>
      </c>
      <c r="AK334" s="41">
        <f t="shared" si="116"/>
        <v>181</v>
      </c>
      <c r="AL334" s="42">
        <f t="shared" si="117"/>
        <v>3.0036713424657537</v>
      </c>
      <c r="AM334" s="42">
        <f t="shared" si="118"/>
        <v>543.66451298630147</v>
      </c>
      <c r="AN334" s="43">
        <f t="shared" si="103"/>
        <v>578623.91</v>
      </c>
      <c r="AO334" s="43"/>
      <c r="AP334" s="42">
        <f t="shared" si="119"/>
        <v>60907.780000000028</v>
      </c>
      <c r="AQ334" s="43">
        <v>6</v>
      </c>
      <c r="AR334" s="44">
        <f t="shared" si="120"/>
        <v>0.90476190476190477</v>
      </c>
      <c r="AS334" s="45">
        <f t="shared" si="121"/>
        <v>1740.2222857142858</v>
      </c>
      <c r="AU334" s="1">
        <v>548170.02</v>
      </c>
      <c r="AV334" s="50">
        <v>30453.89</v>
      </c>
    </row>
    <row r="335" spans="1:48" s="1" customFormat="1" ht="37.200000000000003" thickTop="1" thickBot="1" x14ac:dyDescent="0.55000000000000004">
      <c r="A335" s="33">
        <v>328</v>
      </c>
      <c r="B335" s="34" t="s">
        <v>382</v>
      </c>
      <c r="C335" s="34" t="s">
        <v>965</v>
      </c>
      <c r="D335" s="35" t="s">
        <v>837</v>
      </c>
      <c r="E335" s="35" t="s">
        <v>966</v>
      </c>
      <c r="F335" s="36" t="s">
        <v>1292</v>
      </c>
      <c r="G335" s="36" t="s">
        <v>1420</v>
      </c>
      <c r="H335" s="36" t="s">
        <v>1421</v>
      </c>
      <c r="I335" s="36" t="s">
        <v>1421</v>
      </c>
      <c r="J335" s="36" t="s">
        <v>1421</v>
      </c>
      <c r="K335" s="36">
        <v>400</v>
      </c>
      <c r="L335" s="36" t="s">
        <v>1422</v>
      </c>
      <c r="M335" s="49">
        <v>4</v>
      </c>
      <c r="N335" s="37" t="s">
        <v>1750</v>
      </c>
      <c r="O335" s="37"/>
      <c r="P335" s="36">
        <v>1</v>
      </c>
      <c r="Q335" s="36" t="s">
        <v>1962</v>
      </c>
      <c r="R335" s="36" t="s">
        <v>2235</v>
      </c>
      <c r="S335" s="36" t="s">
        <v>1880</v>
      </c>
      <c r="T335" s="36" t="s">
        <v>1881</v>
      </c>
      <c r="U335" s="38">
        <v>45651</v>
      </c>
      <c r="V335" s="39">
        <v>728272</v>
      </c>
      <c r="W335" s="39" t="s">
        <v>2363</v>
      </c>
      <c r="X335" s="39" t="s">
        <v>2363</v>
      </c>
      <c r="Y335" s="40">
        <f t="shared" si="104"/>
        <v>36413.599999999999</v>
      </c>
      <c r="Z335" s="40">
        <f t="shared" si="105"/>
        <v>764685.6</v>
      </c>
      <c r="AA335" s="41" t="str">
        <f t="shared" si="106"/>
        <v>0.0022</v>
      </c>
      <c r="AB335" s="41">
        <f t="shared" si="107"/>
        <v>0</v>
      </c>
      <c r="AC335" s="41">
        <f t="shared" si="108"/>
        <v>0</v>
      </c>
      <c r="AD335" s="41">
        <f t="shared" si="109"/>
        <v>0</v>
      </c>
      <c r="AE335" s="41">
        <f t="shared" si="110"/>
        <v>0</v>
      </c>
      <c r="AF335" s="41">
        <f t="shared" si="111"/>
        <v>0</v>
      </c>
      <c r="AG335" s="41">
        <f t="shared" si="112"/>
        <v>0</v>
      </c>
      <c r="AH335" s="41">
        <f t="shared" si="113"/>
        <v>0</v>
      </c>
      <c r="AI335" s="41">
        <f t="shared" si="114"/>
        <v>6</v>
      </c>
      <c r="AJ335" s="41">
        <f t="shared" si="115"/>
        <v>365</v>
      </c>
      <c r="AK335" s="41">
        <f t="shared" si="116"/>
        <v>181</v>
      </c>
      <c r="AL335" s="42">
        <f t="shared" si="117"/>
        <v>4.3895846575342468</v>
      </c>
      <c r="AM335" s="42">
        <f t="shared" si="118"/>
        <v>794.51482301369867</v>
      </c>
      <c r="AN335" s="43">
        <f t="shared" si="103"/>
        <v>691858.4</v>
      </c>
      <c r="AO335" s="43"/>
      <c r="AP335" s="42">
        <f t="shared" si="119"/>
        <v>72827.199999999953</v>
      </c>
      <c r="AQ335" s="43">
        <v>6</v>
      </c>
      <c r="AR335" s="44">
        <f t="shared" si="120"/>
        <v>0.90476190476190477</v>
      </c>
      <c r="AS335" s="45">
        <f t="shared" si="121"/>
        <v>1820.68</v>
      </c>
      <c r="AU335" s="1">
        <v>655444.80000000005</v>
      </c>
      <c r="AV335" s="50">
        <v>36413.599999999999</v>
      </c>
    </row>
    <row r="336" spans="1:48" s="1" customFormat="1" ht="37.200000000000003" thickTop="1" thickBot="1" x14ac:dyDescent="0.55000000000000004">
      <c r="A336" s="33">
        <v>329</v>
      </c>
      <c r="B336" s="34" t="s">
        <v>383</v>
      </c>
      <c r="C336" s="34" t="s">
        <v>965</v>
      </c>
      <c r="D336" s="35" t="s">
        <v>838</v>
      </c>
      <c r="E336" s="35" t="s">
        <v>966</v>
      </c>
      <c r="F336" s="36" t="s">
        <v>1293</v>
      </c>
      <c r="G336" s="36" t="s">
        <v>1420</v>
      </c>
      <c r="H336" s="36" t="s">
        <v>1421</v>
      </c>
      <c r="I336" s="36" t="s">
        <v>1421</v>
      </c>
      <c r="J336" s="36" t="s">
        <v>1421</v>
      </c>
      <c r="K336" s="36">
        <v>375</v>
      </c>
      <c r="L336" s="36" t="s">
        <v>1422</v>
      </c>
      <c r="M336" s="49">
        <v>4</v>
      </c>
      <c r="N336" s="37" t="s">
        <v>1751</v>
      </c>
      <c r="O336" s="37"/>
      <c r="P336" s="36">
        <v>1</v>
      </c>
      <c r="Q336" s="36" t="s">
        <v>1941</v>
      </c>
      <c r="R336" s="36" t="s">
        <v>2236</v>
      </c>
      <c r="S336" s="36" t="s">
        <v>1880</v>
      </c>
      <c r="T336" s="36" t="s">
        <v>1883</v>
      </c>
      <c r="U336" s="38">
        <v>45651</v>
      </c>
      <c r="V336" s="39">
        <v>790268.8</v>
      </c>
      <c r="W336" s="39" t="s">
        <v>2363</v>
      </c>
      <c r="X336" s="39" t="s">
        <v>2363</v>
      </c>
      <c r="Y336" s="40">
        <f t="shared" si="104"/>
        <v>39513.440000000002</v>
      </c>
      <c r="Z336" s="40">
        <f t="shared" si="105"/>
        <v>829782.24</v>
      </c>
      <c r="AA336" s="41" t="str">
        <f t="shared" si="106"/>
        <v>0.0022</v>
      </c>
      <c r="AB336" s="41">
        <f t="shared" si="107"/>
        <v>0</v>
      </c>
      <c r="AC336" s="41">
        <f t="shared" si="108"/>
        <v>0</v>
      </c>
      <c r="AD336" s="41">
        <f t="shared" si="109"/>
        <v>0</v>
      </c>
      <c r="AE336" s="41">
        <f t="shared" si="110"/>
        <v>0</v>
      </c>
      <c r="AF336" s="41">
        <f t="shared" si="111"/>
        <v>0</v>
      </c>
      <c r="AG336" s="41">
        <f t="shared" si="112"/>
        <v>0</v>
      </c>
      <c r="AH336" s="41">
        <f t="shared" si="113"/>
        <v>0</v>
      </c>
      <c r="AI336" s="41">
        <f t="shared" si="114"/>
        <v>6</v>
      </c>
      <c r="AJ336" s="41">
        <f t="shared" si="115"/>
        <v>365</v>
      </c>
      <c r="AK336" s="41">
        <f t="shared" si="116"/>
        <v>181</v>
      </c>
      <c r="AL336" s="42">
        <f t="shared" si="117"/>
        <v>4.7632640000000004</v>
      </c>
      <c r="AM336" s="42">
        <f t="shared" si="118"/>
        <v>862.15078400000004</v>
      </c>
      <c r="AN336" s="43">
        <f t="shared" si="103"/>
        <v>671728.59</v>
      </c>
      <c r="AO336" s="43"/>
      <c r="AP336" s="42">
        <f t="shared" si="119"/>
        <v>158053.65000000002</v>
      </c>
      <c r="AQ336" s="43">
        <v>5</v>
      </c>
      <c r="AR336" s="44">
        <f t="shared" si="120"/>
        <v>0.80952394208870992</v>
      </c>
      <c r="AS336" s="45">
        <f t="shared" si="121"/>
        <v>2107.3834666666667</v>
      </c>
      <c r="AU336" s="1">
        <v>553188.24</v>
      </c>
      <c r="AV336" s="50">
        <v>118540.35</v>
      </c>
    </row>
    <row r="337" spans="1:48" s="1" customFormat="1" ht="37.200000000000003" thickTop="1" thickBot="1" x14ac:dyDescent="0.55000000000000004">
      <c r="A337" s="33">
        <v>330</v>
      </c>
      <c r="B337" s="34" t="s">
        <v>384</v>
      </c>
      <c r="C337" s="34" t="s">
        <v>965</v>
      </c>
      <c r="D337" s="35" t="s">
        <v>839</v>
      </c>
      <c r="E337" s="35" t="s">
        <v>966</v>
      </c>
      <c r="F337" s="36" t="s">
        <v>1294</v>
      </c>
      <c r="G337" s="36" t="s">
        <v>1420</v>
      </c>
      <c r="H337" s="36" t="s">
        <v>1421</v>
      </c>
      <c r="I337" s="36" t="s">
        <v>1421</v>
      </c>
      <c r="J337" s="36" t="s">
        <v>1421</v>
      </c>
      <c r="K337" s="36">
        <v>375</v>
      </c>
      <c r="L337" s="36" t="s">
        <v>1422</v>
      </c>
      <c r="M337" s="49">
        <v>4</v>
      </c>
      <c r="N337" s="37" t="s">
        <v>1752</v>
      </c>
      <c r="O337" s="37"/>
      <c r="P337" s="36">
        <v>1</v>
      </c>
      <c r="Q337" s="36" t="s">
        <v>1931</v>
      </c>
      <c r="R337" s="36" t="s">
        <v>2237</v>
      </c>
      <c r="S337" s="36" t="s">
        <v>1880</v>
      </c>
      <c r="T337" s="36" t="s">
        <v>1881</v>
      </c>
      <c r="U337" s="38">
        <v>45652</v>
      </c>
      <c r="V337" s="39">
        <v>773729.84</v>
      </c>
      <c r="W337" s="39" t="s">
        <v>2363</v>
      </c>
      <c r="X337" s="39" t="s">
        <v>2363</v>
      </c>
      <c r="Y337" s="40">
        <f t="shared" si="104"/>
        <v>38686.491999999998</v>
      </c>
      <c r="Z337" s="40">
        <f t="shared" si="105"/>
        <v>812416.33199999994</v>
      </c>
      <c r="AA337" s="41" t="str">
        <f t="shared" si="106"/>
        <v>0.0022</v>
      </c>
      <c r="AB337" s="41">
        <f t="shared" si="107"/>
        <v>0</v>
      </c>
      <c r="AC337" s="41">
        <f t="shared" si="108"/>
        <v>0</v>
      </c>
      <c r="AD337" s="41">
        <f t="shared" si="109"/>
        <v>0</v>
      </c>
      <c r="AE337" s="41">
        <f t="shared" si="110"/>
        <v>0</v>
      </c>
      <c r="AF337" s="41">
        <f t="shared" si="111"/>
        <v>0</v>
      </c>
      <c r="AG337" s="41">
        <f t="shared" si="112"/>
        <v>0</v>
      </c>
      <c r="AH337" s="41">
        <f t="shared" si="113"/>
        <v>0</v>
      </c>
      <c r="AI337" s="41">
        <f t="shared" si="114"/>
        <v>5</v>
      </c>
      <c r="AJ337" s="41">
        <f t="shared" si="115"/>
        <v>365</v>
      </c>
      <c r="AK337" s="41">
        <f t="shared" si="116"/>
        <v>181</v>
      </c>
      <c r="AL337" s="42">
        <f t="shared" si="117"/>
        <v>4.6635771178082193</v>
      </c>
      <c r="AM337" s="42">
        <f t="shared" si="118"/>
        <v>844.10745832328769</v>
      </c>
      <c r="AN337" s="43">
        <f t="shared" si="103"/>
        <v>696356.87</v>
      </c>
      <c r="AO337" s="43"/>
      <c r="AP337" s="42">
        <f t="shared" si="119"/>
        <v>116059.46199999994</v>
      </c>
      <c r="AQ337" s="43">
        <v>5</v>
      </c>
      <c r="AR337" s="44">
        <f t="shared" si="120"/>
        <v>0.85714287437540093</v>
      </c>
      <c r="AS337" s="45">
        <f t="shared" si="121"/>
        <v>2063.2795733333332</v>
      </c>
      <c r="AU337" s="1">
        <v>580297.39</v>
      </c>
      <c r="AV337" s="50">
        <v>116059.48</v>
      </c>
    </row>
    <row r="338" spans="1:48" s="1" customFormat="1" ht="37.200000000000003" thickTop="1" thickBot="1" x14ac:dyDescent="0.55000000000000004">
      <c r="A338" s="33">
        <v>331</v>
      </c>
      <c r="B338" s="34" t="s">
        <v>385</v>
      </c>
      <c r="C338" s="34" t="s">
        <v>965</v>
      </c>
      <c r="D338" s="35" t="s">
        <v>840</v>
      </c>
      <c r="E338" s="35" t="s">
        <v>966</v>
      </c>
      <c r="F338" s="36" t="s">
        <v>1295</v>
      </c>
      <c r="G338" s="36" t="s">
        <v>1420</v>
      </c>
      <c r="H338" s="36" t="s">
        <v>1421</v>
      </c>
      <c r="I338" s="36" t="s">
        <v>1421</v>
      </c>
      <c r="J338" s="36" t="s">
        <v>1421</v>
      </c>
      <c r="K338" s="36">
        <v>350</v>
      </c>
      <c r="L338" s="36" t="s">
        <v>1422</v>
      </c>
      <c r="M338" s="49">
        <v>4</v>
      </c>
      <c r="N338" s="37" t="s">
        <v>1753</v>
      </c>
      <c r="O338" s="37"/>
      <c r="P338" s="36">
        <v>1</v>
      </c>
      <c r="Q338" s="36" t="s">
        <v>1915</v>
      </c>
      <c r="R338" s="36" t="s">
        <v>2238</v>
      </c>
      <c r="S338" s="36" t="s">
        <v>1880</v>
      </c>
      <c r="T338" s="36" t="s">
        <v>1881</v>
      </c>
      <c r="U338" s="38">
        <v>45652</v>
      </c>
      <c r="V338" s="39">
        <v>609077.80000000005</v>
      </c>
      <c r="W338" s="39" t="s">
        <v>2363</v>
      </c>
      <c r="X338" s="39" t="s">
        <v>2363</v>
      </c>
      <c r="Y338" s="40">
        <f t="shared" si="104"/>
        <v>30453.89</v>
      </c>
      <c r="Z338" s="40">
        <f t="shared" si="105"/>
        <v>639531.69000000006</v>
      </c>
      <c r="AA338" s="41" t="str">
        <f t="shared" si="106"/>
        <v>0.0018</v>
      </c>
      <c r="AB338" s="41">
        <f t="shared" si="107"/>
        <v>0</v>
      </c>
      <c r="AC338" s="41">
        <f t="shared" si="108"/>
        <v>0</v>
      </c>
      <c r="AD338" s="41">
        <f t="shared" si="109"/>
        <v>0</v>
      </c>
      <c r="AE338" s="41">
        <f t="shared" si="110"/>
        <v>0</v>
      </c>
      <c r="AF338" s="41">
        <f t="shared" si="111"/>
        <v>0</v>
      </c>
      <c r="AG338" s="41">
        <f t="shared" si="112"/>
        <v>0</v>
      </c>
      <c r="AH338" s="41">
        <f t="shared" si="113"/>
        <v>0</v>
      </c>
      <c r="AI338" s="41">
        <f t="shared" si="114"/>
        <v>5</v>
      </c>
      <c r="AJ338" s="41">
        <f t="shared" si="115"/>
        <v>365</v>
      </c>
      <c r="AK338" s="41">
        <f t="shared" si="116"/>
        <v>181</v>
      </c>
      <c r="AL338" s="42">
        <f t="shared" si="117"/>
        <v>3.0036713424657537</v>
      </c>
      <c r="AM338" s="42">
        <f t="shared" si="118"/>
        <v>543.66451298630147</v>
      </c>
      <c r="AN338" s="43">
        <f t="shared" si="103"/>
        <v>578623.91</v>
      </c>
      <c r="AO338" s="43"/>
      <c r="AP338" s="42">
        <f t="shared" si="119"/>
        <v>60907.780000000028</v>
      </c>
      <c r="AQ338" s="43">
        <v>6</v>
      </c>
      <c r="AR338" s="44">
        <f t="shared" si="120"/>
        <v>0.90476190476190477</v>
      </c>
      <c r="AS338" s="45">
        <f t="shared" si="121"/>
        <v>1740.2222857142858</v>
      </c>
      <c r="AU338" s="1">
        <v>548170.02</v>
      </c>
      <c r="AV338" s="50">
        <v>30453.89</v>
      </c>
    </row>
    <row r="339" spans="1:48" s="1" customFormat="1" ht="37.200000000000003" thickTop="1" thickBot="1" x14ac:dyDescent="0.55000000000000004">
      <c r="A339" s="33">
        <v>332</v>
      </c>
      <c r="B339" s="34" t="s">
        <v>386</v>
      </c>
      <c r="C339" s="34" t="s">
        <v>965</v>
      </c>
      <c r="D339" s="35" t="s">
        <v>841</v>
      </c>
      <c r="E339" s="35" t="s">
        <v>966</v>
      </c>
      <c r="F339" s="36" t="s">
        <v>1296</v>
      </c>
      <c r="G339" s="36" t="s">
        <v>1420</v>
      </c>
      <c r="H339" s="36" t="s">
        <v>1421</v>
      </c>
      <c r="I339" s="36" t="s">
        <v>1421</v>
      </c>
      <c r="J339" s="36" t="s">
        <v>1421</v>
      </c>
      <c r="K339" s="36">
        <v>375</v>
      </c>
      <c r="L339" s="36" t="s">
        <v>1422</v>
      </c>
      <c r="M339" s="49">
        <v>4</v>
      </c>
      <c r="N339" s="37" t="s">
        <v>1754</v>
      </c>
      <c r="O339" s="37"/>
      <c r="P339" s="36">
        <v>1</v>
      </c>
      <c r="Q339" s="36" t="s">
        <v>1933</v>
      </c>
      <c r="R339" s="36" t="s">
        <v>2239</v>
      </c>
      <c r="S339" s="36" t="s">
        <v>1880</v>
      </c>
      <c r="T339" s="36" t="s">
        <v>1881</v>
      </c>
      <c r="U339" s="38">
        <v>45652</v>
      </c>
      <c r="V339" s="39">
        <v>612876.64</v>
      </c>
      <c r="W339" s="39" t="s">
        <v>2363</v>
      </c>
      <c r="X339" s="39" t="s">
        <v>2363</v>
      </c>
      <c r="Y339" s="40">
        <f t="shared" si="104"/>
        <v>30643.832000000002</v>
      </c>
      <c r="Z339" s="40">
        <f t="shared" si="105"/>
        <v>643520.47200000007</v>
      </c>
      <c r="AA339" s="41" t="str">
        <f t="shared" si="106"/>
        <v>0.0018</v>
      </c>
      <c r="AB339" s="41">
        <f t="shared" si="107"/>
        <v>0</v>
      </c>
      <c r="AC339" s="41">
        <f t="shared" si="108"/>
        <v>0</v>
      </c>
      <c r="AD339" s="41">
        <f t="shared" si="109"/>
        <v>0</v>
      </c>
      <c r="AE339" s="41">
        <f t="shared" si="110"/>
        <v>0</v>
      </c>
      <c r="AF339" s="41">
        <f t="shared" si="111"/>
        <v>0</v>
      </c>
      <c r="AG339" s="41">
        <f t="shared" si="112"/>
        <v>0</v>
      </c>
      <c r="AH339" s="41">
        <f t="shared" si="113"/>
        <v>0</v>
      </c>
      <c r="AI339" s="41">
        <f t="shared" si="114"/>
        <v>5</v>
      </c>
      <c r="AJ339" s="41">
        <f t="shared" si="115"/>
        <v>365</v>
      </c>
      <c r="AK339" s="41">
        <f t="shared" si="116"/>
        <v>181</v>
      </c>
      <c r="AL339" s="42">
        <f t="shared" si="117"/>
        <v>3.0224053479452055</v>
      </c>
      <c r="AM339" s="42">
        <f t="shared" si="118"/>
        <v>547.05536797808224</v>
      </c>
      <c r="AN339" s="43">
        <f t="shared" si="103"/>
        <v>551588.99</v>
      </c>
      <c r="AO339" s="43"/>
      <c r="AP339" s="42">
        <f t="shared" si="119"/>
        <v>91931.482000000076</v>
      </c>
      <c r="AQ339" s="43">
        <v>5</v>
      </c>
      <c r="AR339" s="44">
        <f t="shared" si="120"/>
        <v>0.85714287889818663</v>
      </c>
      <c r="AS339" s="45">
        <f t="shared" si="121"/>
        <v>1634.3377066666667</v>
      </c>
      <c r="AU339" s="1">
        <v>459657.49000000005</v>
      </c>
      <c r="AV339" s="50">
        <v>91931.5</v>
      </c>
    </row>
    <row r="340" spans="1:48" s="1" customFormat="1" ht="37.200000000000003" thickTop="1" thickBot="1" x14ac:dyDescent="0.55000000000000004">
      <c r="A340" s="33">
        <v>333</v>
      </c>
      <c r="B340" s="34" t="s">
        <v>387</v>
      </c>
      <c r="C340" s="34" t="s">
        <v>965</v>
      </c>
      <c r="D340" s="35" t="s">
        <v>842</v>
      </c>
      <c r="E340" s="35" t="s">
        <v>966</v>
      </c>
      <c r="F340" s="36" t="s">
        <v>1297</v>
      </c>
      <c r="G340" s="36" t="s">
        <v>1420</v>
      </c>
      <c r="H340" s="36" t="s">
        <v>1421</v>
      </c>
      <c r="I340" s="36" t="s">
        <v>1421</v>
      </c>
      <c r="J340" s="36" t="s">
        <v>1421</v>
      </c>
      <c r="K340" s="36">
        <v>375</v>
      </c>
      <c r="L340" s="36" t="s">
        <v>1422</v>
      </c>
      <c r="M340" s="49">
        <v>4</v>
      </c>
      <c r="N340" s="37" t="s">
        <v>1755</v>
      </c>
      <c r="O340" s="37"/>
      <c r="P340" s="36">
        <v>1</v>
      </c>
      <c r="Q340" s="36" t="s">
        <v>1935</v>
      </c>
      <c r="R340" s="36" t="s">
        <v>2240</v>
      </c>
      <c r="S340" s="36" t="s">
        <v>1880</v>
      </c>
      <c r="T340" s="36" t="s">
        <v>1881</v>
      </c>
      <c r="U340" s="38">
        <v>45652</v>
      </c>
      <c r="V340" s="39">
        <v>612875.48</v>
      </c>
      <c r="W340" s="39" t="s">
        <v>2363</v>
      </c>
      <c r="X340" s="39" t="s">
        <v>2363</v>
      </c>
      <c r="Y340" s="40">
        <f t="shared" si="104"/>
        <v>30643.773999999998</v>
      </c>
      <c r="Z340" s="40">
        <f t="shared" si="105"/>
        <v>643519.25399999996</v>
      </c>
      <c r="AA340" s="41" t="str">
        <f t="shared" si="106"/>
        <v>0.0018</v>
      </c>
      <c r="AB340" s="41">
        <f t="shared" si="107"/>
        <v>0</v>
      </c>
      <c r="AC340" s="41">
        <f t="shared" si="108"/>
        <v>0</v>
      </c>
      <c r="AD340" s="41">
        <f t="shared" si="109"/>
        <v>0</v>
      </c>
      <c r="AE340" s="41">
        <f t="shared" si="110"/>
        <v>0</v>
      </c>
      <c r="AF340" s="41">
        <f t="shared" si="111"/>
        <v>0</v>
      </c>
      <c r="AG340" s="41">
        <f t="shared" si="112"/>
        <v>0</v>
      </c>
      <c r="AH340" s="41">
        <f t="shared" si="113"/>
        <v>0</v>
      </c>
      <c r="AI340" s="41">
        <f t="shared" si="114"/>
        <v>5</v>
      </c>
      <c r="AJ340" s="41">
        <f t="shared" si="115"/>
        <v>365</v>
      </c>
      <c r="AK340" s="41">
        <f t="shared" si="116"/>
        <v>181</v>
      </c>
      <c r="AL340" s="42">
        <f t="shared" si="117"/>
        <v>3.0223996273972604</v>
      </c>
      <c r="AM340" s="42">
        <f t="shared" si="118"/>
        <v>547.05433255890409</v>
      </c>
      <c r="AN340" s="43">
        <f t="shared" si="103"/>
        <v>551587.93999999994</v>
      </c>
      <c r="AO340" s="43"/>
      <c r="AP340" s="42">
        <f t="shared" si="119"/>
        <v>91931.314000000013</v>
      </c>
      <c r="AQ340" s="43">
        <v>5</v>
      </c>
      <c r="AR340" s="44">
        <f t="shared" si="120"/>
        <v>0.85714286957449759</v>
      </c>
      <c r="AS340" s="45">
        <f t="shared" si="121"/>
        <v>1634.3346133333332</v>
      </c>
      <c r="AU340" s="1">
        <v>459656.62</v>
      </c>
      <c r="AV340" s="50">
        <v>91931.32</v>
      </c>
    </row>
    <row r="341" spans="1:48" s="1" customFormat="1" ht="37.200000000000003" thickTop="1" thickBot="1" x14ac:dyDescent="0.55000000000000004">
      <c r="A341" s="33">
        <v>334</v>
      </c>
      <c r="B341" s="34" t="s">
        <v>388</v>
      </c>
      <c r="C341" s="34" t="s">
        <v>965</v>
      </c>
      <c r="D341" s="35" t="s">
        <v>843</v>
      </c>
      <c r="E341" s="35" t="s">
        <v>966</v>
      </c>
      <c r="F341" s="36" t="s">
        <v>1298</v>
      </c>
      <c r="G341" s="36" t="s">
        <v>1420</v>
      </c>
      <c r="H341" s="36" t="s">
        <v>1421</v>
      </c>
      <c r="I341" s="36" t="s">
        <v>1421</v>
      </c>
      <c r="J341" s="36" t="s">
        <v>1421</v>
      </c>
      <c r="K341" s="36">
        <v>362.5</v>
      </c>
      <c r="L341" s="36" t="s">
        <v>1422</v>
      </c>
      <c r="M341" s="49">
        <v>4</v>
      </c>
      <c r="N341" s="37" t="s">
        <v>1756</v>
      </c>
      <c r="O341" s="37"/>
      <c r="P341" s="36">
        <v>1</v>
      </c>
      <c r="Q341" s="36" t="s">
        <v>1964</v>
      </c>
      <c r="R341" s="36" t="s">
        <v>2241</v>
      </c>
      <c r="S341" s="36" t="s">
        <v>1880</v>
      </c>
      <c r="T341" s="36" t="s">
        <v>1881</v>
      </c>
      <c r="U341" s="38">
        <v>45652</v>
      </c>
      <c r="V341" s="39">
        <v>622794.80000000005</v>
      </c>
      <c r="W341" s="39" t="s">
        <v>2363</v>
      </c>
      <c r="X341" s="39" t="s">
        <v>2363</v>
      </c>
      <c r="Y341" s="40">
        <f t="shared" si="104"/>
        <v>31139.74</v>
      </c>
      <c r="Z341" s="40">
        <f t="shared" si="105"/>
        <v>653934.54</v>
      </c>
      <c r="AA341" s="41" t="str">
        <f t="shared" si="106"/>
        <v>0.0018</v>
      </c>
      <c r="AB341" s="41">
        <f t="shared" si="107"/>
        <v>0</v>
      </c>
      <c r="AC341" s="41">
        <f t="shared" si="108"/>
        <v>0</v>
      </c>
      <c r="AD341" s="41">
        <f t="shared" si="109"/>
        <v>0</v>
      </c>
      <c r="AE341" s="41">
        <f t="shared" si="110"/>
        <v>0</v>
      </c>
      <c r="AF341" s="41">
        <f t="shared" si="111"/>
        <v>0</v>
      </c>
      <c r="AG341" s="41">
        <f t="shared" si="112"/>
        <v>0</v>
      </c>
      <c r="AH341" s="41">
        <f t="shared" si="113"/>
        <v>0</v>
      </c>
      <c r="AI341" s="41">
        <f t="shared" si="114"/>
        <v>5</v>
      </c>
      <c r="AJ341" s="41">
        <f t="shared" si="115"/>
        <v>365</v>
      </c>
      <c r="AK341" s="41">
        <f t="shared" si="116"/>
        <v>181</v>
      </c>
      <c r="AL341" s="42">
        <f t="shared" si="117"/>
        <v>3.071316821917808</v>
      </c>
      <c r="AM341" s="42">
        <f t="shared" si="118"/>
        <v>555.90834476712325</v>
      </c>
      <c r="AN341" s="43">
        <f t="shared" si="103"/>
        <v>591655.06000000006</v>
      </c>
      <c r="AO341" s="43"/>
      <c r="AP341" s="42">
        <f t="shared" si="119"/>
        <v>62279.479999999981</v>
      </c>
      <c r="AQ341" s="43">
        <v>6</v>
      </c>
      <c r="AR341" s="44">
        <f t="shared" si="120"/>
        <v>0.90476190476190477</v>
      </c>
      <c r="AS341" s="45">
        <f t="shared" si="121"/>
        <v>1718.0546206896554</v>
      </c>
      <c r="AU341" s="1">
        <v>560515.32000000007</v>
      </c>
      <c r="AV341" s="50">
        <v>31139.74</v>
      </c>
    </row>
    <row r="342" spans="1:48" s="1" customFormat="1" ht="37.200000000000003" thickTop="1" thickBot="1" x14ac:dyDescent="0.55000000000000004">
      <c r="A342" s="33">
        <v>335</v>
      </c>
      <c r="B342" s="34" t="s">
        <v>389</v>
      </c>
      <c r="C342" s="34" t="s">
        <v>965</v>
      </c>
      <c r="D342" s="35" t="s">
        <v>844</v>
      </c>
      <c r="E342" s="35" t="s">
        <v>966</v>
      </c>
      <c r="F342" s="36" t="s">
        <v>1299</v>
      </c>
      <c r="G342" s="36" t="s">
        <v>1420</v>
      </c>
      <c r="H342" s="36" t="s">
        <v>1421</v>
      </c>
      <c r="I342" s="36" t="s">
        <v>1421</v>
      </c>
      <c r="J342" s="36" t="s">
        <v>1421</v>
      </c>
      <c r="K342" s="36">
        <v>378.16</v>
      </c>
      <c r="L342" s="36" t="s">
        <v>1422</v>
      </c>
      <c r="M342" s="49">
        <v>4</v>
      </c>
      <c r="N342" s="37" t="s">
        <v>1757</v>
      </c>
      <c r="O342" s="37"/>
      <c r="P342" s="36">
        <v>1</v>
      </c>
      <c r="Q342" s="36" t="s">
        <v>1956</v>
      </c>
      <c r="R342" s="36" t="s">
        <v>2242</v>
      </c>
      <c r="S342" s="36" t="s">
        <v>1880</v>
      </c>
      <c r="T342" s="36" t="s">
        <v>1881</v>
      </c>
      <c r="U342" s="38">
        <v>45652</v>
      </c>
      <c r="V342" s="39">
        <v>797329.95</v>
      </c>
      <c r="W342" s="39" t="s">
        <v>2363</v>
      </c>
      <c r="X342" s="39" t="s">
        <v>2363</v>
      </c>
      <c r="Y342" s="40">
        <f t="shared" si="104"/>
        <v>39866.497499999998</v>
      </c>
      <c r="Z342" s="40">
        <f t="shared" si="105"/>
        <v>837196.44750000001</v>
      </c>
      <c r="AA342" s="41" t="str">
        <f t="shared" si="106"/>
        <v>0.0022</v>
      </c>
      <c r="AB342" s="41">
        <f t="shared" si="107"/>
        <v>0</v>
      </c>
      <c r="AC342" s="41">
        <f t="shared" si="108"/>
        <v>0</v>
      </c>
      <c r="AD342" s="41">
        <f t="shared" si="109"/>
        <v>0</v>
      </c>
      <c r="AE342" s="41">
        <f t="shared" si="110"/>
        <v>0</v>
      </c>
      <c r="AF342" s="41">
        <f t="shared" si="111"/>
        <v>0</v>
      </c>
      <c r="AG342" s="41">
        <f t="shared" si="112"/>
        <v>0</v>
      </c>
      <c r="AH342" s="41">
        <f t="shared" si="113"/>
        <v>0</v>
      </c>
      <c r="AI342" s="41">
        <f t="shared" si="114"/>
        <v>5</v>
      </c>
      <c r="AJ342" s="41">
        <f t="shared" si="115"/>
        <v>365</v>
      </c>
      <c r="AK342" s="41">
        <f t="shared" si="116"/>
        <v>181</v>
      </c>
      <c r="AL342" s="42">
        <f t="shared" si="117"/>
        <v>4.8058243561643836</v>
      </c>
      <c r="AM342" s="42">
        <f t="shared" si="118"/>
        <v>869.85420846575346</v>
      </c>
      <c r="AN342" s="43">
        <f t="shared" si="103"/>
        <v>717596.95</v>
      </c>
      <c r="AO342" s="43"/>
      <c r="AP342" s="42">
        <f t="shared" si="119"/>
        <v>119599.49750000006</v>
      </c>
      <c r="AQ342" s="43">
        <v>5</v>
      </c>
      <c r="AR342" s="44">
        <f t="shared" si="120"/>
        <v>0.85714285117054312</v>
      </c>
      <c r="AS342" s="45">
        <f t="shared" si="121"/>
        <v>2108.4460281362385</v>
      </c>
      <c r="AU342" s="1">
        <v>717596.95</v>
      </c>
      <c r="AV342" s="50">
        <v>0</v>
      </c>
    </row>
    <row r="343" spans="1:48" s="1" customFormat="1" ht="37.200000000000003" thickTop="1" thickBot="1" x14ac:dyDescent="0.55000000000000004">
      <c r="A343" s="33">
        <v>336</v>
      </c>
      <c r="B343" s="34" t="s">
        <v>390</v>
      </c>
      <c r="C343" s="34" t="s">
        <v>965</v>
      </c>
      <c r="D343" s="35" t="s">
        <v>845</v>
      </c>
      <c r="E343" s="35" t="s">
        <v>966</v>
      </c>
      <c r="F343" s="36" t="s">
        <v>1300</v>
      </c>
      <c r="G343" s="36" t="s">
        <v>1420</v>
      </c>
      <c r="H343" s="36" t="s">
        <v>1421</v>
      </c>
      <c r="I343" s="36" t="s">
        <v>1421</v>
      </c>
      <c r="J343" s="36" t="s">
        <v>1421</v>
      </c>
      <c r="K343" s="36">
        <v>375</v>
      </c>
      <c r="L343" s="36" t="s">
        <v>1422</v>
      </c>
      <c r="M343" s="49">
        <v>4</v>
      </c>
      <c r="N343" s="37" t="s">
        <v>1758</v>
      </c>
      <c r="O343" s="37"/>
      <c r="P343" s="36">
        <v>1</v>
      </c>
      <c r="Q343" s="36" t="s">
        <v>1935</v>
      </c>
      <c r="R343" s="36" t="s">
        <v>2243</v>
      </c>
      <c r="S343" s="36" t="s">
        <v>1880</v>
      </c>
      <c r="T343" s="36" t="s">
        <v>1991</v>
      </c>
      <c r="U343" s="38">
        <v>45654</v>
      </c>
      <c r="V343" s="39">
        <v>612876.64</v>
      </c>
      <c r="W343" s="39" t="s">
        <v>2363</v>
      </c>
      <c r="X343" s="39" t="s">
        <v>2363</v>
      </c>
      <c r="Y343" s="40">
        <f t="shared" si="104"/>
        <v>30643.832000000002</v>
      </c>
      <c r="Z343" s="40">
        <f t="shared" si="105"/>
        <v>643520.47200000007</v>
      </c>
      <c r="AA343" s="41" t="str">
        <f t="shared" si="106"/>
        <v>0.0018</v>
      </c>
      <c r="AB343" s="41">
        <f t="shared" si="107"/>
        <v>0</v>
      </c>
      <c r="AC343" s="41">
        <f t="shared" si="108"/>
        <v>0</v>
      </c>
      <c r="AD343" s="41">
        <f t="shared" si="109"/>
        <v>0</v>
      </c>
      <c r="AE343" s="41">
        <f t="shared" si="110"/>
        <v>0</v>
      </c>
      <c r="AF343" s="41">
        <f t="shared" si="111"/>
        <v>0</v>
      </c>
      <c r="AG343" s="41">
        <f t="shared" si="112"/>
        <v>0</v>
      </c>
      <c r="AH343" s="41">
        <f t="shared" si="113"/>
        <v>0</v>
      </c>
      <c r="AI343" s="41">
        <f t="shared" si="114"/>
        <v>3</v>
      </c>
      <c r="AJ343" s="41">
        <f t="shared" si="115"/>
        <v>365</v>
      </c>
      <c r="AK343" s="41">
        <f t="shared" si="116"/>
        <v>181</v>
      </c>
      <c r="AL343" s="42">
        <f t="shared" si="117"/>
        <v>3.0224053479452055</v>
      </c>
      <c r="AM343" s="42">
        <f t="shared" si="118"/>
        <v>547.05536797808224</v>
      </c>
      <c r="AN343" s="43">
        <f t="shared" si="103"/>
        <v>551589.09</v>
      </c>
      <c r="AO343" s="43"/>
      <c r="AP343" s="42">
        <f t="shared" si="119"/>
        <v>91931.3820000001</v>
      </c>
      <c r="AQ343" s="43">
        <v>5</v>
      </c>
      <c r="AR343" s="44">
        <f t="shared" si="120"/>
        <v>0.85714303429339833</v>
      </c>
      <c r="AS343" s="45">
        <f t="shared" si="121"/>
        <v>1634.3377066666667</v>
      </c>
      <c r="AU343" s="1">
        <v>367725.99</v>
      </c>
      <c r="AV343" s="50">
        <v>183863.1</v>
      </c>
    </row>
    <row r="344" spans="1:48" s="1" customFormat="1" ht="37.200000000000003" thickTop="1" thickBot="1" x14ac:dyDescent="0.55000000000000004">
      <c r="A344" s="33">
        <v>337</v>
      </c>
      <c r="B344" s="34" t="s">
        <v>391</v>
      </c>
      <c r="C344" s="34" t="s">
        <v>965</v>
      </c>
      <c r="D344" s="35" t="s">
        <v>846</v>
      </c>
      <c r="E344" s="35" t="s">
        <v>966</v>
      </c>
      <c r="F344" s="36" t="s">
        <v>1301</v>
      </c>
      <c r="G344" s="36" t="s">
        <v>1420</v>
      </c>
      <c r="H344" s="36" t="s">
        <v>1421</v>
      </c>
      <c r="I344" s="36" t="s">
        <v>1421</v>
      </c>
      <c r="J344" s="36" t="s">
        <v>1421</v>
      </c>
      <c r="K344" s="36">
        <v>362.5</v>
      </c>
      <c r="L344" s="36" t="s">
        <v>1422</v>
      </c>
      <c r="M344" s="49">
        <v>4</v>
      </c>
      <c r="N344" s="37" t="s">
        <v>1759</v>
      </c>
      <c r="O344" s="37"/>
      <c r="P344" s="36">
        <v>1</v>
      </c>
      <c r="Q344" s="36" t="s">
        <v>1964</v>
      </c>
      <c r="R344" s="36" t="s">
        <v>2244</v>
      </c>
      <c r="S344" s="36" t="s">
        <v>1880</v>
      </c>
      <c r="T344" s="36" t="s">
        <v>1883</v>
      </c>
      <c r="U344" s="38">
        <v>45654</v>
      </c>
      <c r="V344" s="39">
        <v>622794.80000000005</v>
      </c>
      <c r="W344" s="39" t="s">
        <v>2363</v>
      </c>
      <c r="X344" s="39" t="s">
        <v>2363</v>
      </c>
      <c r="Y344" s="40">
        <f t="shared" si="104"/>
        <v>31139.74</v>
      </c>
      <c r="Z344" s="40">
        <f t="shared" si="105"/>
        <v>653934.54</v>
      </c>
      <c r="AA344" s="41" t="str">
        <f t="shared" si="106"/>
        <v>0.0018</v>
      </c>
      <c r="AB344" s="41">
        <f t="shared" si="107"/>
        <v>0</v>
      </c>
      <c r="AC344" s="41">
        <f t="shared" si="108"/>
        <v>0</v>
      </c>
      <c r="AD344" s="41">
        <f t="shared" si="109"/>
        <v>0</v>
      </c>
      <c r="AE344" s="41">
        <f t="shared" si="110"/>
        <v>0</v>
      </c>
      <c r="AF344" s="41">
        <f t="shared" si="111"/>
        <v>0</v>
      </c>
      <c r="AG344" s="41">
        <f t="shared" si="112"/>
        <v>0</v>
      </c>
      <c r="AH344" s="41">
        <f t="shared" si="113"/>
        <v>0</v>
      </c>
      <c r="AI344" s="41">
        <f t="shared" si="114"/>
        <v>3</v>
      </c>
      <c r="AJ344" s="41">
        <f t="shared" si="115"/>
        <v>365</v>
      </c>
      <c r="AK344" s="41">
        <f t="shared" si="116"/>
        <v>181</v>
      </c>
      <c r="AL344" s="42">
        <f t="shared" si="117"/>
        <v>3.071316821917808</v>
      </c>
      <c r="AM344" s="42">
        <f t="shared" si="118"/>
        <v>555.90834476712325</v>
      </c>
      <c r="AN344" s="43">
        <f t="shared" si="103"/>
        <v>529375.64999999991</v>
      </c>
      <c r="AO344" s="43"/>
      <c r="AP344" s="42">
        <f t="shared" si="119"/>
        <v>124558.89000000013</v>
      </c>
      <c r="AQ344" s="43">
        <v>5</v>
      </c>
      <c r="AR344" s="44">
        <f t="shared" si="120"/>
        <v>0.80952391656816269</v>
      </c>
      <c r="AS344" s="45">
        <f t="shared" si="121"/>
        <v>1718.0546206896554</v>
      </c>
      <c r="AU344" s="1">
        <v>529375.64999999991</v>
      </c>
      <c r="AV344" s="50">
        <v>0</v>
      </c>
    </row>
    <row r="345" spans="1:48" s="1" customFormat="1" ht="37.200000000000003" thickTop="1" thickBot="1" x14ac:dyDescent="0.55000000000000004">
      <c r="A345" s="33">
        <v>338</v>
      </c>
      <c r="B345" s="34" t="s">
        <v>392</v>
      </c>
      <c r="C345" s="34" t="s">
        <v>965</v>
      </c>
      <c r="D345" s="35" t="s">
        <v>847</v>
      </c>
      <c r="E345" s="35" t="s">
        <v>966</v>
      </c>
      <c r="F345" s="36" t="s">
        <v>1302</v>
      </c>
      <c r="G345" s="36" t="s">
        <v>1420</v>
      </c>
      <c r="H345" s="36" t="s">
        <v>1421</v>
      </c>
      <c r="I345" s="36" t="s">
        <v>1421</v>
      </c>
      <c r="J345" s="36" t="s">
        <v>1421</v>
      </c>
      <c r="K345" s="36">
        <v>362.5</v>
      </c>
      <c r="L345" s="36" t="s">
        <v>1422</v>
      </c>
      <c r="M345" s="49">
        <v>4</v>
      </c>
      <c r="N345" s="37" t="s">
        <v>1760</v>
      </c>
      <c r="O345" s="37"/>
      <c r="P345" s="36">
        <v>1</v>
      </c>
      <c r="Q345" s="36" t="s">
        <v>1941</v>
      </c>
      <c r="R345" s="36" t="s">
        <v>2245</v>
      </c>
      <c r="S345" s="36" t="s">
        <v>1880</v>
      </c>
      <c r="T345" s="36" t="s">
        <v>1883</v>
      </c>
      <c r="U345" s="38">
        <v>45654</v>
      </c>
      <c r="V345" s="39">
        <v>622796</v>
      </c>
      <c r="W345" s="39" t="s">
        <v>2363</v>
      </c>
      <c r="X345" s="39" t="s">
        <v>2363</v>
      </c>
      <c r="Y345" s="40">
        <f t="shared" si="104"/>
        <v>31139.8</v>
      </c>
      <c r="Z345" s="40">
        <f t="shared" si="105"/>
        <v>653935.80000000005</v>
      </c>
      <c r="AA345" s="41" t="str">
        <f t="shared" si="106"/>
        <v>0.0018</v>
      </c>
      <c r="AB345" s="41">
        <f t="shared" si="107"/>
        <v>0</v>
      </c>
      <c r="AC345" s="41">
        <f t="shared" si="108"/>
        <v>0</v>
      </c>
      <c r="AD345" s="41">
        <f t="shared" si="109"/>
        <v>0</v>
      </c>
      <c r="AE345" s="41">
        <f t="shared" si="110"/>
        <v>0</v>
      </c>
      <c r="AF345" s="41">
        <f t="shared" si="111"/>
        <v>0</v>
      </c>
      <c r="AG345" s="41">
        <f t="shared" si="112"/>
        <v>0</v>
      </c>
      <c r="AH345" s="41">
        <f t="shared" si="113"/>
        <v>0</v>
      </c>
      <c r="AI345" s="41">
        <f t="shared" si="114"/>
        <v>3</v>
      </c>
      <c r="AJ345" s="41">
        <f t="shared" si="115"/>
        <v>365</v>
      </c>
      <c r="AK345" s="41">
        <f t="shared" si="116"/>
        <v>181</v>
      </c>
      <c r="AL345" s="42">
        <f t="shared" si="117"/>
        <v>3.0713227397260274</v>
      </c>
      <c r="AM345" s="42">
        <f t="shared" si="118"/>
        <v>555.90941589041097</v>
      </c>
      <c r="AN345" s="43">
        <f t="shared" si="103"/>
        <v>529376.6</v>
      </c>
      <c r="AO345" s="43"/>
      <c r="AP345" s="42">
        <f t="shared" si="119"/>
        <v>124559.20000000007</v>
      </c>
      <c r="AQ345" s="43">
        <v>5</v>
      </c>
      <c r="AR345" s="44">
        <f t="shared" si="120"/>
        <v>0.80952380952380942</v>
      </c>
      <c r="AS345" s="45">
        <f t="shared" si="121"/>
        <v>1718.0579310344829</v>
      </c>
      <c r="AU345" s="1">
        <v>435957.2</v>
      </c>
      <c r="AV345" s="50">
        <v>93419.4</v>
      </c>
    </row>
    <row r="346" spans="1:48" s="1" customFormat="1" ht="37.200000000000003" thickTop="1" thickBot="1" x14ac:dyDescent="0.55000000000000004">
      <c r="A346" s="33">
        <v>339</v>
      </c>
      <c r="B346" s="34" t="s">
        <v>393</v>
      </c>
      <c r="C346" s="34" t="s">
        <v>965</v>
      </c>
      <c r="D346" s="35" t="s">
        <v>848</v>
      </c>
      <c r="E346" s="35" t="s">
        <v>966</v>
      </c>
      <c r="F346" s="36" t="s">
        <v>1303</v>
      </c>
      <c r="G346" s="36" t="s">
        <v>1420</v>
      </c>
      <c r="H346" s="36" t="s">
        <v>1421</v>
      </c>
      <c r="I346" s="36" t="s">
        <v>1421</v>
      </c>
      <c r="J346" s="36" t="s">
        <v>1421</v>
      </c>
      <c r="K346" s="36">
        <v>375</v>
      </c>
      <c r="L346" s="36" t="s">
        <v>1422</v>
      </c>
      <c r="M346" s="49">
        <v>4</v>
      </c>
      <c r="N346" s="37" t="s">
        <v>1761</v>
      </c>
      <c r="O346" s="37"/>
      <c r="P346" s="36">
        <v>1</v>
      </c>
      <c r="Q346" s="36" t="s">
        <v>1937</v>
      </c>
      <c r="R346" s="36" t="s">
        <v>2246</v>
      </c>
      <c r="S346" s="36" t="s">
        <v>1880</v>
      </c>
      <c r="T346" s="36" t="s">
        <v>1883</v>
      </c>
      <c r="U346" s="38">
        <v>45654</v>
      </c>
      <c r="V346" s="39">
        <v>627543.6</v>
      </c>
      <c r="W346" s="39" t="s">
        <v>2363</v>
      </c>
      <c r="X346" s="39" t="s">
        <v>2363</v>
      </c>
      <c r="Y346" s="40">
        <f t="shared" si="104"/>
        <v>31377.18</v>
      </c>
      <c r="Z346" s="40">
        <f t="shared" si="105"/>
        <v>658920.78</v>
      </c>
      <c r="AA346" s="41" t="str">
        <f t="shared" si="106"/>
        <v>0.0018</v>
      </c>
      <c r="AB346" s="41">
        <f t="shared" si="107"/>
        <v>0</v>
      </c>
      <c r="AC346" s="41">
        <f t="shared" si="108"/>
        <v>0</v>
      </c>
      <c r="AD346" s="41">
        <f t="shared" si="109"/>
        <v>0</v>
      </c>
      <c r="AE346" s="41">
        <f t="shared" si="110"/>
        <v>0</v>
      </c>
      <c r="AF346" s="41">
        <f t="shared" si="111"/>
        <v>0</v>
      </c>
      <c r="AG346" s="41">
        <f t="shared" si="112"/>
        <v>0</v>
      </c>
      <c r="AH346" s="41">
        <f t="shared" si="113"/>
        <v>0</v>
      </c>
      <c r="AI346" s="41">
        <f t="shared" si="114"/>
        <v>3</v>
      </c>
      <c r="AJ346" s="41">
        <f t="shared" si="115"/>
        <v>365</v>
      </c>
      <c r="AK346" s="41">
        <f t="shared" si="116"/>
        <v>181</v>
      </c>
      <c r="AL346" s="42">
        <f t="shared" si="117"/>
        <v>3.0947355616438355</v>
      </c>
      <c r="AM346" s="42">
        <f t="shared" si="118"/>
        <v>560.14713665753425</v>
      </c>
      <c r="AN346" s="43">
        <f t="shared" si="103"/>
        <v>439280.6</v>
      </c>
      <c r="AO346" s="43"/>
      <c r="AP346" s="42">
        <f t="shared" si="119"/>
        <v>219640.18000000005</v>
      </c>
      <c r="AQ346" s="43">
        <v>4</v>
      </c>
      <c r="AR346" s="44">
        <f t="shared" si="120"/>
        <v>0.66666678807731627</v>
      </c>
      <c r="AS346" s="45">
        <f t="shared" si="121"/>
        <v>1673.4495999999999</v>
      </c>
      <c r="AU346" s="1">
        <v>439280.6</v>
      </c>
      <c r="AV346" s="50">
        <v>0</v>
      </c>
    </row>
    <row r="347" spans="1:48" s="1" customFormat="1" ht="37.200000000000003" thickTop="1" thickBot="1" x14ac:dyDescent="0.55000000000000004">
      <c r="A347" s="33">
        <v>340</v>
      </c>
      <c r="B347" s="34" t="s">
        <v>394</v>
      </c>
      <c r="C347" s="34" t="s">
        <v>965</v>
      </c>
      <c r="D347" s="35" t="s">
        <v>849</v>
      </c>
      <c r="E347" s="35" t="s">
        <v>966</v>
      </c>
      <c r="F347" s="36" t="s">
        <v>1304</v>
      </c>
      <c r="G347" s="36" t="s">
        <v>1420</v>
      </c>
      <c r="H347" s="36" t="s">
        <v>1421</v>
      </c>
      <c r="I347" s="36" t="s">
        <v>1421</v>
      </c>
      <c r="J347" s="36" t="s">
        <v>1421</v>
      </c>
      <c r="K347" s="36">
        <v>350</v>
      </c>
      <c r="L347" s="36" t="s">
        <v>1422</v>
      </c>
      <c r="M347" s="49">
        <v>4</v>
      </c>
      <c r="N347" s="37" t="s">
        <v>1762</v>
      </c>
      <c r="O347" s="37"/>
      <c r="P347" s="36">
        <v>1</v>
      </c>
      <c r="Q347" s="36" t="s">
        <v>1937</v>
      </c>
      <c r="R347" s="36" t="s">
        <v>2247</v>
      </c>
      <c r="S347" s="36" t="s">
        <v>1880</v>
      </c>
      <c r="T347" s="36" t="s">
        <v>1881</v>
      </c>
      <c r="U347" s="38">
        <v>45655</v>
      </c>
      <c r="V347" s="39">
        <v>624046</v>
      </c>
      <c r="W347" s="39" t="s">
        <v>2363</v>
      </c>
      <c r="X347" s="39" t="s">
        <v>2363</v>
      </c>
      <c r="Y347" s="40">
        <f t="shared" si="104"/>
        <v>31202.3</v>
      </c>
      <c r="Z347" s="40">
        <f t="shared" si="105"/>
        <v>655248.30000000005</v>
      </c>
      <c r="AA347" s="41" t="str">
        <f t="shared" si="106"/>
        <v>0.0018</v>
      </c>
      <c r="AB347" s="41">
        <f t="shared" si="107"/>
        <v>0</v>
      </c>
      <c r="AC347" s="41">
        <f t="shared" si="108"/>
        <v>0</v>
      </c>
      <c r="AD347" s="41">
        <f t="shared" si="109"/>
        <v>0</v>
      </c>
      <c r="AE347" s="41">
        <f t="shared" si="110"/>
        <v>0</v>
      </c>
      <c r="AF347" s="41">
        <f t="shared" si="111"/>
        <v>0</v>
      </c>
      <c r="AG347" s="41">
        <f t="shared" si="112"/>
        <v>0</v>
      </c>
      <c r="AH347" s="41">
        <f t="shared" si="113"/>
        <v>0</v>
      </c>
      <c r="AI347" s="41">
        <f t="shared" si="114"/>
        <v>2</v>
      </c>
      <c r="AJ347" s="41">
        <f t="shared" si="115"/>
        <v>365</v>
      </c>
      <c r="AK347" s="41">
        <f t="shared" si="116"/>
        <v>181</v>
      </c>
      <c r="AL347" s="42">
        <f t="shared" si="117"/>
        <v>3.0774871232876713</v>
      </c>
      <c r="AM347" s="42">
        <f t="shared" si="118"/>
        <v>557.02516931506852</v>
      </c>
      <c r="AN347" s="43">
        <f t="shared" si="103"/>
        <v>561641.39999999991</v>
      </c>
      <c r="AO347" s="43"/>
      <c r="AP347" s="42">
        <f t="shared" si="119"/>
        <v>93606.90000000014</v>
      </c>
      <c r="AQ347" s="43">
        <v>5</v>
      </c>
      <c r="AR347" s="44">
        <f t="shared" si="120"/>
        <v>0.85714285714285698</v>
      </c>
      <c r="AS347" s="45">
        <f t="shared" si="121"/>
        <v>1782.9885714285715</v>
      </c>
      <c r="AU347" s="1">
        <v>374427.6</v>
      </c>
      <c r="AV347" s="50">
        <v>187213.8</v>
      </c>
    </row>
    <row r="348" spans="1:48" s="1" customFormat="1" ht="37.200000000000003" thickTop="1" thickBot="1" x14ac:dyDescent="0.55000000000000004">
      <c r="A348" s="33">
        <v>341</v>
      </c>
      <c r="B348" s="34" t="s">
        <v>395</v>
      </c>
      <c r="C348" s="34" t="s">
        <v>965</v>
      </c>
      <c r="D348" s="35" t="s">
        <v>850</v>
      </c>
      <c r="E348" s="35" t="s">
        <v>966</v>
      </c>
      <c r="F348" s="36" t="s">
        <v>1305</v>
      </c>
      <c r="G348" s="36" t="s">
        <v>1420</v>
      </c>
      <c r="H348" s="36" t="s">
        <v>1421</v>
      </c>
      <c r="I348" s="36" t="s">
        <v>1421</v>
      </c>
      <c r="J348" s="36" t="s">
        <v>1421</v>
      </c>
      <c r="K348" s="36">
        <v>350</v>
      </c>
      <c r="L348" s="36" t="s">
        <v>1422</v>
      </c>
      <c r="M348" s="49">
        <v>4</v>
      </c>
      <c r="N348" s="37" t="s">
        <v>1763</v>
      </c>
      <c r="O348" s="37"/>
      <c r="P348" s="36">
        <v>1</v>
      </c>
      <c r="Q348" s="36" t="s">
        <v>1878</v>
      </c>
      <c r="R348" s="36" t="s">
        <v>2248</v>
      </c>
      <c r="S348" s="36" t="s">
        <v>1880</v>
      </c>
      <c r="T348" s="36" t="s">
        <v>1883</v>
      </c>
      <c r="U348" s="38">
        <v>45655</v>
      </c>
      <c r="V348" s="39">
        <v>878694.40000000002</v>
      </c>
      <c r="W348" s="39" t="s">
        <v>2363</v>
      </c>
      <c r="X348" s="39" t="s">
        <v>2363</v>
      </c>
      <c r="Y348" s="40">
        <f t="shared" si="104"/>
        <v>43934.720000000001</v>
      </c>
      <c r="Z348" s="40">
        <f t="shared" si="105"/>
        <v>922629.12</v>
      </c>
      <c r="AA348" s="41" t="str">
        <f t="shared" si="106"/>
        <v>0.0022</v>
      </c>
      <c r="AB348" s="41">
        <f t="shared" si="107"/>
        <v>0</v>
      </c>
      <c r="AC348" s="41">
        <f t="shared" si="108"/>
        <v>0</v>
      </c>
      <c r="AD348" s="41">
        <f t="shared" si="109"/>
        <v>0</v>
      </c>
      <c r="AE348" s="41">
        <f t="shared" si="110"/>
        <v>0</v>
      </c>
      <c r="AF348" s="41">
        <f t="shared" si="111"/>
        <v>0</v>
      </c>
      <c r="AG348" s="41">
        <f t="shared" si="112"/>
        <v>0</v>
      </c>
      <c r="AH348" s="41">
        <f t="shared" si="113"/>
        <v>0</v>
      </c>
      <c r="AI348" s="41">
        <f t="shared" si="114"/>
        <v>2</v>
      </c>
      <c r="AJ348" s="41">
        <f t="shared" si="115"/>
        <v>365</v>
      </c>
      <c r="AK348" s="41">
        <f t="shared" si="116"/>
        <v>181</v>
      </c>
      <c r="AL348" s="42">
        <f t="shared" si="117"/>
        <v>5.296240219178082</v>
      </c>
      <c r="AM348" s="42">
        <f t="shared" si="118"/>
        <v>958.61947967123285</v>
      </c>
      <c r="AN348" s="43">
        <f t="shared" si="103"/>
        <v>746890.1</v>
      </c>
      <c r="AO348" s="43"/>
      <c r="AP348" s="42">
        <f t="shared" si="119"/>
        <v>175739.02000000002</v>
      </c>
      <c r="AQ348" s="43">
        <v>5</v>
      </c>
      <c r="AR348" s="44">
        <f t="shared" si="120"/>
        <v>0.80952365778353064</v>
      </c>
      <c r="AS348" s="45">
        <f t="shared" si="121"/>
        <v>2510.5554285714288</v>
      </c>
      <c r="AU348" s="1">
        <v>615086</v>
      </c>
      <c r="AV348" s="50">
        <v>131804.1</v>
      </c>
    </row>
    <row r="349" spans="1:48" s="1" customFormat="1" ht="37.200000000000003" thickTop="1" thickBot="1" x14ac:dyDescent="0.55000000000000004">
      <c r="A349" s="33">
        <v>342</v>
      </c>
      <c r="B349" s="34" t="s">
        <v>396</v>
      </c>
      <c r="C349" s="34" t="s">
        <v>965</v>
      </c>
      <c r="D349" s="35" t="s">
        <v>851</v>
      </c>
      <c r="E349" s="35" t="s">
        <v>966</v>
      </c>
      <c r="F349" s="36" t="s">
        <v>1306</v>
      </c>
      <c r="G349" s="36" t="s">
        <v>1420</v>
      </c>
      <c r="H349" s="36" t="s">
        <v>1421</v>
      </c>
      <c r="I349" s="36" t="s">
        <v>1421</v>
      </c>
      <c r="J349" s="36" t="s">
        <v>1421</v>
      </c>
      <c r="K349" s="36">
        <v>350</v>
      </c>
      <c r="L349" s="36" t="s">
        <v>1422</v>
      </c>
      <c r="M349" s="49">
        <v>4</v>
      </c>
      <c r="N349" s="37" t="s">
        <v>1764</v>
      </c>
      <c r="O349" s="37"/>
      <c r="P349" s="36">
        <v>1</v>
      </c>
      <c r="Q349" s="36" t="s">
        <v>1939</v>
      </c>
      <c r="R349" s="36" t="s">
        <v>2249</v>
      </c>
      <c r="S349" s="36" t="s">
        <v>1880</v>
      </c>
      <c r="T349" s="36" t="s">
        <v>1881</v>
      </c>
      <c r="U349" s="38">
        <v>45655</v>
      </c>
      <c r="V349" s="39">
        <v>770390</v>
      </c>
      <c r="W349" s="39" t="s">
        <v>2363</v>
      </c>
      <c r="X349" s="39" t="s">
        <v>2363</v>
      </c>
      <c r="Y349" s="40">
        <f t="shared" si="104"/>
        <v>38519.5</v>
      </c>
      <c r="Z349" s="40">
        <f t="shared" si="105"/>
        <v>808909.5</v>
      </c>
      <c r="AA349" s="41" t="str">
        <f t="shared" si="106"/>
        <v>0.0022</v>
      </c>
      <c r="AB349" s="41">
        <f t="shared" si="107"/>
        <v>0</v>
      </c>
      <c r="AC349" s="41">
        <f t="shared" si="108"/>
        <v>0</v>
      </c>
      <c r="AD349" s="41">
        <f t="shared" si="109"/>
        <v>0</v>
      </c>
      <c r="AE349" s="41">
        <f t="shared" si="110"/>
        <v>0</v>
      </c>
      <c r="AF349" s="41">
        <f t="shared" si="111"/>
        <v>0</v>
      </c>
      <c r="AG349" s="41">
        <f t="shared" si="112"/>
        <v>0</v>
      </c>
      <c r="AH349" s="41">
        <f t="shared" si="113"/>
        <v>0</v>
      </c>
      <c r="AI349" s="41">
        <f t="shared" si="114"/>
        <v>2</v>
      </c>
      <c r="AJ349" s="41">
        <f t="shared" si="115"/>
        <v>365</v>
      </c>
      <c r="AK349" s="41">
        <f t="shared" si="116"/>
        <v>181</v>
      </c>
      <c r="AL349" s="42">
        <f t="shared" si="117"/>
        <v>4.6434465753424661</v>
      </c>
      <c r="AM349" s="42">
        <f t="shared" si="118"/>
        <v>840.46383013698642</v>
      </c>
      <c r="AN349" s="43">
        <f t="shared" si="103"/>
        <v>847429</v>
      </c>
      <c r="AO349" s="43"/>
      <c r="AP349" s="42">
        <f t="shared" si="119"/>
        <v>-38519.5</v>
      </c>
      <c r="AQ349" s="43">
        <v>6</v>
      </c>
      <c r="AR349" s="44">
        <f t="shared" si="120"/>
        <v>1.0476190476190477</v>
      </c>
      <c r="AS349" s="45">
        <f t="shared" si="121"/>
        <v>2201.1142857142859</v>
      </c>
      <c r="AU349" s="1">
        <v>731870.5</v>
      </c>
      <c r="AV349" s="50">
        <v>115558.5</v>
      </c>
    </row>
    <row r="350" spans="1:48" s="1" customFormat="1" ht="37.200000000000003" thickTop="1" thickBot="1" x14ac:dyDescent="0.55000000000000004">
      <c r="A350" s="33">
        <v>343</v>
      </c>
      <c r="B350" s="34" t="s">
        <v>397</v>
      </c>
      <c r="C350" s="34" t="s">
        <v>965</v>
      </c>
      <c r="D350" s="35" t="s">
        <v>852</v>
      </c>
      <c r="E350" s="35" t="s">
        <v>966</v>
      </c>
      <c r="F350" s="36" t="s">
        <v>1307</v>
      </c>
      <c r="G350" s="36" t="s">
        <v>1420</v>
      </c>
      <c r="H350" s="36" t="s">
        <v>1421</v>
      </c>
      <c r="I350" s="36" t="s">
        <v>1421</v>
      </c>
      <c r="J350" s="36" t="s">
        <v>1421</v>
      </c>
      <c r="K350" s="36">
        <v>375</v>
      </c>
      <c r="L350" s="36" t="s">
        <v>1422</v>
      </c>
      <c r="M350" s="49">
        <v>4</v>
      </c>
      <c r="N350" s="37" t="s">
        <v>1765</v>
      </c>
      <c r="O350" s="37"/>
      <c r="P350" s="36">
        <v>1</v>
      </c>
      <c r="Q350" s="36" t="s">
        <v>1937</v>
      </c>
      <c r="R350" s="36" t="s">
        <v>2250</v>
      </c>
      <c r="S350" s="36" t="s">
        <v>1880</v>
      </c>
      <c r="T350" s="36" t="s">
        <v>1881</v>
      </c>
      <c r="U350" s="38">
        <v>45655</v>
      </c>
      <c r="V350" s="39">
        <v>627543.6</v>
      </c>
      <c r="W350" s="39" t="s">
        <v>2363</v>
      </c>
      <c r="X350" s="39" t="s">
        <v>2363</v>
      </c>
      <c r="Y350" s="40">
        <f t="shared" si="104"/>
        <v>31377.18</v>
      </c>
      <c r="Z350" s="40">
        <f t="shared" si="105"/>
        <v>658920.78</v>
      </c>
      <c r="AA350" s="41" t="str">
        <f t="shared" si="106"/>
        <v>0.0018</v>
      </c>
      <c r="AB350" s="41">
        <f t="shared" si="107"/>
        <v>0</v>
      </c>
      <c r="AC350" s="41">
        <f t="shared" si="108"/>
        <v>0</v>
      </c>
      <c r="AD350" s="41">
        <f t="shared" si="109"/>
        <v>0</v>
      </c>
      <c r="AE350" s="41">
        <f t="shared" si="110"/>
        <v>0</v>
      </c>
      <c r="AF350" s="41">
        <f t="shared" si="111"/>
        <v>0</v>
      </c>
      <c r="AG350" s="41">
        <f t="shared" si="112"/>
        <v>0</v>
      </c>
      <c r="AH350" s="41">
        <f t="shared" si="113"/>
        <v>0</v>
      </c>
      <c r="AI350" s="41">
        <f t="shared" si="114"/>
        <v>2</v>
      </c>
      <c r="AJ350" s="41">
        <f t="shared" si="115"/>
        <v>365</v>
      </c>
      <c r="AK350" s="41">
        <f t="shared" si="116"/>
        <v>181</v>
      </c>
      <c r="AL350" s="42">
        <f t="shared" si="117"/>
        <v>3.0947355616438355</v>
      </c>
      <c r="AM350" s="42">
        <f t="shared" si="118"/>
        <v>560.14713665753425</v>
      </c>
      <c r="AN350" s="43">
        <f t="shared" si="103"/>
        <v>564789.24</v>
      </c>
      <c r="AO350" s="43"/>
      <c r="AP350" s="42">
        <f t="shared" si="119"/>
        <v>94131.540000000037</v>
      </c>
      <c r="AQ350" s="43">
        <v>5</v>
      </c>
      <c r="AR350" s="44">
        <f t="shared" si="120"/>
        <v>0.8571428571428571</v>
      </c>
      <c r="AS350" s="45">
        <f t="shared" si="121"/>
        <v>1673.4495999999999</v>
      </c>
      <c r="AU350" s="1">
        <v>376526.16000000003</v>
      </c>
      <c r="AV350" s="50">
        <v>188263.08</v>
      </c>
    </row>
    <row r="351" spans="1:48" s="1" customFormat="1" ht="37.200000000000003" thickTop="1" thickBot="1" x14ac:dyDescent="0.55000000000000004">
      <c r="A351" s="33">
        <v>344</v>
      </c>
      <c r="B351" s="34" t="s">
        <v>398</v>
      </c>
      <c r="C351" s="34" t="s">
        <v>965</v>
      </c>
      <c r="D351" s="35" t="s">
        <v>853</v>
      </c>
      <c r="E351" s="35" t="s">
        <v>966</v>
      </c>
      <c r="F351" s="36" t="s">
        <v>1308</v>
      </c>
      <c r="G351" s="36" t="s">
        <v>1420</v>
      </c>
      <c r="H351" s="36" t="s">
        <v>1421</v>
      </c>
      <c r="I351" s="36" t="s">
        <v>1421</v>
      </c>
      <c r="J351" s="36" t="s">
        <v>1421</v>
      </c>
      <c r="K351" s="36">
        <v>349.96</v>
      </c>
      <c r="L351" s="36" t="s">
        <v>1422</v>
      </c>
      <c r="M351" s="49">
        <v>4</v>
      </c>
      <c r="N351" s="37" t="s">
        <v>1766</v>
      </c>
      <c r="O351" s="37"/>
      <c r="P351" s="36">
        <v>1</v>
      </c>
      <c r="Q351" s="36" t="s">
        <v>1972</v>
      </c>
      <c r="R351" s="36" t="s">
        <v>2251</v>
      </c>
      <c r="S351" s="36" t="s">
        <v>1880</v>
      </c>
      <c r="T351" s="36" t="s">
        <v>1881</v>
      </c>
      <c r="U351" s="38">
        <v>45655</v>
      </c>
      <c r="V351" s="39">
        <v>624025.73</v>
      </c>
      <c r="W351" s="39" t="s">
        <v>2363</v>
      </c>
      <c r="X351" s="39" t="s">
        <v>2363</v>
      </c>
      <c r="Y351" s="40">
        <f t="shared" si="104"/>
        <v>31201.286499999998</v>
      </c>
      <c r="Z351" s="40">
        <f t="shared" si="105"/>
        <v>655227.01650000003</v>
      </c>
      <c r="AA351" s="41" t="str">
        <f t="shared" si="106"/>
        <v>0.0018</v>
      </c>
      <c r="AB351" s="41">
        <f t="shared" si="107"/>
        <v>0</v>
      </c>
      <c r="AC351" s="41">
        <f t="shared" si="108"/>
        <v>0</v>
      </c>
      <c r="AD351" s="41">
        <f t="shared" si="109"/>
        <v>0</v>
      </c>
      <c r="AE351" s="41">
        <f t="shared" si="110"/>
        <v>0</v>
      </c>
      <c r="AF351" s="41">
        <f t="shared" si="111"/>
        <v>0</v>
      </c>
      <c r="AG351" s="41">
        <f t="shared" si="112"/>
        <v>0</v>
      </c>
      <c r="AH351" s="41">
        <f t="shared" si="113"/>
        <v>0</v>
      </c>
      <c r="AI351" s="41">
        <f t="shared" si="114"/>
        <v>2</v>
      </c>
      <c r="AJ351" s="41">
        <f t="shared" si="115"/>
        <v>365</v>
      </c>
      <c r="AK351" s="41">
        <f t="shared" si="116"/>
        <v>181</v>
      </c>
      <c r="AL351" s="42">
        <f t="shared" si="117"/>
        <v>3.0773871616438355</v>
      </c>
      <c r="AM351" s="42">
        <f t="shared" si="118"/>
        <v>557.00707625753421</v>
      </c>
      <c r="AN351" s="43">
        <f t="shared" si="103"/>
        <v>561623.17000000004</v>
      </c>
      <c r="AO351" s="43"/>
      <c r="AP351" s="42">
        <f t="shared" si="119"/>
        <v>93603.846499999985</v>
      </c>
      <c r="AQ351" s="43">
        <v>5</v>
      </c>
      <c r="AR351" s="44">
        <f t="shared" si="120"/>
        <v>0.85714287698330893</v>
      </c>
      <c r="AS351" s="45">
        <f t="shared" si="121"/>
        <v>1783.13444393645</v>
      </c>
      <c r="AU351" s="1">
        <v>561623.17000000004</v>
      </c>
      <c r="AV351" s="50">
        <v>0</v>
      </c>
    </row>
    <row r="352" spans="1:48" s="1" customFormat="1" ht="37.200000000000003" thickTop="1" thickBot="1" x14ac:dyDescent="0.55000000000000004">
      <c r="A352" s="33">
        <v>345</v>
      </c>
      <c r="B352" s="34" t="s">
        <v>399</v>
      </c>
      <c r="C352" s="34" t="s">
        <v>965</v>
      </c>
      <c r="D352" s="35" t="s">
        <v>854</v>
      </c>
      <c r="E352" s="35" t="s">
        <v>966</v>
      </c>
      <c r="F352" s="36" t="s">
        <v>1309</v>
      </c>
      <c r="G352" s="36" t="s">
        <v>1420</v>
      </c>
      <c r="H352" s="36" t="s">
        <v>1421</v>
      </c>
      <c r="I352" s="36" t="s">
        <v>1421</v>
      </c>
      <c r="J352" s="36" t="s">
        <v>1421</v>
      </c>
      <c r="K352" s="36">
        <v>362.56</v>
      </c>
      <c r="L352" s="36" t="s">
        <v>1422</v>
      </c>
      <c r="M352" s="49">
        <v>4</v>
      </c>
      <c r="N352" s="37" t="s">
        <v>1767</v>
      </c>
      <c r="O352" s="37"/>
      <c r="P352" s="36">
        <v>1</v>
      </c>
      <c r="Q352" s="36" t="s">
        <v>1972</v>
      </c>
      <c r="R352" s="36" t="s">
        <v>2252</v>
      </c>
      <c r="S352" s="36" t="s">
        <v>1880</v>
      </c>
      <c r="T352" s="36" t="s">
        <v>1881</v>
      </c>
      <c r="U352" s="38">
        <v>45656</v>
      </c>
      <c r="V352" s="39">
        <v>877773.41</v>
      </c>
      <c r="W352" s="39" t="s">
        <v>2363</v>
      </c>
      <c r="X352" s="39" t="s">
        <v>2363</v>
      </c>
      <c r="Y352" s="40">
        <f t="shared" si="104"/>
        <v>43888.6705</v>
      </c>
      <c r="Z352" s="40">
        <f t="shared" si="105"/>
        <v>921662.08050000004</v>
      </c>
      <c r="AA352" s="41" t="str">
        <f t="shared" si="106"/>
        <v>0.0022</v>
      </c>
      <c r="AB352" s="41">
        <f t="shared" si="107"/>
        <v>0</v>
      </c>
      <c r="AC352" s="41">
        <f t="shared" si="108"/>
        <v>0</v>
      </c>
      <c r="AD352" s="41">
        <f t="shared" si="109"/>
        <v>0</v>
      </c>
      <c r="AE352" s="41">
        <f t="shared" si="110"/>
        <v>0</v>
      </c>
      <c r="AF352" s="41">
        <f t="shared" si="111"/>
        <v>0</v>
      </c>
      <c r="AG352" s="41">
        <f t="shared" si="112"/>
        <v>0</v>
      </c>
      <c r="AH352" s="41">
        <f t="shared" si="113"/>
        <v>0</v>
      </c>
      <c r="AI352" s="41">
        <f t="shared" si="114"/>
        <v>1</v>
      </c>
      <c r="AJ352" s="41">
        <f t="shared" si="115"/>
        <v>365</v>
      </c>
      <c r="AK352" s="41">
        <f t="shared" si="116"/>
        <v>181</v>
      </c>
      <c r="AL352" s="42">
        <f t="shared" si="117"/>
        <v>5.2906890465753431</v>
      </c>
      <c r="AM352" s="42">
        <f t="shared" si="118"/>
        <v>957.61471743013715</v>
      </c>
      <c r="AN352" s="43">
        <f t="shared" si="103"/>
        <v>789996.06</v>
      </c>
      <c r="AO352" s="43"/>
      <c r="AP352" s="42">
        <f t="shared" si="119"/>
        <v>131666.02049999998</v>
      </c>
      <c r="AQ352" s="43">
        <v>5</v>
      </c>
      <c r="AR352" s="44">
        <f t="shared" si="120"/>
        <v>0.85714284737788993</v>
      </c>
      <c r="AS352" s="45">
        <f t="shared" si="121"/>
        <v>2421.0431652691968</v>
      </c>
      <c r="AU352" s="1">
        <v>789996.06</v>
      </c>
      <c r="AV352" s="50">
        <v>0</v>
      </c>
    </row>
    <row r="353" spans="1:48" s="1" customFormat="1" ht="37.200000000000003" thickTop="1" thickBot="1" x14ac:dyDescent="0.55000000000000004">
      <c r="A353" s="33">
        <v>346</v>
      </c>
      <c r="B353" s="34" t="s">
        <v>400</v>
      </c>
      <c r="C353" s="34" t="s">
        <v>965</v>
      </c>
      <c r="D353" s="35" t="s">
        <v>855</v>
      </c>
      <c r="E353" s="35" t="s">
        <v>966</v>
      </c>
      <c r="F353" s="36" t="s">
        <v>1310</v>
      </c>
      <c r="G353" s="36" t="s">
        <v>1420</v>
      </c>
      <c r="H353" s="36" t="s">
        <v>1421</v>
      </c>
      <c r="I353" s="36" t="s">
        <v>1421</v>
      </c>
      <c r="J353" s="36" t="s">
        <v>1421</v>
      </c>
      <c r="K353" s="36">
        <v>350</v>
      </c>
      <c r="L353" s="36" t="s">
        <v>1422</v>
      </c>
      <c r="M353" s="49">
        <v>4</v>
      </c>
      <c r="N353" s="37" t="s">
        <v>1768</v>
      </c>
      <c r="O353" s="37"/>
      <c r="P353" s="36">
        <v>1</v>
      </c>
      <c r="Q353" s="36" t="s">
        <v>1939</v>
      </c>
      <c r="R353" s="36" t="s">
        <v>2253</v>
      </c>
      <c r="S353" s="36" t="s">
        <v>1880</v>
      </c>
      <c r="T353" s="36" t="s">
        <v>1883</v>
      </c>
      <c r="U353" s="38">
        <v>45656</v>
      </c>
      <c r="V353" s="39">
        <v>873874</v>
      </c>
      <c r="W353" s="39" t="s">
        <v>2363</v>
      </c>
      <c r="X353" s="39" t="s">
        <v>2363</v>
      </c>
      <c r="Y353" s="40">
        <f t="shared" si="104"/>
        <v>43693.7</v>
      </c>
      <c r="Z353" s="40">
        <f t="shared" si="105"/>
        <v>917567.7</v>
      </c>
      <c r="AA353" s="41" t="str">
        <f t="shared" si="106"/>
        <v>0.0022</v>
      </c>
      <c r="AB353" s="41">
        <f t="shared" si="107"/>
        <v>0</v>
      </c>
      <c r="AC353" s="41">
        <f t="shared" si="108"/>
        <v>0</v>
      </c>
      <c r="AD353" s="41">
        <f t="shared" si="109"/>
        <v>0</v>
      </c>
      <c r="AE353" s="41">
        <f t="shared" si="110"/>
        <v>0</v>
      </c>
      <c r="AF353" s="41">
        <f t="shared" si="111"/>
        <v>0</v>
      </c>
      <c r="AG353" s="41">
        <f t="shared" si="112"/>
        <v>0</v>
      </c>
      <c r="AH353" s="41">
        <f t="shared" si="113"/>
        <v>0</v>
      </c>
      <c r="AI353" s="41">
        <f t="shared" si="114"/>
        <v>1</v>
      </c>
      <c r="AJ353" s="41">
        <f t="shared" si="115"/>
        <v>365</v>
      </c>
      <c r="AK353" s="41">
        <f t="shared" si="116"/>
        <v>181</v>
      </c>
      <c r="AL353" s="42">
        <f t="shared" si="117"/>
        <v>5.2671857534246582</v>
      </c>
      <c r="AM353" s="42">
        <f t="shared" si="118"/>
        <v>953.36062136986311</v>
      </c>
      <c r="AN353" s="43">
        <f t="shared" si="103"/>
        <v>742792.9</v>
      </c>
      <c r="AO353" s="43"/>
      <c r="AP353" s="42">
        <f t="shared" si="119"/>
        <v>174774.79999999993</v>
      </c>
      <c r="AQ353" s="43">
        <v>5</v>
      </c>
      <c r="AR353" s="44">
        <f t="shared" si="120"/>
        <v>0.80952380952380965</v>
      </c>
      <c r="AS353" s="45">
        <f t="shared" si="121"/>
        <v>2496.7828571428572</v>
      </c>
      <c r="AU353" s="1">
        <v>611711.80000000005</v>
      </c>
      <c r="AV353" s="50">
        <v>131081.1</v>
      </c>
    </row>
    <row r="354" spans="1:48" s="1" customFormat="1" ht="37.200000000000003" thickTop="1" thickBot="1" x14ac:dyDescent="0.55000000000000004">
      <c r="A354" s="33">
        <v>347</v>
      </c>
      <c r="B354" s="34" t="s">
        <v>401</v>
      </c>
      <c r="C354" s="34" t="s">
        <v>965</v>
      </c>
      <c r="D354" s="35" t="s">
        <v>856</v>
      </c>
      <c r="E354" s="35" t="s">
        <v>966</v>
      </c>
      <c r="F354" s="36" t="s">
        <v>1311</v>
      </c>
      <c r="G354" s="36" t="s">
        <v>1420</v>
      </c>
      <c r="H354" s="36" t="s">
        <v>1421</v>
      </c>
      <c r="I354" s="36" t="s">
        <v>1421</v>
      </c>
      <c r="J354" s="36" t="s">
        <v>1421</v>
      </c>
      <c r="K354" s="36">
        <v>362.5</v>
      </c>
      <c r="L354" s="36" t="s">
        <v>1422</v>
      </c>
      <c r="M354" s="49">
        <v>4</v>
      </c>
      <c r="N354" s="37" t="s">
        <v>1769</v>
      </c>
      <c r="O354" s="37"/>
      <c r="P354" s="36">
        <v>1</v>
      </c>
      <c r="Q354" s="36" t="s">
        <v>1941</v>
      </c>
      <c r="R354" s="36" t="s">
        <v>2254</v>
      </c>
      <c r="S354" s="36" t="s">
        <v>1880</v>
      </c>
      <c r="T354" s="36" t="s">
        <v>1881</v>
      </c>
      <c r="U354" s="38">
        <v>45656</v>
      </c>
      <c r="V354" s="39">
        <v>622796</v>
      </c>
      <c r="W354" s="39" t="s">
        <v>2363</v>
      </c>
      <c r="X354" s="39" t="s">
        <v>2363</v>
      </c>
      <c r="Y354" s="40">
        <f t="shared" si="104"/>
        <v>31139.8</v>
      </c>
      <c r="Z354" s="40">
        <f t="shared" si="105"/>
        <v>653935.80000000005</v>
      </c>
      <c r="AA354" s="41" t="str">
        <f t="shared" si="106"/>
        <v>0.0018</v>
      </c>
      <c r="AB354" s="41">
        <f t="shared" si="107"/>
        <v>0</v>
      </c>
      <c r="AC354" s="41">
        <f t="shared" si="108"/>
        <v>0</v>
      </c>
      <c r="AD354" s="41">
        <f t="shared" si="109"/>
        <v>0</v>
      </c>
      <c r="AE354" s="41">
        <f t="shared" si="110"/>
        <v>0</v>
      </c>
      <c r="AF354" s="41">
        <f t="shared" si="111"/>
        <v>0</v>
      </c>
      <c r="AG354" s="41">
        <f t="shared" si="112"/>
        <v>0</v>
      </c>
      <c r="AH354" s="41">
        <f t="shared" si="113"/>
        <v>0</v>
      </c>
      <c r="AI354" s="41">
        <f t="shared" si="114"/>
        <v>1</v>
      </c>
      <c r="AJ354" s="41">
        <f t="shared" si="115"/>
        <v>365</v>
      </c>
      <c r="AK354" s="41">
        <f t="shared" si="116"/>
        <v>181</v>
      </c>
      <c r="AL354" s="42">
        <f t="shared" si="117"/>
        <v>3.0713227397260274</v>
      </c>
      <c r="AM354" s="42">
        <f t="shared" si="118"/>
        <v>555.90941589041097</v>
      </c>
      <c r="AN354" s="43">
        <f t="shared" si="103"/>
        <v>560516.4</v>
      </c>
      <c r="AO354" s="43"/>
      <c r="AP354" s="42">
        <f t="shared" si="119"/>
        <v>93419.400000000023</v>
      </c>
      <c r="AQ354" s="43">
        <v>5</v>
      </c>
      <c r="AR354" s="44">
        <f t="shared" si="120"/>
        <v>0.8571428571428571</v>
      </c>
      <c r="AS354" s="45">
        <f t="shared" si="121"/>
        <v>1718.0579310344829</v>
      </c>
      <c r="AU354" s="1">
        <v>467097</v>
      </c>
      <c r="AV354" s="50">
        <v>93419.4</v>
      </c>
    </row>
    <row r="355" spans="1:48" s="1" customFormat="1" ht="37.200000000000003" thickTop="1" thickBot="1" x14ac:dyDescent="0.55000000000000004">
      <c r="A355" s="33">
        <v>348</v>
      </c>
      <c r="B355" s="34" t="s">
        <v>402</v>
      </c>
      <c r="C355" s="34" t="s">
        <v>965</v>
      </c>
      <c r="D355" s="35" t="s">
        <v>857</v>
      </c>
      <c r="E355" s="35" t="s">
        <v>966</v>
      </c>
      <c r="F355" s="36" t="s">
        <v>1312</v>
      </c>
      <c r="G355" s="36" t="s">
        <v>1420</v>
      </c>
      <c r="H355" s="36" t="s">
        <v>1421</v>
      </c>
      <c r="I355" s="36" t="s">
        <v>1421</v>
      </c>
      <c r="J355" s="36" t="s">
        <v>1421</v>
      </c>
      <c r="K355" s="36">
        <v>350</v>
      </c>
      <c r="L355" s="36" t="s">
        <v>1422</v>
      </c>
      <c r="M355" s="49">
        <v>4</v>
      </c>
      <c r="N355" s="37" t="s">
        <v>1770</v>
      </c>
      <c r="O355" s="37"/>
      <c r="P355" s="36">
        <v>1</v>
      </c>
      <c r="Q355" s="36" t="s">
        <v>1937</v>
      </c>
      <c r="R355" s="36" t="s">
        <v>2255</v>
      </c>
      <c r="S355" s="36" t="s">
        <v>1880</v>
      </c>
      <c r="T355" s="36" t="s">
        <v>1881</v>
      </c>
      <c r="U355" s="38">
        <v>45656</v>
      </c>
      <c r="V355" s="39">
        <v>624046</v>
      </c>
      <c r="W355" s="39" t="s">
        <v>2363</v>
      </c>
      <c r="X355" s="39" t="s">
        <v>2363</v>
      </c>
      <c r="Y355" s="40">
        <f t="shared" si="104"/>
        <v>31202.3</v>
      </c>
      <c r="Z355" s="40">
        <f t="shared" si="105"/>
        <v>655248.30000000005</v>
      </c>
      <c r="AA355" s="41" t="str">
        <f t="shared" si="106"/>
        <v>0.0018</v>
      </c>
      <c r="AB355" s="41">
        <f t="shared" si="107"/>
        <v>0</v>
      </c>
      <c r="AC355" s="41">
        <f t="shared" si="108"/>
        <v>0</v>
      </c>
      <c r="AD355" s="41">
        <f t="shared" si="109"/>
        <v>0</v>
      </c>
      <c r="AE355" s="41">
        <f t="shared" si="110"/>
        <v>0</v>
      </c>
      <c r="AF355" s="41">
        <f t="shared" si="111"/>
        <v>0</v>
      </c>
      <c r="AG355" s="41">
        <f t="shared" si="112"/>
        <v>0</v>
      </c>
      <c r="AH355" s="41">
        <f t="shared" si="113"/>
        <v>0</v>
      </c>
      <c r="AI355" s="41">
        <f t="shared" si="114"/>
        <v>1</v>
      </c>
      <c r="AJ355" s="41">
        <f t="shared" si="115"/>
        <v>365</v>
      </c>
      <c r="AK355" s="41">
        <f t="shared" si="116"/>
        <v>181</v>
      </c>
      <c r="AL355" s="42">
        <f t="shared" si="117"/>
        <v>3.0774871232876713</v>
      </c>
      <c r="AM355" s="42">
        <f t="shared" si="118"/>
        <v>557.02516931506852</v>
      </c>
      <c r="AN355" s="43">
        <f t="shared" si="103"/>
        <v>561641.39999999991</v>
      </c>
      <c r="AO355" s="43"/>
      <c r="AP355" s="42">
        <f t="shared" si="119"/>
        <v>93606.90000000014</v>
      </c>
      <c r="AQ355" s="43">
        <v>5</v>
      </c>
      <c r="AR355" s="44">
        <f t="shared" si="120"/>
        <v>0.85714285714285698</v>
      </c>
      <c r="AS355" s="45">
        <f t="shared" si="121"/>
        <v>1782.9885714285715</v>
      </c>
      <c r="AU355" s="1">
        <v>374427.6</v>
      </c>
      <c r="AV355" s="50">
        <v>187213.8</v>
      </c>
    </row>
    <row r="356" spans="1:48" s="1" customFormat="1" ht="37.200000000000003" thickTop="1" thickBot="1" x14ac:dyDescent="0.55000000000000004">
      <c r="A356" s="33">
        <v>349</v>
      </c>
      <c r="B356" s="34" t="s">
        <v>403</v>
      </c>
      <c r="C356" s="34" t="s">
        <v>965</v>
      </c>
      <c r="D356" s="35" t="s">
        <v>858</v>
      </c>
      <c r="E356" s="35" t="s">
        <v>966</v>
      </c>
      <c r="F356" s="36" t="s">
        <v>1313</v>
      </c>
      <c r="G356" s="36" t="s">
        <v>1420</v>
      </c>
      <c r="H356" s="36" t="s">
        <v>1421</v>
      </c>
      <c r="I356" s="36" t="s">
        <v>1421</v>
      </c>
      <c r="J356" s="36" t="s">
        <v>1421</v>
      </c>
      <c r="K356" s="36">
        <v>356.25</v>
      </c>
      <c r="L356" s="36" t="s">
        <v>1422</v>
      </c>
      <c r="M356" s="49">
        <v>4</v>
      </c>
      <c r="N356" s="37" t="s">
        <v>1771</v>
      </c>
      <c r="O356" s="37"/>
      <c r="P356" s="36">
        <v>1</v>
      </c>
      <c r="Q356" s="36" t="s">
        <v>1915</v>
      </c>
      <c r="R356" s="36" t="s">
        <v>2256</v>
      </c>
      <c r="S356" s="36" t="s">
        <v>1880</v>
      </c>
      <c r="T356" s="36" t="s">
        <v>1881</v>
      </c>
      <c r="U356" s="38">
        <v>45656</v>
      </c>
      <c r="V356" s="39">
        <v>759134.84</v>
      </c>
      <c r="W356" s="39" t="s">
        <v>2363</v>
      </c>
      <c r="X356" s="39" t="s">
        <v>2363</v>
      </c>
      <c r="Y356" s="40">
        <f t="shared" si="104"/>
        <v>37956.741999999998</v>
      </c>
      <c r="Z356" s="40">
        <f t="shared" si="105"/>
        <v>797091.58199999994</v>
      </c>
      <c r="AA356" s="41" t="str">
        <f t="shared" si="106"/>
        <v>0.0022</v>
      </c>
      <c r="AB356" s="41">
        <f t="shared" si="107"/>
        <v>0</v>
      </c>
      <c r="AC356" s="41">
        <f t="shared" si="108"/>
        <v>0</v>
      </c>
      <c r="AD356" s="41">
        <f t="shared" si="109"/>
        <v>0</v>
      </c>
      <c r="AE356" s="41">
        <f t="shared" si="110"/>
        <v>0</v>
      </c>
      <c r="AF356" s="41">
        <f t="shared" si="111"/>
        <v>0</v>
      </c>
      <c r="AG356" s="41">
        <f t="shared" si="112"/>
        <v>0</v>
      </c>
      <c r="AH356" s="41">
        <f t="shared" si="113"/>
        <v>0</v>
      </c>
      <c r="AI356" s="41">
        <f t="shared" si="114"/>
        <v>1</v>
      </c>
      <c r="AJ356" s="41">
        <f t="shared" si="115"/>
        <v>365</v>
      </c>
      <c r="AK356" s="41">
        <f t="shared" si="116"/>
        <v>181</v>
      </c>
      <c r="AL356" s="42">
        <f t="shared" si="117"/>
        <v>4.5756072547945204</v>
      </c>
      <c r="AM356" s="42">
        <f t="shared" si="118"/>
        <v>828.18491311780815</v>
      </c>
      <c r="AN356" s="43">
        <f t="shared" si="103"/>
        <v>721178.11</v>
      </c>
      <c r="AO356" s="43"/>
      <c r="AP356" s="42">
        <f t="shared" si="119"/>
        <v>75913.471999999951</v>
      </c>
      <c r="AQ356" s="43">
        <v>6</v>
      </c>
      <c r="AR356" s="44">
        <f t="shared" si="120"/>
        <v>0.90476191981663667</v>
      </c>
      <c r="AS356" s="45">
        <f t="shared" si="121"/>
        <v>2130.9048140350878</v>
      </c>
      <c r="AU356" s="1">
        <v>683221.37</v>
      </c>
      <c r="AV356" s="50">
        <v>37956.74</v>
      </c>
    </row>
    <row r="357" spans="1:48" s="1" customFormat="1" ht="37.200000000000003" thickTop="1" thickBot="1" x14ac:dyDescent="0.55000000000000004">
      <c r="A357" s="33">
        <v>350</v>
      </c>
      <c r="B357" s="34" t="s">
        <v>404</v>
      </c>
      <c r="C357" s="34" t="s">
        <v>965</v>
      </c>
      <c r="D357" s="35" t="s">
        <v>859</v>
      </c>
      <c r="E357" s="35" t="s">
        <v>966</v>
      </c>
      <c r="F357" s="36" t="s">
        <v>1314</v>
      </c>
      <c r="G357" s="36" t="s">
        <v>1420</v>
      </c>
      <c r="H357" s="36" t="s">
        <v>1421</v>
      </c>
      <c r="I357" s="36" t="s">
        <v>1421</v>
      </c>
      <c r="J357" s="36" t="s">
        <v>1421</v>
      </c>
      <c r="K357" s="36">
        <v>373.71</v>
      </c>
      <c r="L357" s="36" t="s">
        <v>1422</v>
      </c>
      <c r="M357" s="49">
        <v>4</v>
      </c>
      <c r="N357" s="37" t="s">
        <v>1772</v>
      </c>
      <c r="O357" s="37"/>
      <c r="P357" s="36">
        <v>1</v>
      </c>
      <c r="Q357" s="36" t="s">
        <v>1943</v>
      </c>
      <c r="R357" s="36" t="s">
        <v>2257</v>
      </c>
      <c r="S357" s="36" t="s">
        <v>1880</v>
      </c>
      <c r="T357" s="36" t="s">
        <v>1881</v>
      </c>
      <c r="U357" s="38">
        <v>45656</v>
      </c>
      <c r="V357" s="39">
        <v>627672.80000000005</v>
      </c>
      <c r="W357" s="39" t="s">
        <v>2363</v>
      </c>
      <c r="X357" s="39" t="s">
        <v>2363</v>
      </c>
      <c r="Y357" s="40">
        <f t="shared" si="104"/>
        <v>31383.64</v>
      </c>
      <c r="Z357" s="40">
        <f t="shared" si="105"/>
        <v>659056.44000000006</v>
      </c>
      <c r="AA357" s="41" t="str">
        <f t="shared" si="106"/>
        <v>0.0018</v>
      </c>
      <c r="AB357" s="41">
        <f t="shared" si="107"/>
        <v>0</v>
      </c>
      <c r="AC357" s="41">
        <f t="shared" si="108"/>
        <v>0</v>
      </c>
      <c r="AD357" s="41">
        <f t="shared" si="109"/>
        <v>0</v>
      </c>
      <c r="AE357" s="41">
        <f t="shared" si="110"/>
        <v>0</v>
      </c>
      <c r="AF357" s="41">
        <f t="shared" si="111"/>
        <v>0</v>
      </c>
      <c r="AG357" s="41">
        <f t="shared" si="112"/>
        <v>0</v>
      </c>
      <c r="AH357" s="41">
        <f t="shared" si="113"/>
        <v>0</v>
      </c>
      <c r="AI357" s="41">
        <f t="shared" si="114"/>
        <v>1</v>
      </c>
      <c r="AJ357" s="41">
        <f t="shared" si="115"/>
        <v>365</v>
      </c>
      <c r="AK357" s="41">
        <f t="shared" si="116"/>
        <v>181</v>
      </c>
      <c r="AL357" s="42">
        <f t="shared" si="117"/>
        <v>3.0953727123287673</v>
      </c>
      <c r="AM357" s="42">
        <f t="shared" si="118"/>
        <v>560.26246093150689</v>
      </c>
      <c r="AN357" s="43">
        <f t="shared" si="103"/>
        <v>596289.16</v>
      </c>
      <c r="AO357" s="43"/>
      <c r="AP357" s="42">
        <f t="shared" si="119"/>
        <v>62767.280000000028</v>
      </c>
      <c r="AQ357" s="43">
        <v>6</v>
      </c>
      <c r="AR357" s="44">
        <f t="shared" si="120"/>
        <v>0.90476190476190477</v>
      </c>
      <c r="AS357" s="45">
        <f t="shared" si="121"/>
        <v>1679.571860533569</v>
      </c>
      <c r="AU357" s="1">
        <v>564905.52</v>
      </c>
      <c r="AV357" s="50">
        <v>31383.64</v>
      </c>
    </row>
    <row r="358" spans="1:48" s="1" customFormat="1" ht="37.200000000000003" thickTop="1" thickBot="1" x14ac:dyDescent="0.55000000000000004">
      <c r="A358" s="33">
        <v>351</v>
      </c>
      <c r="B358" s="34" t="s">
        <v>405</v>
      </c>
      <c r="C358" s="34" t="s">
        <v>965</v>
      </c>
      <c r="D358" s="35" t="s">
        <v>860</v>
      </c>
      <c r="E358" s="35" t="s">
        <v>966</v>
      </c>
      <c r="F358" s="36" t="s">
        <v>1315</v>
      </c>
      <c r="G358" s="36" t="s">
        <v>1420</v>
      </c>
      <c r="H358" s="36" t="s">
        <v>1421</v>
      </c>
      <c r="I358" s="36" t="s">
        <v>1421</v>
      </c>
      <c r="J358" s="36" t="s">
        <v>1421</v>
      </c>
      <c r="K358" s="36">
        <v>362.5</v>
      </c>
      <c r="L358" s="36" t="s">
        <v>1422</v>
      </c>
      <c r="M358" s="49">
        <v>4</v>
      </c>
      <c r="N358" s="37" t="s">
        <v>1773</v>
      </c>
      <c r="O358" s="37"/>
      <c r="P358" s="36">
        <v>1</v>
      </c>
      <c r="Q358" s="36" t="s">
        <v>1941</v>
      </c>
      <c r="R358" s="36" t="s">
        <v>2258</v>
      </c>
      <c r="S358" s="36" t="s">
        <v>1880</v>
      </c>
      <c r="T358" s="36" t="s">
        <v>1883</v>
      </c>
      <c r="U358" s="38">
        <v>45656</v>
      </c>
      <c r="V358" s="39">
        <v>622796</v>
      </c>
      <c r="W358" s="39" t="s">
        <v>2363</v>
      </c>
      <c r="X358" s="39" t="s">
        <v>2363</v>
      </c>
      <c r="Y358" s="40">
        <f t="shared" si="104"/>
        <v>31139.8</v>
      </c>
      <c r="Z358" s="40">
        <f t="shared" si="105"/>
        <v>653935.80000000005</v>
      </c>
      <c r="AA358" s="41" t="str">
        <f t="shared" si="106"/>
        <v>0.0018</v>
      </c>
      <c r="AB358" s="41">
        <f t="shared" si="107"/>
        <v>0</v>
      </c>
      <c r="AC358" s="41">
        <f t="shared" si="108"/>
        <v>0</v>
      </c>
      <c r="AD358" s="41">
        <f t="shared" si="109"/>
        <v>0</v>
      </c>
      <c r="AE358" s="41">
        <f t="shared" si="110"/>
        <v>0</v>
      </c>
      <c r="AF358" s="41">
        <f t="shared" si="111"/>
        <v>0</v>
      </c>
      <c r="AG358" s="41">
        <f t="shared" si="112"/>
        <v>0</v>
      </c>
      <c r="AH358" s="41">
        <f t="shared" si="113"/>
        <v>0</v>
      </c>
      <c r="AI358" s="41">
        <f t="shared" si="114"/>
        <v>1</v>
      </c>
      <c r="AJ358" s="41">
        <f t="shared" si="115"/>
        <v>365</v>
      </c>
      <c r="AK358" s="41">
        <f t="shared" si="116"/>
        <v>181</v>
      </c>
      <c r="AL358" s="42">
        <f t="shared" si="117"/>
        <v>3.0713227397260274</v>
      </c>
      <c r="AM358" s="42">
        <f t="shared" si="118"/>
        <v>555.90941589041097</v>
      </c>
      <c r="AN358" s="43">
        <f t="shared" si="103"/>
        <v>435957.2</v>
      </c>
      <c r="AO358" s="43"/>
      <c r="AP358" s="42">
        <f t="shared" si="119"/>
        <v>217978.60000000003</v>
      </c>
      <c r="AQ358" s="43">
        <v>4</v>
      </c>
      <c r="AR358" s="44">
        <f t="shared" si="120"/>
        <v>0.66666666666666663</v>
      </c>
      <c r="AS358" s="45">
        <f t="shared" si="121"/>
        <v>1718.0579310344829</v>
      </c>
      <c r="AU358" s="1">
        <v>435957.2</v>
      </c>
      <c r="AV358" s="50">
        <v>0</v>
      </c>
    </row>
    <row r="359" spans="1:48" s="1" customFormat="1" ht="37.200000000000003" thickTop="1" thickBot="1" x14ac:dyDescent="0.55000000000000004">
      <c r="A359" s="33">
        <v>352</v>
      </c>
      <c r="B359" s="34" t="s">
        <v>406</v>
      </c>
      <c r="C359" s="34" t="s">
        <v>965</v>
      </c>
      <c r="D359" s="35" t="s">
        <v>861</v>
      </c>
      <c r="E359" s="35" t="s">
        <v>966</v>
      </c>
      <c r="F359" s="36" t="s">
        <v>1316</v>
      </c>
      <c r="G359" s="36" t="s">
        <v>1420</v>
      </c>
      <c r="H359" s="36" t="s">
        <v>1421</v>
      </c>
      <c r="I359" s="36" t="s">
        <v>1421</v>
      </c>
      <c r="J359" s="36" t="s">
        <v>1421</v>
      </c>
      <c r="K359" s="36">
        <v>349.93</v>
      </c>
      <c r="L359" s="36" t="s">
        <v>1422</v>
      </c>
      <c r="M359" s="49">
        <v>4</v>
      </c>
      <c r="N359" s="37" t="s">
        <v>1774</v>
      </c>
      <c r="O359" s="37"/>
      <c r="P359" s="36">
        <v>1</v>
      </c>
      <c r="Q359" s="36" t="s">
        <v>1972</v>
      </c>
      <c r="R359" s="36" t="s">
        <v>2259</v>
      </c>
      <c r="S359" s="36" t="s">
        <v>1880</v>
      </c>
      <c r="T359" s="36" t="s">
        <v>1881</v>
      </c>
      <c r="U359" s="38">
        <v>45657</v>
      </c>
      <c r="V359" s="39">
        <v>624008.75</v>
      </c>
      <c r="W359" s="39" t="s">
        <v>2363</v>
      </c>
      <c r="X359" s="39" t="s">
        <v>2363</v>
      </c>
      <c r="Y359" s="40">
        <f t="shared" si="104"/>
        <v>31200.4375</v>
      </c>
      <c r="Z359" s="40">
        <f t="shared" si="105"/>
        <v>655209.1875</v>
      </c>
      <c r="AA359" s="41" t="str">
        <f t="shared" si="106"/>
        <v>0.0018</v>
      </c>
      <c r="AB359" s="41">
        <f t="shared" si="107"/>
        <v>0</v>
      </c>
      <c r="AC359" s="41">
        <f t="shared" si="108"/>
        <v>0</v>
      </c>
      <c r="AD359" s="41">
        <f t="shared" si="109"/>
        <v>0</v>
      </c>
      <c r="AE359" s="41">
        <f t="shared" si="110"/>
        <v>0</v>
      </c>
      <c r="AF359" s="41">
        <f t="shared" si="111"/>
        <v>0</v>
      </c>
      <c r="AG359" s="41">
        <f t="shared" si="112"/>
        <v>0</v>
      </c>
      <c r="AH359" s="41">
        <f t="shared" si="113"/>
        <v>0</v>
      </c>
      <c r="AI359" s="41">
        <f t="shared" si="114"/>
        <v>0</v>
      </c>
      <c r="AJ359" s="41">
        <f t="shared" si="115"/>
        <v>365</v>
      </c>
      <c r="AK359" s="41">
        <f t="shared" si="116"/>
        <v>181</v>
      </c>
      <c r="AL359" s="42">
        <f t="shared" si="117"/>
        <v>3.0773034246575346</v>
      </c>
      <c r="AM359" s="42">
        <f t="shared" si="118"/>
        <v>556.99191986301378</v>
      </c>
      <c r="AN359" s="43">
        <f t="shared" si="103"/>
        <v>592808.32999999996</v>
      </c>
      <c r="AO359" s="43"/>
      <c r="AP359" s="42">
        <f t="shared" si="119"/>
        <v>62400.857500000042</v>
      </c>
      <c r="AQ359" s="43">
        <v>6</v>
      </c>
      <c r="AR359" s="44">
        <f t="shared" si="120"/>
        <v>0.90476193147093187</v>
      </c>
      <c r="AS359" s="45">
        <f t="shared" si="121"/>
        <v>1783.2387906152658</v>
      </c>
      <c r="AU359" s="1">
        <v>561607.89</v>
      </c>
      <c r="AV359" s="50">
        <v>31200.44</v>
      </c>
    </row>
    <row r="360" spans="1:48" s="1" customFormat="1" ht="37.200000000000003" thickTop="1" thickBot="1" x14ac:dyDescent="0.55000000000000004">
      <c r="A360" s="33">
        <v>353</v>
      </c>
      <c r="B360" s="34" t="s">
        <v>407</v>
      </c>
      <c r="C360" s="34" t="s">
        <v>965</v>
      </c>
      <c r="D360" s="35" t="s">
        <v>862</v>
      </c>
      <c r="E360" s="35" t="s">
        <v>966</v>
      </c>
      <c r="F360" s="36" t="s">
        <v>1317</v>
      </c>
      <c r="G360" s="36" t="s">
        <v>1420</v>
      </c>
      <c r="H360" s="36" t="s">
        <v>1421</v>
      </c>
      <c r="I360" s="36" t="s">
        <v>1421</v>
      </c>
      <c r="J360" s="36" t="s">
        <v>1421</v>
      </c>
      <c r="K360" s="36">
        <v>350</v>
      </c>
      <c r="L360" s="36" t="s">
        <v>1422</v>
      </c>
      <c r="M360" s="49">
        <v>4</v>
      </c>
      <c r="N360" s="37" t="s">
        <v>1775</v>
      </c>
      <c r="O360" s="37"/>
      <c r="P360" s="36">
        <v>1</v>
      </c>
      <c r="Q360" s="36" t="s">
        <v>1933</v>
      </c>
      <c r="R360" s="36" t="s">
        <v>2260</v>
      </c>
      <c r="S360" s="36" t="s">
        <v>1880</v>
      </c>
      <c r="T360" s="36" t="s">
        <v>1883</v>
      </c>
      <c r="U360" s="38">
        <v>45657</v>
      </c>
      <c r="V360" s="39">
        <v>762972.16000000003</v>
      </c>
      <c r="W360" s="39" t="s">
        <v>2363</v>
      </c>
      <c r="X360" s="39" t="s">
        <v>2363</v>
      </c>
      <c r="Y360" s="40">
        <f t="shared" si="104"/>
        <v>38148.608</v>
      </c>
      <c r="Z360" s="40">
        <f t="shared" si="105"/>
        <v>801120.76800000004</v>
      </c>
      <c r="AA360" s="41" t="str">
        <f t="shared" si="106"/>
        <v>0.0022</v>
      </c>
      <c r="AB360" s="41">
        <f t="shared" si="107"/>
        <v>0</v>
      </c>
      <c r="AC360" s="41">
        <f t="shared" si="108"/>
        <v>0</v>
      </c>
      <c r="AD360" s="41">
        <f t="shared" si="109"/>
        <v>0</v>
      </c>
      <c r="AE360" s="41">
        <f t="shared" si="110"/>
        <v>0</v>
      </c>
      <c r="AF360" s="41">
        <f t="shared" si="111"/>
        <v>0</v>
      </c>
      <c r="AG360" s="41">
        <f t="shared" si="112"/>
        <v>0</v>
      </c>
      <c r="AH360" s="41">
        <f t="shared" si="113"/>
        <v>0</v>
      </c>
      <c r="AI360" s="41">
        <f t="shared" si="114"/>
        <v>0</v>
      </c>
      <c r="AJ360" s="41">
        <f t="shared" si="115"/>
        <v>365</v>
      </c>
      <c r="AK360" s="41">
        <f t="shared" si="116"/>
        <v>181</v>
      </c>
      <c r="AL360" s="42">
        <f t="shared" si="117"/>
        <v>4.5987363068493154</v>
      </c>
      <c r="AM360" s="42">
        <f t="shared" si="118"/>
        <v>832.37127153972608</v>
      </c>
      <c r="AN360" s="43">
        <f t="shared" si="103"/>
        <v>534080.47</v>
      </c>
      <c r="AO360" s="43"/>
      <c r="AP360" s="42">
        <f t="shared" si="119"/>
        <v>267040.29800000007</v>
      </c>
      <c r="AQ360" s="43">
        <v>4</v>
      </c>
      <c r="AR360" s="44">
        <f t="shared" si="120"/>
        <v>0.66666661424011409</v>
      </c>
      <c r="AS360" s="45">
        <f t="shared" si="121"/>
        <v>2179.9204571428572</v>
      </c>
      <c r="AU360" s="1">
        <v>534080.47</v>
      </c>
      <c r="AV360" s="50">
        <v>0</v>
      </c>
    </row>
    <row r="361" spans="1:48" s="1" customFormat="1" ht="37.200000000000003" thickTop="1" thickBot="1" x14ac:dyDescent="0.55000000000000004">
      <c r="A361" s="33">
        <v>354</v>
      </c>
      <c r="B361" s="34" t="s">
        <v>408</v>
      </c>
      <c r="C361" s="34" t="s">
        <v>965</v>
      </c>
      <c r="D361" s="35" t="s">
        <v>863</v>
      </c>
      <c r="E361" s="35" t="s">
        <v>966</v>
      </c>
      <c r="F361" s="36" t="s">
        <v>1318</v>
      </c>
      <c r="G361" s="36" t="s">
        <v>1420</v>
      </c>
      <c r="H361" s="36" t="s">
        <v>1421</v>
      </c>
      <c r="I361" s="36" t="s">
        <v>1421</v>
      </c>
      <c r="J361" s="36" t="s">
        <v>1421</v>
      </c>
      <c r="K361" s="36">
        <v>374.5</v>
      </c>
      <c r="L361" s="36" t="s">
        <v>1422</v>
      </c>
      <c r="M361" s="49">
        <v>4</v>
      </c>
      <c r="N361" s="37" t="s">
        <v>1776</v>
      </c>
      <c r="O361" s="37"/>
      <c r="P361" s="36">
        <v>1</v>
      </c>
      <c r="Q361" s="36" t="s">
        <v>1935</v>
      </c>
      <c r="R361" s="36" t="s">
        <v>2261</v>
      </c>
      <c r="S361" s="36" t="s">
        <v>1880</v>
      </c>
      <c r="T361" s="36" t="s">
        <v>1883</v>
      </c>
      <c r="U361" s="38">
        <v>45657</v>
      </c>
      <c r="V361" s="39">
        <v>890944.4</v>
      </c>
      <c r="W361" s="39" t="s">
        <v>2363</v>
      </c>
      <c r="X361" s="39" t="s">
        <v>2363</v>
      </c>
      <c r="Y361" s="40">
        <f t="shared" si="104"/>
        <v>44547.22</v>
      </c>
      <c r="Z361" s="40">
        <f t="shared" si="105"/>
        <v>935491.62</v>
      </c>
      <c r="AA361" s="41" t="str">
        <f t="shared" si="106"/>
        <v>0.0022</v>
      </c>
      <c r="AB361" s="41">
        <f t="shared" si="107"/>
        <v>0</v>
      </c>
      <c r="AC361" s="41">
        <f t="shared" si="108"/>
        <v>0</v>
      </c>
      <c r="AD361" s="41">
        <f t="shared" si="109"/>
        <v>0</v>
      </c>
      <c r="AE361" s="41">
        <f t="shared" si="110"/>
        <v>0</v>
      </c>
      <c r="AF361" s="41">
        <f t="shared" si="111"/>
        <v>0</v>
      </c>
      <c r="AG361" s="41">
        <f t="shared" si="112"/>
        <v>0</v>
      </c>
      <c r="AH361" s="41">
        <f t="shared" si="113"/>
        <v>0</v>
      </c>
      <c r="AI361" s="41">
        <f t="shared" si="114"/>
        <v>0</v>
      </c>
      <c r="AJ361" s="41">
        <f t="shared" si="115"/>
        <v>365</v>
      </c>
      <c r="AK361" s="41">
        <f t="shared" si="116"/>
        <v>181</v>
      </c>
      <c r="AL361" s="42">
        <f t="shared" si="117"/>
        <v>5.3700758356164382</v>
      </c>
      <c r="AM361" s="42">
        <f t="shared" si="118"/>
        <v>971.98372624657532</v>
      </c>
      <c r="AN361" s="43">
        <f t="shared" si="103"/>
        <v>623661</v>
      </c>
      <c r="AO361" s="43"/>
      <c r="AP361" s="42">
        <f t="shared" si="119"/>
        <v>311830.62</v>
      </c>
      <c r="AQ361" s="43">
        <v>4</v>
      </c>
      <c r="AR361" s="44">
        <f t="shared" si="120"/>
        <v>0.66666658115013366</v>
      </c>
      <c r="AS361" s="45">
        <f t="shared" si="121"/>
        <v>2379.023765020027</v>
      </c>
      <c r="AU361" s="1">
        <v>623661</v>
      </c>
      <c r="AV361" s="50">
        <v>0</v>
      </c>
    </row>
    <row r="362" spans="1:48" s="1" customFormat="1" ht="37.200000000000003" thickTop="1" thickBot="1" x14ac:dyDescent="0.55000000000000004">
      <c r="A362" s="33">
        <v>355</v>
      </c>
      <c r="B362" s="34" t="s">
        <v>409</v>
      </c>
      <c r="C362" s="34" t="s">
        <v>965</v>
      </c>
      <c r="D362" s="35" t="s">
        <v>864</v>
      </c>
      <c r="E362" s="35" t="s">
        <v>966</v>
      </c>
      <c r="F362" s="36" t="s">
        <v>1319</v>
      </c>
      <c r="G362" s="36" t="s">
        <v>1420</v>
      </c>
      <c r="H362" s="36" t="s">
        <v>1421</v>
      </c>
      <c r="I362" s="36" t="s">
        <v>1421</v>
      </c>
      <c r="J362" s="36" t="s">
        <v>1421</v>
      </c>
      <c r="K362" s="36">
        <v>350</v>
      </c>
      <c r="L362" s="36" t="s">
        <v>1422</v>
      </c>
      <c r="M362" s="49">
        <v>4</v>
      </c>
      <c r="N362" s="37" t="s">
        <v>1777</v>
      </c>
      <c r="O362" s="37"/>
      <c r="P362" s="36">
        <v>1</v>
      </c>
      <c r="Q362" s="36" t="s">
        <v>1937</v>
      </c>
      <c r="R362" s="36" t="s">
        <v>2262</v>
      </c>
      <c r="S362" s="36" t="s">
        <v>1880</v>
      </c>
      <c r="T362" s="36" t="s">
        <v>1881</v>
      </c>
      <c r="U362" s="38">
        <v>45657</v>
      </c>
      <c r="V362" s="39">
        <v>624046</v>
      </c>
      <c r="W362" s="39" t="s">
        <v>2363</v>
      </c>
      <c r="X362" s="39" t="s">
        <v>2363</v>
      </c>
      <c r="Y362" s="40">
        <f t="shared" si="104"/>
        <v>31202.3</v>
      </c>
      <c r="Z362" s="40">
        <f t="shared" si="105"/>
        <v>655248.30000000005</v>
      </c>
      <c r="AA362" s="41" t="str">
        <f t="shared" si="106"/>
        <v>0.0018</v>
      </c>
      <c r="AB362" s="41">
        <f t="shared" si="107"/>
        <v>0</v>
      </c>
      <c r="AC362" s="41">
        <f t="shared" si="108"/>
        <v>0</v>
      </c>
      <c r="AD362" s="41">
        <f t="shared" si="109"/>
        <v>0</v>
      </c>
      <c r="AE362" s="41">
        <f t="shared" si="110"/>
        <v>0</v>
      </c>
      <c r="AF362" s="41">
        <f t="shared" si="111"/>
        <v>0</v>
      </c>
      <c r="AG362" s="41">
        <f t="shared" si="112"/>
        <v>0</v>
      </c>
      <c r="AH362" s="41">
        <f t="shared" si="113"/>
        <v>0</v>
      </c>
      <c r="AI362" s="41">
        <f t="shared" si="114"/>
        <v>0</v>
      </c>
      <c r="AJ362" s="41">
        <f t="shared" si="115"/>
        <v>365</v>
      </c>
      <c r="AK362" s="41">
        <f t="shared" si="116"/>
        <v>181</v>
      </c>
      <c r="AL362" s="42">
        <f t="shared" si="117"/>
        <v>3.0774871232876713</v>
      </c>
      <c r="AM362" s="42">
        <f t="shared" si="118"/>
        <v>557.02516931506852</v>
      </c>
      <c r="AN362" s="43">
        <f t="shared" si="103"/>
        <v>561641.4</v>
      </c>
      <c r="AO362" s="43"/>
      <c r="AP362" s="42">
        <f t="shared" si="119"/>
        <v>93606.900000000023</v>
      </c>
      <c r="AQ362" s="43">
        <v>5</v>
      </c>
      <c r="AR362" s="44">
        <f t="shared" si="120"/>
        <v>0.8571428571428571</v>
      </c>
      <c r="AS362" s="45">
        <f t="shared" si="121"/>
        <v>1782.9885714285715</v>
      </c>
      <c r="AU362" s="1">
        <v>468034.5</v>
      </c>
      <c r="AV362" s="50">
        <v>93606.9</v>
      </c>
    </row>
    <row r="363" spans="1:48" s="1" customFormat="1" ht="37.200000000000003" thickTop="1" thickBot="1" x14ac:dyDescent="0.55000000000000004">
      <c r="A363" s="33">
        <v>356</v>
      </c>
      <c r="B363" s="34" t="s">
        <v>410</v>
      </c>
      <c r="C363" s="34" t="s">
        <v>965</v>
      </c>
      <c r="D363" s="35" t="s">
        <v>865</v>
      </c>
      <c r="E363" s="35" t="s">
        <v>966</v>
      </c>
      <c r="F363" s="36" t="s">
        <v>1320</v>
      </c>
      <c r="G363" s="36" t="s">
        <v>1420</v>
      </c>
      <c r="H363" s="36" t="s">
        <v>1421</v>
      </c>
      <c r="I363" s="36" t="s">
        <v>1421</v>
      </c>
      <c r="J363" s="36" t="s">
        <v>1421</v>
      </c>
      <c r="K363" s="36">
        <v>342.07</v>
      </c>
      <c r="L363" s="36" t="s">
        <v>1422</v>
      </c>
      <c r="M363" s="49">
        <v>4</v>
      </c>
      <c r="N363" s="37" t="s">
        <v>1778</v>
      </c>
      <c r="O363" s="37"/>
      <c r="P363" s="36">
        <v>1</v>
      </c>
      <c r="Q363" s="36" t="s">
        <v>1995</v>
      </c>
      <c r="R363" s="36" t="s">
        <v>2263</v>
      </c>
      <c r="S363" s="36" t="s">
        <v>1880</v>
      </c>
      <c r="T363" s="36" t="s">
        <v>1881</v>
      </c>
      <c r="U363" s="38">
        <v>45657</v>
      </c>
      <c r="V363" s="39">
        <v>803970.3</v>
      </c>
      <c r="W363" s="39" t="s">
        <v>2363</v>
      </c>
      <c r="X363" s="39" t="s">
        <v>2363</v>
      </c>
      <c r="Y363" s="40">
        <f t="shared" si="104"/>
        <v>40198.514999999999</v>
      </c>
      <c r="Z363" s="40">
        <f t="shared" si="105"/>
        <v>844168.81500000006</v>
      </c>
      <c r="AA363" s="41" t="str">
        <f t="shared" si="106"/>
        <v>0.0022</v>
      </c>
      <c r="AB363" s="41">
        <f t="shared" si="107"/>
        <v>0</v>
      </c>
      <c r="AC363" s="41">
        <f t="shared" si="108"/>
        <v>0</v>
      </c>
      <c r="AD363" s="41">
        <f t="shared" si="109"/>
        <v>0</v>
      </c>
      <c r="AE363" s="41">
        <f t="shared" si="110"/>
        <v>0</v>
      </c>
      <c r="AF363" s="41">
        <f t="shared" si="111"/>
        <v>0</v>
      </c>
      <c r="AG363" s="41">
        <f t="shared" si="112"/>
        <v>0</v>
      </c>
      <c r="AH363" s="41">
        <f t="shared" si="113"/>
        <v>0</v>
      </c>
      <c r="AI363" s="41">
        <f t="shared" si="114"/>
        <v>0</v>
      </c>
      <c r="AJ363" s="41">
        <f t="shared" si="115"/>
        <v>365</v>
      </c>
      <c r="AK363" s="41">
        <f t="shared" si="116"/>
        <v>181</v>
      </c>
      <c r="AL363" s="42">
        <f t="shared" si="117"/>
        <v>4.8458483835616448</v>
      </c>
      <c r="AM363" s="42">
        <f t="shared" si="118"/>
        <v>877.09855742465766</v>
      </c>
      <c r="AN363" s="43">
        <f t="shared" si="103"/>
        <v>723573.28</v>
      </c>
      <c r="AO363" s="43"/>
      <c r="AP363" s="42">
        <f t="shared" si="119"/>
        <v>120595.53500000003</v>
      </c>
      <c r="AQ363" s="43">
        <v>5</v>
      </c>
      <c r="AR363" s="44">
        <f t="shared" si="120"/>
        <v>0.85714286898882897</v>
      </c>
      <c r="AS363" s="45">
        <f t="shared" si="121"/>
        <v>2350.3092934194756</v>
      </c>
      <c r="AU363" s="1">
        <v>602977.73</v>
      </c>
      <c r="AV363" s="50">
        <v>120595.55</v>
      </c>
    </row>
    <row r="364" spans="1:48" s="1" customFormat="1" ht="37.200000000000003" thickTop="1" thickBot="1" x14ac:dyDescent="0.55000000000000004">
      <c r="A364" s="33">
        <v>357</v>
      </c>
      <c r="B364" s="34" t="s">
        <v>411</v>
      </c>
      <c r="C364" s="34" t="s">
        <v>965</v>
      </c>
      <c r="D364" s="35" t="s">
        <v>866</v>
      </c>
      <c r="E364" s="35" t="s">
        <v>966</v>
      </c>
      <c r="F364" s="36" t="s">
        <v>1321</v>
      </c>
      <c r="G364" s="36" t="s">
        <v>1420</v>
      </c>
      <c r="H364" s="36" t="s">
        <v>1421</v>
      </c>
      <c r="I364" s="36" t="s">
        <v>1421</v>
      </c>
      <c r="J364" s="36" t="s">
        <v>1421</v>
      </c>
      <c r="K364" s="36">
        <v>350.01</v>
      </c>
      <c r="L364" s="36" t="s">
        <v>1422</v>
      </c>
      <c r="M364" s="49">
        <v>4</v>
      </c>
      <c r="N364" s="37" t="s">
        <v>1779</v>
      </c>
      <c r="O364" s="37"/>
      <c r="P364" s="36">
        <v>1</v>
      </c>
      <c r="Q364" s="36" t="s">
        <v>1915</v>
      </c>
      <c r="R364" s="36" t="s">
        <v>2264</v>
      </c>
      <c r="S364" s="36" t="s">
        <v>1880</v>
      </c>
      <c r="T364" s="36" t="s">
        <v>1881</v>
      </c>
      <c r="U364" s="38">
        <v>45657</v>
      </c>
      <c r="V364" s="39">
        <v>787220.14</v>
      </c>
      <c r="W364" s="39" t="s">
        <v>2363</v>
      </c>
      <c r="X364" s="39" t="s">
        <v>2363</v>
      </c>
      <c r="Y364" s="40">
        <f t="shared" si="104"/>
        <v>39361.007000000005</v>
      </c>
      <c r="Z364" s="40">
        <f t="shared" si="105"/>
        <v>826581.147</v>
      </c>
      <c r="AA364" s="41" t="str">
        <f t="shared" si="106"/>
        <v>0.0022</v>
      </c>
      <c r="AB364" s="41">
        <f t="shared" si="107"/>
        <v>0</v>
      </c>
      <c r="AC364" s="41">
        <f t="shared" si="108"/>
        <v>0</v>
      </c>
      <c r="AD364" s="41">
        <f t="shared" si="109"/>
        <v>0</v>
      </c>
      <c r="AE364" s="41">
        <f t="shared" si="110"/>
        <v>0</v>
      </c>
      <c r="AF364" s="41">
        <f t="shared" si="111"/>
        <v>0</v>
      </c>
      <c r="AG364" s="41">
        <f t="shared" si="112"/>
        <v>0</v>
      </c>
      <c r="AH364" s="41">
        <f t="shared" si="113"/>
        <v>0</v>
      </c>
      <c r="AI364" s="41">
        <f t="shared" si="114"/>
        <v>0</v>
      </c>
      <c r="AJ364" s="41">
        <f t="shared" si="115"/>
        <v>365</v>
      </c>
      <c r="AK364" s="41">
        <f t="shared" si="116"/>
        <v>181</v>
      </c>
      <c r="AL364" s="42">
        <f t="shared" si="117"/>
        <v>4.7448885150684932</v>
      </c>
      <c r="AM364" s="42">
        <f t="shared" si="118"/>
        <v>858.82482122739725</v>
      </c>
      <c r="AN364" s="43">
        <f t="shared" si="103"/>
        <v>747859.14</v>
      </c>
      <c r="AO364" s="43"/>
      <c r="AP364" s="42">
        <f t="shared" si="119"/>
        <v>78722.006999999983</v>
      </c>
      <c r="AQ364" s="43">
        <v>6</v>
      </c>
      <c r="AR364" s="44">
        <f t="shared" si="120"/>
        <v>0.9047619132305228</v>
      </c>
      <c r="AS364" s="45">
        <f t="shared" si="121"/>
        <v>2249.136138967458</v>
      </c>
      <c r="AU364" s="1">
        <v>708498.13</v>
      </c>
      <c r="AV364" s="50">
        <v>39361.01</v>
      </c>
    </row>
    <row r="365" spans="1:48" s="1" customFormat="1" ht="37.200000000000003" thickTop="1" thickBot="1" x14ac:dyDescent="0.55000000000000004">
      <c r="A365" s="33">
        <v>358</v>
      </c>
      <c r="B365" s="34" t="s">
        <v>412</v>
      </c>
      <c r="C365" s="34" t="s">
        <v>965</v>
      </c>
      <c r="D365" s="35" t="s">
        <v>867</v>
      </c>
      <c r="E365" s="35" t="s">
        <v>966</v>
      </c>
      <c r="F365" s="36" t="s">
        <v>1322</v>
      </c>
      <c r="G365" s="36" t="s">
        <v>1420</v>
      </c>
      <c r="H365" s="36" t="s">
        <v>1421</v>
      </c>
      <c r="I365" s="36" t="s">
        <v>1421</v>
      </c>
      <c r="J365" s="36" t="s">
        <v>1421</v>
      </c>
      <c r="K365" s="36">
        <v>360.45</v>
      </c>
      <c r="L365" s="36" t="s">
        <v>1422</v>
      </c>
      <c r="M365" s="49">
        <v>4</v>
      </c>
      <c r="N365" s="37" t="s">
        <v>1780</v>
      </c>
      <c r="O365" s="37"/>
      <c r="P365" s="36">
        <v>1</v>
      </c>
      <c r="Q365" s="36" t="s">
        <v>1956</v>
      </c>
      <c r="R365" s="36" t="s">
        <v>2265</v>
      </c>
      <c r="S365" s="36" t="s">
        <v>1880</v>
      </c>
      <c r="T365" s="36" t="s">
        <v>1881</v>
      </c>
      <c r="U365" s="38">
        <v>45657</v>
      </c>
      <c r="V365" s="39">
        <v>887520.58</v>
      </c>
      <c r="W365" s="39" t="s">
        <v>2363</v>
      </c>
      <c r="X365" s="39" t="s">
        <v>2363</v>
      </c>
      <c r="Y365" s="40">
        <f t="shared" si="104"/>
        <v>44376.028999999995</v>
      </c>
      <c r="Z365" s="40">
        <f t="shared" si="105"/>
        <v>931896.60899999994</v>
      </c>
      <c r="AA365" s="41" t="str">
        <f t="shared" si="106"/>
        <v>0.0022</v>
      </c>
      <c r="AB365" s="41">
        <f t="shared" si="107"/>
        <v>0</v>
      </c>
      <c r="AC365" s="41">
        <f t="shared" si="108"/>
        <v>0</v>
      </c>
      <c r="AD365" s="41">
        <f t="shared" si="109"/>
        <v>0</v>
      </c>
      <c r="AE365" s="41">
        <f t="shared" si="110"/>
        <v>0</v>
      </c>
      <c r="AF365" s="41">
        <f t="shared" si="111"/>
        <v>0</v>
      </c>
      <c r="AG365" s="41">
        <f t="shared" si="112"/>
        <v>0</v>
      </c>
      <c r="AH365" s="41">
        <f t="shared" si="113"/>
        <v>0</v>
      </c>
      <c r="AI365" s="41">
        <f t="shared" si="114"/>
        <v>0</v>
      </c>
      <c r="AJ365" s="41">
        <f t="shared" si="115"/>
        <v>365</v>
      </c>
      <c r="AK365" s="41">
        <f t="shared" si="116"/>
        <v>181</v>
      </c>
      <c r="AL365" s="42">
        <f t="shared" si="117"/>
        <v>5.349439112328767</v>
      </c>
      <c r="AM365" s="42">
        <f t="shared" si="118"/>
        <v>968.24847933150681</v>
      </c>
      <c r="AN365" s="43">
        <f t="shared" si="103"/>
        <v>798768.53999999992</v>
      </c>
      <c r="AO365" s="43"/>
      <c r="AP365" s="42">
        <f t="shared" si="119"/>
        <v>133128.06900000002</v>
      </c>
      <c r="AQ365" s="43">
        <v>5</v>
      </c>
      <c r="AR365" s="44">
        <f t="shared" si="120"/>
        <v>0.85714287645830456</v>
      </c>
      <c r="AS365" s="45">
        <f t="shared" si="121"/>
        <v>2462.2571230406438</v>
      </c>
      <c r="AU365" s="1">
        <v>798768.53999999992</v>
      </c>
      <c r="AV365" s="50">
        <v>0</v>
      </c>
    </row>
    <row r="366" spans="1:48" s="1" customFormat="1" ht="37.200000000000003" thickTop="1" thickBot="1" x14ac:dyDescent="0.55000000000000004">
      <c r="A366" s="33">
        <v>359</v>
      </c>
      <c r="B366" s="34" t="s">
        <v>413</v>
      </c>
      <c r="C366" s="34" t="s">
        <v>965</v>
      </c>
      <c r="D366" s="35" t="s">
        <v>868</v>
      </c>
      <c r="E366" s="35" t="s">
        <v>966</v>
      </c>
      <c r="F366" s="36" t="s">
        <v>1323</v>
      </c>
      <c r="G366" s="36" t="s">
        <v>1420</v>
      </c>
      <c r="H366" s="36" t="s">
        <v>1421</v>
      </c>
      <c r="I366" s="36" t="s">
        <v>1421</v>
      </c>
      <c r="J366" s="36" t="s">
        <v>1421</v>
      </c>
      <c r="K366" s="36">
        <v>349.85</v>
      </c>
      <c r="L366" s="36" t="s">
        <v>1422</v>
      </c>
      <c r="M366" s="49">
        <v>4</v>
      </c>
      <c r="N366" s="37" t="s">
        <v>1781</v>
      </c>
      <c r="O366" s="37"/>
      <c r="P366" s="36">
        <v>1</v>
      </c>
      <c r="Q366" s="36" t="s">
        <v>1972</v>
      </c>
      <c r="R366" s="36" t="s">
        <v>2266</v>
      </c>
      <c r="S366" s="36" t="s">
        <v>1880</v>
      </c>
      <c r="T366" s="36" t="s">
        <v>1881</v>
      </c>
      <c r="U366" s="38">
        <v>45657</v>
      </c>
      <c r="V366" s="39">
        <v>623969.75</v>
      </c>
      <c r="W366" s="39" t="s">
        <v>2363</v>
      </c>
      <c r="X366" s="39" t="s">
        <v>2363</v>
      </c>
      <c r="Y366" s="40">
        <f t="shared" si="104"/>
        <v>31198.487499999999</v>
      </c>
      <c r="Z366" s="40">
        <f t="shared" si="105"/>
        <v>655168.23750000005</v>
      </c>
      <c r="AA366" s="41" t="str">
        <f t="shared" si="106"/>
        <v>0.0018</v>
      </c>
      <c r="AB366" s="41">
        <f t="shared" si="107"/>
        <v>0</v>
      </c>
      <c r="AC366" s="41">
        <f t="shared" si="108"/>
        <v>0</v>
      </c>
      <c r="AD366" s="41">
        <f t="shared" si="109"/>
        <v>0</v>
      </c>
      <c r="AE366" s="41">
        <f t="shared" si="110"/>
        <v>0</v>
      </c>
      <c r="AF366" s="41">
        <f t="shared" si="111"/>
        <v>0</v>
      </c>
      <c r="AG366" s="41">
        <f t="shared" si="112"/>
        <v>0</v>
      </c>
      <c r="AH366" s="41">
        <f t="shared" si="113"/>
        <v>0</v>
      </c>
      <c r="AI366" s="41">
        <f t="shared" si="114"/>
        <v>0</v>
      </c>
      <c r="AJ366" s="41">
        <f t="shared" si="115"/>
        <v>365</v>
      </c>
      <c r="AK366" s="41">
        <f t="shared" si="116"/>
        <v>181</v>
      </c>
      <c r="AL366" s="42">
        <f t="shared" si="117"/>
        <v>3.0771110958904107</v>
      </c>
      <c r="AM366" s="42">
        <f t="shared" si="118"/>
        <v>556.95710835616433</v>
      </c>
      <c r="AN366" s="43">
        <f t="shared" si="103"/>
        <v>561572.79</v>
      </c>
      <c r="AO366" s="43"/>
      <c r="AP366" s="42">
        <f t="shared" si="119"/>
        <v>93595.447500000009</v>
      </c>
      <c r="AQ366" s="43">
        <v>5</v>
      </c>
      <c r="AR366" s="44">
        <f t="shared" si="120"/>
        <v>0.85714288003773997</v>
      </c>
      <c r="AS366" s="45">
        <f t="shared" si="121"/>
        <v>1783.535086465628</v>
      </c>
      <c r="AU366" s="1">
        <v>561572.79</v>
      </c>
      <c r="AV366" s="50">
        <v>0</v>
      </c>
    </row>
    <row r="367" spans="1:48" s="1" customFormat="1" ht="37.200000000000003" thickTop="1" thickBot="1" x14ac:dyDescent="0.55000000000000004">
      <c r="A367" s="33">
        <v>360</v>
      </c>
      <c r="B367" s="34" t="s">
        <v>414</v>
      </c>
      <c r="C367" s="34" t="s">
        <v>965</v>
      </c>
      <c r="D367" s="35" t="s">
        <v>869</v>
      </c>
      <c r="E367" s="35" t="s">
        <v>966</v>
      </c>
      <c r="F367" s="36" t="s">
        <v>1324</v>
      </c>
      <c r="G367" s="36" t="s">
        <v>1420</v>
      </c>
      <c r="H367" s="36" t="s">
        <v>1421</v>
      </c>
      <c r="I367" s="36" t="s">
        <v>1421</v>
      </c>
      <c r="J367" s="36" t="s">
        <v>1421</v>
      </c>
      <c r="K367" s="36">
        <v>375</v>
      </c>
      <c r="L367" s="36" t="s">
        <v>1422</v>
      </c>
      <c r="M367" s="49">
        <v>4</v>
      </c>
      <c r="N367" s="37" t="s">
        <v>1782</v>
      </c>
      <c r="O367" s="37"/>
      <c r="P367" s="36">
        <v>1</v>
      </c>
      <c r="Q367" s="36" t="s">
        <v>2032</v>
      </c>
      <c r="R367" s="36" t="s">
        <v>2267</v>
      </c>
      <c r="S367" s="36" t="s">
        <v>1880</v>
      </c>
      <c r="T367" s="36" t="s">
        <v>1883</v>
      </c>
      <c r="U367" s="38">
        <v>45657</v>
      </c>
      <c r="V367" s="39">
        <v>627543.6</v>
      </c>
      <c r="W367" s="39" t="s">
        <v>2363</v>
      </c>
      <c r="X367" s="39" t="s">
        <v>2363</v>
      </c>
      <c r="Y367" s="40">
        <f t="shared" si="104"/>
        <v>31377.18</v>
      </c>
      <c r="Z367" s="40">
        <f t="shared" si="105"/>
        <v>658920.78</v>
      </c>
      <c r="AA367" s="41" t="str">
        <f t="shared" si="106"/>
        <v>0.0018</v>
      </c>
      <c r="AB367" s="41">
        <f t="shared" si="107"/>
        <v>0</v>
      </c>
      <c r="AC367" s="41">
        <f t="shared" si="108"/>
        <v>0</v>
      </c>
      <c r="AD367" s="41">
        <f t="shared" si="109"/>
        <v>0</v>
      </c>
      <c r="AE367" s="41">
        <f t="shared" si="110"/>
        <v>0</v>
      </c>
      <c r="AF367" s="41">
        <f t="shared" si="111"/>
        <v>0</v>
      </c>
      <c r="AG367" s="41">
        <f t="shared" si="112"/>
        <v>0</v>
      </c>
      <c r="AH367" s="41">
        <f t="shared" si="113"/>
        <v>0</v>
      </c>
      <c r="AI367" s="41">
        <f t="shared" si="114"/>
        <v>0</v>
      </c>
      <c r="AJ367" s="41">
        <f t="shared" si="115"/>
        <v>365</v>
      </c>
      <c r="AK367" s="41">
        <f t="shared" si="116"/>
        <v>181</v>
      </c>
      <c r="AL367" s="42">
        <f t="shared" si="117"/>
        <v>3.0947355616438355</v>
      </c>
      <c r="AM367" s="42">
        <f t="shared" si="118"/>
        <v>560.14713665753425</v>
      </c>
      <c r="AN367" s="43">
        <f t="shared" si="103"/>
        <v>533412.34</v>
      </c>
      <c r="AO367" s="43"/>
      <c r="AP367" s="42">
        <f t="shared" si="119"/>
        <v>125508.44000000006</v>
      </c>
      <c r="AQ367" s="43">
        <v>5</v>
      </c>
      <c r="AR367" s="44">
        <f t="shared" si="120"/>
        <v>0.80952423446108335</v>
      </c>
      <c r="AS367" s="45">
        <f t="shared" si="121"/>
        <v>1673.4495999999999</v>
      </c>
      <c r="AU367" s="1">
        <v>439280.74</v>
      </c>
      <c r="AV367" s="50">
        <v>94131.6</v>
      </c>
    </row>
    <row r="368" spans="1:48" s="1" customFormat="1" ht="37.200000000000003" thickTop="1" thickBot="1" x14ac:dyDescent="0.55000000000000004">
      <c r="A368" s="33">
        <v>361</v>
      </c>
      <c r="B368" s="34" t="s">
        <v>415</v>
      </c>
      <c r="C368" s="34" t="s">
        <v>965</v>
      </c>
      <c r="D368" s="35" t="s">
        <v>870</v>
      </c>
      <c r="E368" s="35" t="s">
        <v>966</v>
      </c>
      <c r="F368" s="36" t="s">
        <v>1325</v>
      </c>
      <c r="G368" s="36" t="s">
        <v>1420</v>
      </c>
      <c r="H368" s="36" t="s">
        <v>1421</v>
      </c>
      <c r="I368" s="36" t="s">
        <v>1421</v>
      </c>
      <c r="J368" s="36" t="s">
        <v>1421</v>
      </c>
      <c r="K368" s="36">
        <v>375</v>
      </c>
      <c r="L368" s="36" t="s">
        <v>1422</v>
      </c>
      <c r="M368" s="49">
        <v>4</v>
      </c>
      <c r="N368" s="37" t="s">
        <v>1783</v>
      </c>
      <c r="O368" s="37"/>
      <c r="P368" s="36">
        <v>1</v>
      </c>
      <c r="Q368" s="36" t="s">
        <v>1943</v>
      </c>
      <c r="R368" s="36" t="s">
        <v>2268</v>
      </c>
      <c r="S368" s="36" t="s">
        <v>1880</v>
      </c>
      <c r="T368" s="36" t="s">
        <v>1881</v>
      </c>
      <c r="U368" s="38">
        <v>45657</v>
      </c>
      <c r="V368" s="39">
        <v>627543.6</v>
      </c>
      <c r="W368" s="39" t="s">
        <v>2363</v>
      </c>
      <c r="X368" s="39" t="s">
        <v>2363</v>
      </c>
      <c r="Y368" s="40">
        <f t="shared" si="104"/>
        <v>31377.18</v>
      </c>
      <c r="Z368" s="40">
        <f t="shared" si="105"/>
        <v>658920.78</v>
      </c>
      <c r="AA368" s="41" t="str">
        <f t="shared" si="106"/>
        <v>0.0018</v>
      </c>
      <c r="AB368" s="41">
        <f t="shared" si="107"/>
        <v>0</v>
      </c>
      <c r="AC368" s="41">
        <f t="shared" si="108"/>
        <v>0</v>
      </c>
      <c r="AD368" s="41">
        <f t="shared" si="109"/>
        <v>0</v>
      </c>
      <c r="AE368" s="41">
        <f t="shared" si="110"/>
        <v>0</v>
      </c>
      <c r="AF368" s="41">
        <f t="shared" si="111"/>
        <v>0</v>
      </c>
      <c r="AG368" s="41">
        <f t="shared" si="112"/>
        <v>0</v>
      </c>
      <c r="AH368" s="41">
        <f t="shared" si="113"/>
        <v>0</v>
      </c>
      <c r="AI368" s="41">
        <f t="shared" si="114"/>
        <v>0</v>
      </c>
      <c r="AJ368" s="41">
        <f t="shared" si="115"/>
        <v>365</v>
      </c>
      <c r="AK368" s="41">
        <f t="shared" si="116"/>
        <v>181</v>
      </c>
      <c r="AL368" s="42">
        <f t="shared" si="117"/>
        <v>3.0947355616438355</v>
      </c>
      <c r="AM368" s="42">
        <f t="shared" si="118"/>
        <v>560.14713665753425</v>
      </c>
      <c r="AN368" s="43">
        <f t="shared" si="103"/>
        <v>596166.42000000004</v>
      </c>
      <c r="AO368" s="43"/>
      <c r="AP368" s="42">
        <f t="shared" si="119"/>
        <v>62754.359999999986</v>
      </c>
      <c r="AQ368" s="43">
        <v>6</v>
      </c>
      <c r="AR368" s="44">
        <f t="shared" si="120"/>
        <v>0.90476190476190477</v>
      </c>
      <c r="AS368" s="45">
        <f t="shared" si="121"/>
        <v>1673.4495999999999</v>
      </c>
      <c r="AU368" s="1">
        <v>564789.24</v>
      </c>
      <c r="AV368" s="50">
        <v>31377.18</v>
      </c>
    </row>
    <row r="369" spans="1:48" s="1" customFormat="1" ht="37.200000000000003" thickTop="1" thickBot="1" x14ac:dyDescent="0.55000000000000004">
      <c r="A369" s="33">
        <v>362</v>
      </c>
      <c r="B369" s="34" t="s">
        <v>416</v>
      </c>
      <c r="C369" s="34" t="s">
        <v>965</v>
      </c>
      <c r="D369" s="35" t="s">
        <v>871</v>
      </c>
      <c r="E369" s="35" t="s">
        <v>966</v>
      </c>
      <c r="F369" s="36" t="s">
        <v>1326</v>
      </c>
      <c r="G369" s="36" t="s">
        <v>1420</v>
      </c>
      <c r="H369" s="36" t="s">
        <v>1421</v>
      </c>
      <c r="I369" s="36" t="s">
        <v>1421</v>
      </c>
      <c r="J369" s="36" t="s">
        <v>1421</v>
      </c>
      <c r="K369" s="36">
        <v>350</v>
      </c>
      <c r="L369" s="36" t="s">
        <v>1422</v>
      </c>
      <c r="M369" s="49">
        <v>4</v>
      </c>
      <c r="N369" s="37" t="s">
        <v>1784</v>
      </c>
      <c r="O369" s="37"/>
      <c r="P369" s="36">
        <v>1</v>
      </c>
      <c r="Q369" s="36" t="s">
        <v>2039</v>
      </c>
      <c r="R369" s="36" t="s">
        <v>2269</v>
      </c>
      <c r="S369" s="36" t="s">
        <v>1880</v>
      </c>
      <c r="T369" s="36" t="s">
        <v>1881</v>
      </c>
      <c r="U369" s="38">
        <v>45657</v>
      </c>
      <c r="V369" s="39">
        <v>775518</v>
      </c>
      <c r="W369" s="39" t="s">
        <v>2363</v>
      </c>
      <c r="X369" s="39" t="s">
        <v>2363</v>
      </c>
      <c r="Y369" s="40">
        <f t="shared" si="104"/>
        <v>38775.9</v>
      </c>
      <c r="Z369" s="40">
        <f t="shared" si="105"/>
        <v>814293.9</v>
      </c>
      <c r="AA369" s="41" t="str">
        <f t="shared" si="106"/>
        <v>0.0022</v>
      </c>
      <c r="AB369" s="41">
        <f t="shared" si="107"/>
        <v>0</v>
      </c>
      <c r="AC369" s="41">
        <f t="shared" si="108"/>
        <v>0</v>
      </c>
      <c r="AD369" s="41">
        <f t="shared" si="109"/>
        <v>0</v>
      </c>
      <c r="AE369" s="41">
        <f t="shared" si="110"/>
        <v>0</v>
      </c>
      <c r="AF369" s="41">
        <f t="shared" si="111"/>
        <v>0</v>
      </c>
      <c r="AG369" s="41">
        <f t="shared" si="112"/>
        <v>0</v>
      </c>
      <c r="AH369" s="41">
        <f t="shared" si="113"/>
        <v>0</v>
      </c>
      <c r="AI369" s="41">
        <f t="shared" si="114"/>
        <v>0</v>
      </c>
      <c r="AJ369" s="41">
        <f t="shared" si="115"/>
        <v>365</v>
      </c>
      <c r="AK369" s="41">
        <f t="shared" si="116"/>
        <v>181</v>
      </c>
      <c r="AL369" s="42">
        <f t="shared" si="117"/>
        <v>4.674355068493151</v>
      </c>
      <c r="AM369" s="42">
        <f t="shared" si="118"/>
        <v>846.05826739726035</v>
      </c>
      <c r="AN369" s="43">
        <f t="shared" si="103"/>
        <v>736742.1</v>
      </c>
      <c r="AO369" s="43"/>
      <c r="AP369" s="42">
        <f t="shared" si="119"/>
        <v>77551.800000000047</v>
      </c>
      <c r="AQ369" s="43">
        <v>6</v>
      </c>
      <c r="AR369" s="44">
        <f t="shared" si="120"/>
        <v>0.90476190476190466</v>
      </c>
      <c r="AS369" s="45">
        <f t="shared" si="121"/>
        <v>2215.7657142857142</v>
      </c>
      <c r="AU369" s="1">
        <v>697966.2</v>
      </c>
      <c r="AV369" s="50">
        <v>38775.9</v>
      </c>
    </row>
    <row r="370" spans="1:48" s="1" customFormat="1" ht="37.200000000000003" thickTop="1" thickBot="1" x14ac:dyDescent="0.55000000000000004">
      <c r="A370" s="33">
        <v>363</v>
      </c>
      <c r="B370" s="34" t="s">
        <v>417</v>
      </c>
      <c r="C370" s="34" t="s">
        <v>965</v>
      </c>
      <c r="D370" s="35" t="s">
        <v>872</v>
      </c>
      <c r="E370" s="35" t="s">
        <v>966</v>
      </c>
      <c r="F370" s="36" t="s">
        <v>1327</v>
      </c>
      <c r="G370" s="36" t="s">
        <v>1420</v>
      </c>
      <c r="H370" s="36" t="s">
        <v>1421</v>
      </c>
      <c r="I370" s="36" t="s">
        <v>1421</v>
      </c>
      <c r="J370" s="36" t="s">
        <v>1421</v>
      </c>
      <c r="K370" s="36">
        <v>349.96</v>
      </c>
      <c r="L370" s="36" t="s">
        <v>1422</v>
      </c>
      <c r="M370" s="49">
        <v>4</v>
      </c>
      <c r="N370" s="37" t="s">
        <v>1785</v>
      </c>
      <c r="O370" s="37"/>
      <c r="P370" s="36">
        <v>1</v>
      </c>
      <c r="Q370" s="36" t="s">
        <v>1972</v>
      </c>
      <c r="R370" s="36" t="s">
        <v>2270</v>
      </c>
      <c r="S370" s="36" t="s">
        <v>1880</v>
      </c>
      <c r="T370" s="36" t="s">
        <v>1881</v>
      </c>
      <c r="U370" s="38">
        <v>45657</v>
      </c>
      <c r="V370" s="39">
        <v>624026.73</v>
      </c>
      <c r="W370" s="39" t="s">
        <v>2363</v>
      </c>
      <c r="X370" s="39" t="s">
        <v>2363</v>
      </c>
      <c r="Y370" s="40">
        <f t="shared" si="104"/>
        <v>31201.336499999998</v>
      </c>
      <c r="Z370" s="40">
        <f t="shared" si="105"/>
        <v>655228.06649999996</v>
      </c>
      <c r="AA370" s="41" t="str">
        <f t="shared" si="106"/>
        <v>0.0018</v>
      </c>
      <c r="AB370" s="41">
        <f t="shared" si="107"/>
        <v>0</v>
      </c>
      <c r="AC370" s="41">
        <f t="shared" si="108"/>
        <v>0</v>
      </c>
      <c r="AD370" s="41">
        <f t="shared" si="109"/>
        <v>0</v>
      </c>
      <c r="AE370" s="41">
        <f t="shared" si="110"/>
        <v>0</v>
      </c>
      <c r="AF370" s="41">
        <f t="shared" si="111"/>
        <v>0</v>
      </c>
      <c r="AG370" s="41">
        <f t="shared" si="112"/>
        <v>0</v>
      </c>
      <c r="AH370" s="41">
        <f t="shared" si="113"/>
        <v>0</v>
      </c>
      <c r="AI370" s="41">
        <f t="shared" si="114"/>
        <v>0</v>
      </c>
      <c r="AJ370" s="41">
        <f t="shared" si="115"/>
        <v>365</v>
      </c>
      <c r="AK370" s="41">
        <f t="shared" si="116"/>
        <v>181</v>
      </c>
      <c r="AL370" s="42">
        <f t="shared" si="117"/>
        <v>3.0773920931506851</v>
      </c>
      <c r="AM370" s="42">
        <f t="shared" si="118"/>
        <v>557.00796886027399</v>
      </c>
      <c r="AN370" s="43">
        <f t="shared" si="103"/>
        <v>592825.40999999992</v>
      </c>
      <c r="AO370" s="43"/>
      <c r="AP370" s="42">
        <f t="shared" si="119"/>
        <v>62402.656500000041</v>
      </c>
      <c r="AQ370" s="43">
        <v>6</v>
      </c>
      <c r="AR370" s="44">
        <f t="shared" si="120"/>
        <v>0.9047619299439762</v>
      </c>
      <c r="AS370" s="45">
        <f t="shared" si="121"/>
        <v>1783.137301405875</v>
      </c>
      <c r="AU370" s="1">
        <v>561624.06999999995</v>
      </c>
      <c r="AV370" s="50">
        <v>31201.34</v>
      </c>
    </row>
    <row r="371" spans="1:48" s="1" customFormat="1" ht="37.200000000000003" thickTop="1" thickBot="1" x14ac:dyDescent="0.55000000000000004">
      <c r="A371" s="33">
        <v>364</v>
      </c>
      <c r="B371" s="34" t="s">
        <v>418</v>
      </c>
      <c r="C371" s="34" t="s">
        <v>965</v>
      </c>
      <c r="D371" s="35" t="s">
        <v>873</v>
      </c>
      <c r="E371" s="35" t="s">
        <v>966</v>
      </c>
      <c r="F371" s="36" t="s">
        <v>1328</v>
      </c>
      <c r="G371" s="36" t="s">
        <v>1420</v>
      </c>
      <c r="H371" s="36" t="s">
        <v>1421</v>
      </c>
      <c r="I371" s="36" t="s">
        <v>1421</v>
      </c>
      <c r="J371" s="36" t="s">
        <v>1421</v>
      </c>
      <c r="K371" s="36">
        <v>354.5</v>
      </c>
      <c r="L371" s="36" t="s">
        <v>1422</v>
      </c>
      <c r="M371" s="49">
        <v>4</v>
      </c>
      <c r="N371" s="37" t="s">
        <v>1786</v>
      </c>
      <c r="O371" s="37"/>
      <c r="P371" s="36">
        <v>1</v>
      </c>
      <c r="Q371" s="36" t="s">
        <v>1937</v>
      </c>
      <c r="R371" s="36" t="s">
        <v>2271</v>
      </c>
      <c r="S371" s="36" t="s">
        <v>1880</v>
      </c>
      <c r="T371" s="36" t="s">
        <v>1883</v>
      </c>
      <c r="U371" s="38">
        <v>45657</v>
      </c>
      <c r="V371" s="39">
        <v>873745.52</v>
      </c>
      <c r="W371" s="39" t="s">
        <v>2363</v>
      </c>
      <c r="X371" s="39" t="s">
        <v>2363</v>
      </c>
      <c r="Y371" s="40">
        <f t="shared" si="104"/>
        <v>43687.275999999998</v>
      </c>
      <c r="Z371" s="40">
        <f t="shared" si="105"/>
        <v>917432.79599999997</v>
      </c>
      <c r="AA371" s="41" t="str">
        <f t="shared" si="106"/>
        <v>0.0022</v>
      </c>
      <c r="AB371" s="41">
        <f t="shared" si="107"/>
        <v>0</v>
      </c>
      <c r="AC371" s="41">
        <f t="shared" si="108"/>
        <v>0</v>
      </c>
      <c r="AD371" s="41">
        <f t="shared" si="109"/>
        <v>0</v>
      </c>
      <c r="AE371" s="41">
        <f t="shared" si="110"/>
        <v>0</v>
      </c>
      <c r="AF371" s="41">
        <f t="shared" si="111"/>
        <v>0</v>
      </c>
      <c r="AG371" s="41">
        <f t="shared" si="112"/>
        <v>0</v>
      </c>
      <c r="AH371" s="41">
        <f t="shared" si="113"/>
        <v>0</v>
      </c>
      <c r="AI371" s="41">
        <f t="shared" si="114"/>
        <v>0</v>
      </c>
      <c r="AJ371" s="41">
        <f t="shared" si="115"/>
        <v>365</v>
      </c>
      <c r="AK371" s="41">
        <f t="shared" si="116"/>
        <v>181</v>
      </c>
      <c r="AL371" s="42">
        <f t="shared" si="117"/>
        <v>5.2664113534246582</v>
      </c>
      <c r="AM371" s="42">
        <f t="shared" si="118"/>
        <v>953.22045496986311</v>
      </c>
      <c r="AN371" s="43">
        <f t="shared" si="103"/>
        <v>611622.06000000006</v>
      </c>
      <c r="AO371" s="43"/>
      <c r="AP371" s="42">
        <f t="shared" si="119"/>
        <v>305810.73599999992</v>
      </c>
      <c r="AQ371" s="43">
        <v>4</v>
      </c>
      <c r="AR371" s="44">
        <f t="shared" si="120"/>
        <v>0.6666668803062934</v>
      </c>
      <c r="AS371" s="45">
        <f t="shared" si="121"/>
        <v>2464.7264315937941</v>
      </c>
      <c r="AU371" s="1">
        <v>611622.06000000006</v>
      </c>
      <c r="AV371" s="50">
        <v>0</v>
      </c>
    </row>
    <row r="372" spans="1:48" s="1" customFormat="1" ht="37.200000000000003" thickTop="1" thickBot="1" x14ac:dyDescent="0.55000000000000004">
      <c r="A372" s="33">
        <v>365</v>
      </c>
      <c r="B372" s="34" t="s">
        <v>419</v>
      </c>
      <c r="C372" s="34" t="s">
        <v>965</v>
      </c>
      <c r="D372" s="35" t="s">
        <v>874</v>
      </c>
      <c r="E372" s="35" t="s">
        <v>966</v>
      </c>
      <c r="F372" s="36" t="s">
        <v>1329</v>
      </c>
      <c r="G372" s="36" t="s">
        <v>1420</v>
      </c>
      <c r="H372" s="36" t="s">
        <v>1421</v>
      </c>
      <c r="I372" s="36" t="s">
        <v>1421</v>
      </c>
      <c r="J372" s="36" t="s">
        <v>1421</v>
      </c>
      <c r="K372" s="36">
        <v>375</v>
      </c>
      <c r="L372" s="36" t="s">
        <v>1422</v>
      </c>
      <c r="M372" s="49">
        <v>4</v>
      </c>
      <c r="N372" s="37" t="s">
        <v>1787</v>
      </c>
      <c r="O372" s="37"/>
      <c r="P372" s="36">
        <v>1</v>
      </c>
      <c r="Q372" s="36" t="s">
        <v>1943</v>
      </c>
      <c r="R372" s="36" t="s">
        <v>2272</v>
      </c>
      <c r="S372" s="36" t="s">
        <v>1880</v>
      </c>
      <c r="T372" s="36" t="s">
        <v>1881</v>
      </c>
      <c r="U372" s="38">
        <v>45657</v>
      </c>
      <c r="V372" s="39">
        <v>673974</v>
      </c>
      <c r="W372" s="39" t="s">
        <v>2363</v>
      </c>
      <c r="X372" s="39" t="s">
        <v>2363</v>
      </c>
      <c r="Y372" s="40">
        <f t="shared" si="104"/>
        <v>33698.699999999997</v>
      </c>
      <c r="Z372" s="40">
        <f t="shared" si="105"/>
        <v>707672.7</v>
      </c>
      <c r="AA372" s="41" t="str">
        <f t="shared" si="106"/>
        <v>0.0018</v>
      </c>
      <c r="AB372" s="41">
        <f t="shared" si="107"/>
        <v>0</v>
      </c>
      <c r="AC372" s="41">
        <f t="shared" si="108"/>
        <v>0</v>
      </c>
      <c r="AD372" s="41">
        <f t="shared" si="109"/>
        <v>0</v>
      </c>
      <c r="AE372" s="41">
        <f t="shared" si="110"/>
        <v>0</v>
      </c>
      <c r="AF372" s="41">
        <f t="shared" si="111"/>
        <v>0</v>
      </c>
      <c r="AG372" s="41">
        <f t="shared" si="112"/>
        <v>0</v>
      </c>
      <c r="AH372" s="41">
        <f t="shared" si="113"/>
        <v>0</v>
      </c>
      <c r="AI372" s="41">
        <f t="shared" si="114"/>
        <v>0</v>
      </c>
      <c r="AJ372" s="41">
        <f t="shared" si="115"/>
        <v>365</v>
      </c>
      <c r="AK372" s="41">
        <f t="shared" si="116"/>
        <v>181</v>
      </c>
      <c r="AL372" s="42">
        <f t="shared" si="117"/>
        <v>3.3237073972602738</v>
      </c>
      <c r="AM372" s="42">
        <f t="shared" si="118"/>
        <v>601.5910389041095</v>
      </c>
      <c r="AN372" s="43">
        <f t="shared" si="103"/>
        <v>606576.6</v>
      </c>
      <c r="AO372" s="43"/>
      <c r="AP372" s="42">
        <f t="shared" si="119"/>
        <v>101096.09999999998</v>
      </c>
      <c r="AQ372" s="43">
        <v>5</v>
      </c>
      <c r="AR372" s="44">
        <f t="shared" si="120"/>
        <v>0.85714285714285721</v>
      </c>
      <c r="AS372" s="45">
        <f t="shared" si="121"/>
        <v>1797.2639999999999</v>
      </c>
      <c r="AU372" s="1">
        <v>606576.6</v>
      </c>
      <c r="AV372" s="50">
        <v>0</v>
      </c>
    </row>
    <row r="373" spans="1:48" s="1" customFormat="1" ht="37.200000000000003" thickTop="1" thickBot="1" x14ac:dyDescent="0.55000000000000004">
      <c r="A373" s="33">
        <v>366</v>
      </c>
      <c r="B373" s="34" t="s">
        <v>420</v>
      </c>
      <c r="C373" s="34" t="s">
        <v>965</v>
      </c>
      <c r="D373" s="35" t="s">
        <v>875</v>
      </c>
      <c r="E373" s="35" t="s">
        <v>966</v>
      </c>
      <c r="F373" s="36" t="s">
        <v>1330</v>
      </c>
      <c r="G373" s="36" t="s">
        <v>1420</v>
      </c>
      <c r="H373" s="36" t="s">
        <v>1421</v>
      </c>
      <c r="I373" s="36" t="s">
        <v>1421</v>
      </c>
      <c r="J373" s="36" t="s">
        <v>1421</v>
      </c>
      <c r="K373" s="36">
        <v>375</v>
      </c>
      <c r="L373" s="36" t="s">
        <v>1422</v>
      </c>
      <c r="M373" s="49">
        <v>4</v>
      </c>
      <c r="N373" s="37" t="s">
        <v>1788</v>
      </c>
      <c r="O373" s="37"/>
      <c r="P373" s="36">
        <v>1</v>
      </c>
      <c r="Q373" s="36" t="s">
        <v>1943</v>
      </c>
      <c r="R373" s="36" t="s">
        <v>2273</v>
      </c>
      <c r="S373" s="36" t="s">
        <v>1880</v>
      </c>
      <c r="T373" s="36" t="s">
        <v>1881</v>
      </c>
      <c r="U373" s="38">
        <v>45657</v>
      </c>
      <c r="V373" s="39">
        <v>627543.6</v>
      </c>
      <c r="W373" s="39" t="s">
        <v>2363</v>
      </c>
      <c r="X373" s="39" t="s">
        <v>2363</v>
      </c>
      <c r="Y373" s="40">
        <f t="shared" si="104"/>
        <v>31377.18</v>
      </c>
      <c r="Z373" s="40">
        <f t="shared" si="105"/>
        <v>658920.78</v>
      </c>
      <c r="AA373" s="41" t="str">
        <f t="shared" si="106"/>
        <v>0.0018</v>
      </c>
      <c r="AB373" s="41">
        <f t="shared" si="107"/>
        <v>0</v>
      </c>
      <c r="AC373" s="41">
        <f t="shared" si="108"/>
        <v>0</v>
      </c>
      <c r="AD373" s="41">
        <f t="shared" si="109"/>
        <v>0</v>
      </c>
      <c r="AE373" s="41">
        <f t="shared" si="110"/>
        <v>0</v>
      </c>
      <c r="AF373" s="41">
        <f t="shared" si="111"/>
        <v>0</v>
      </c>
      <c r="AG373" s="41">
        <f t="shared" si="112"/>
        <v>0</v>
      </c>
      <c r="AH373" s="41">
        <f t="shared" si="113"/>
        <v>0</v>
      </c>
      <c r="AI373" s="41">
        <f t="shared" si="114"/>
        <v>0</v>
      </c>
      <c r="AJ373" s="41">
        <f t="shared" si="115"/>
        <v>365</v>
      </c>
      <c r="AK373" s="41">
        <f t="shared" si="116"/>
        <v>181</v>
      </c>
      <c r="AL373" s="42">
        <f t="shared" si="117"/>
        <v>3.0947355616438355</v>
      </c>
      <c r="AM373" s="42">
        <f t="shared" si="118"/>
        <v>560.14713665753425</v>
      </c>
      <c r="AN373" s="43">
        <f t="shared" si="103"/>
        <v>596166.42000000004</v>
      </c>
      <c r="AO373" s="43"/>
      <c r="AP373" s="42">
        <f t="shared" si="119"/>
        <v>62754.359999999986</v>
      </c>
      <c r="AQ373" s="43">
        <v>6</v>
      </c>
      <c r="AR373" s="44">
        <f t="shared" si="120"/>
        <v>0.90476190476190477</v>
      </c>
      <c r="AS373" s="45">
        <f t="shared" si="121"/>
        <v>1673.4495999999999</v>
      </c>
      <c r="AU373" s="1">
        <v>564789.24</v>
      </c>
      <c r="AV373" s="50">
        <v>31377.18</v>
      </c>
    </row>
    <row r="374" spans="1:48" s="1" customFormat="1" ht="37.200000000000003" thickTop="1" thickBot="1" x14ac:dyDescent="0.55000000000000004">
      <c r="A374" s="33">
        <v>367</v>
      </c>
      <c r="B374" s="34" t="s">
        <v>421</v>
      </c>
      <c r="C374" s="34" t="s">
        <v>965</v>
      </c>
      <c r="D374" s="35" t="s">
        <v>876</v>
      </c>
      <c r="E374" s="35" t="s">
        <v>966</v>
      </c>
      <c r="F374" s="36" t="s">
        <v>1331</v>
      </c>
      <c r="G374" s="36" t="s">
        <v>1420</v>
      </c>
      <c r="H374" s="36" t="s">
        <v>1421</v>
      </c>
      <c r="I374" s="36" t="s">
        <v>1421</v>
      </c>
      <c r="J374" s="36" t="s">
        <v>1421</v>
      </c>
      <c r="K374" s="36">
        <v>349.96</v>
      </c>
      <c r="L374" s="36" t="s">
        <v>1422</v>
      </c>
      <c r="M374" s="49">
        <v>4</v>
      </c>
      <c r="N374" s="37" t="s">
        <v>1789</v>
      </c>
      <c r="O374" s="37"/>
      <c r="P374" s="36">
        <v>1</v>
      </c>
      <c r="Q374" s="36" t="s">
        <v>1972</v>
      </c>
      <c r="R374" s="36" t="s">
        <v>2274</v>
      </c>
      <c r="S374" s="36" t="s">
        <v>1880</v>
      </c>
      <c r="T374" s="36" t="s">
        <v>1881</v>
      </c>
      <c r="U374" s="38">
        <v>45657</v>
      </c>
      <c r="V374" s="39">
        <v>585382.35</v>
      </c>
      <c r="W374" s="39" t="s">
        <v>2363</v>
      </c>
      <c r="X374" s="39" t="s">
        <v>2363</v>
      </c>
      <c r="Y374" s="40">
        <f t="shared" si="104"/>
        <v>29269.1175</v>
      </c>
      <c r="Z374" s="40">
        <f t="shared" si="105"/>
        <v>614651.46750000003</v>
      </c>
      <c r="AA374" s="41" t="str">
        <f t="shared" si="106"/>
        <v>0.0018</v>
      </c>
      <c r="AB374" s="41">
        <f t="shared" si="107"/>
        <v>0</v>
      </c>
      <c r="AC374" s="41">
        <f t="shared" si="108"/>
        <v>0</v>
      </c>
      <c r="AD374" s="41">
        <f t="shared" si="109"/>
        <v>0</v>
      </c>
      <c r="AE374" s="41">
        <f t="shared" si="110"/>
        <v>0</v>
      </c>
      <c r="AF374" s="41">
        <f t="shared" si="111"/>
        <v>0</v>
      </c>
      <c r="AG374" s="41">
        <f t="shared" si="112"/>
        <v>0</v>
      </c>
      <c r="AH374" s="41">
        <f t="shared" si="113"/>
        <v>0</v>
      </c>
      <c r="AI374" s="41">
        <f t="shared" si="114"/>
        <v>0</v>
      </c>
      <c r="AJ374" s="41">
        <f t="shared" si="115"/>
        <v>365</v>
      </c>
      <c r="AK374" s="41">
        <f t="shared" si="116"/>
        <v>181</v>
      </c>
      <c r="AL374" s="42">
        <f t="shared" si="117"/>
        <v>2.8868170684931505</v>
      </c>
      <c r="AM374" s="42">
        <f t="shared" si="118"/>
        <v>522.51388939726019</v>
      </c>
      <c r="AN374" s="43">
        <f t="shared" si="103"/>
        <v>556113.23</v>
      </c>
      <c r="AO374" s="43"/>
      <c r="AP374" s="42">
        <f t="shared" si="119"/>
        <v>58538.237500000047</v>
      </c>
      <c r="AQ374" s="43">
        <v>6</v>
      </c>
      <c r="AR374" s="44">
        <f t="shared" si="120"/>
        <v>0.90476190069455897</v>
      </c>
      <c r="AS374" s="45">
        <f t="shared" si="121"/>
        <v>1672.7121671048119</v>
      </c>
      <c r="AU374" s="1">
        <v>526844.11</v>
      </c>
      <c r="AV374" s="50">
        <v>29269.119999999999</v>
      </c>
    </row>
    <row r="375" spans="1:48" s="1" customFormat="1" ht="37.200000000000003" thickTop="1" thickBot="1" x14ac:dyDescent="0.55000000000000004">
      <c r="A375" s="33">
        <v>368</v>
      </c>
      <c r="B375" s="34" t="s">
        <v>422</v>
      </c>
      <c r="C375" s="34" t="s">
        <v>965</v>
      </c>
      <c r="D375" s="35" t="s">
        <v>877</v>
      </c>
      <c r="E375" s="35" t="s">
        <v>966</v>
      </c>
      <c r="F375" s="36" t="s">
        <v>1332</v>
      </c>
      <c r="G375" s="36" t="s">
        <v>1420</v>
      </c>
      <c r="H375" s="36" t="s">
        <v>1421</v>
      </c>
      <c r="I375" s="36" t="s">
        <v>1421</v>
      </c>
      <c r="J375" s="36" t="s">
        <v>1421</v>
      </c>
      <c r="K375" s="36">
        <v>350.28</v>
      </c>
      <c r="L375" s="36" t="s">
        <v>1422</v>
      </c>
      <c r="M375" s="49">
        <v>4</v>
      </c>
      <c r="N375" s="37" t="s">
        <v>1790</v>
      </c>
      <c r="O375" s="37"/>
      <c r="P375" s="36">
        <v>1</v>
      </c>
      <c r="Q375" s="36" t="s">
        <v>1931</v>
      </c>
      <c r="R375" s="36" t="s">
        <v>2275</v>
      </c>
      <c r="S375" s="36" t="s">
        <v>1880</v>
      </c>
      <c r="T375" s="36" t="s">
        <v>1883</v>
      </c>
      <c r="U375" s="38">
        <v>45657</v>
      </c>
      <c r="V375" s="39">
        <v>882435.56</v>
      </c>
      <c r="W375" s="39" t="s">
        <v>2363</v>
      </c>
      <c r="X375" s="39" t="s">
        <v>2363</v>
      </c>
      <c r="Y375" s="40">
        <f t="shared" si="104"/>
        <v>44121.778000000006</v>
      </c>
      <c r="Z375" s="40">
        <f t="shared" si="105"/>
        <v>926557.33800000011</v>
      </c>
      <c r="AA375" s="41" t="str">
        <f t="shared" si="106"/>
        <v>0.0022</v>
      </c>
      <c r="AB375" s="41">
        <f t="shared" si="107"/>
        <v>0</v>
      </c>
      <c r="AC375" s="41">
        <f t="shared" si="108"/>
        <v>0</v>
      </c>
      <c r="AD375" s="41">
        <f t="shared" si="109"/>
        <v>0</v>
      </c>
      <c r="AE375" s="41">
        <f t="shared" si="110"/>
        <v>0</v>
      </c>
      <c r="AF375" s="41">
        <f t="shared" si="111"/>
        <v>0</v>
      </c>
      <c r="AG375" s="41">
        <f t="shared" si="112"/>
        <v>0</v>
      </c>
      <c r="AH375" s="41">
        <f t="shared" si="113"/>
        <v>0</v>
      </c>
      <c r="AI375" s="41">
        <f t="shared" si="114"/>
        <v>0</v>
      </c>
      <c r="AJ375" s="41">
        <f t="shared" si="115"/>
        <v>365</v>
      </c>
      <c r="AK375" s="41">
        <f t="shared" si="116"/>
        <v>181</v>
      </c>
      <c r="AL375" s="42">
        <f t="shared" si="117"/>
        <v>5.3187896767123295</v>
      </c>
      <c r="AM375" s="42">
        <f t="shared" si="118"/>
        <v>962.70093148493163</v>
      </c>
      <c r="AN375" s="43">
        <f t="shared" si="103"/>
        <v>617704.97</v>
      </c>
      <c r="AO375" s="43"/>
      <c r="AP375" s="42">
        <f t="shared" si="119"/>
        <v>308852.36800000013</v>
      </c>
      <c r="AQ375" s="43">
        <v>4</v>
      </c>
      <c r="AR375" s="44">
        <f t="shared" si="120"/>
        <v>0.6666667508492603</v>
      </c>
      <c r="AS375" s="45">
        <f t="shared" si="121"/>
        <v>2519.2290738837505</v>
      </c>
      <c r="AU375" s="1">
        <v>617704.97</v>
      </c>
      <c r="AV375" s="50">
        <v>0</v>
      </c>
    </row>
    <row r="376" spans="1:48" s="1" customFormat="1" ht="37.200000000000003" thickTop="1" thickBot="1" x14ac:dyDescent="0.55000000000000004">
      <c r="A376" s="33">
        <v>369</v>
      </c>
      <c r="B376" s="34" t="s">
        <v>423</v>
      </c>
      <c r="C376" s="34" t="s">
        <v>965</v>
      </c>
      <c r="D376" s="35" t="s">
        <v>878</v>
      </c>
      <c r="E376" s="35" t="s">
        <v>966</v>
      </c>
      <c r="F376" s="36" t="s">
        <v>1333</v>
      </c>
      <c r="G376" s="36" t="s">
        <v>1420</v>
      </c>
      <c r="H376" s="36" t="s">
        <v>1421</v>
      </c>
      <c r="I376" s="36" t="s">
        <v>1421</v>
      </c>
      <c r="J376" s="36" t="s">
        <v>1421</v>
      </c>
      <c r="K376" s="36">
        <v>375</v>
      </c>
      <c r="L376" s="36" t="s">
        <v>1422</v>
      </c>
      <c r="M376" s="49">
        <v>4</v>
      </c>
      <c r="N376" s="37" t="s">
        <v>1791</v>
      </c>
      <c r="O376" s="37"/>
      <c r="P376" s="36">
        <v>1</v>
      </c>
      <c r="Q376" s="36" t="s">
        <v>1931</v>
      </c>
      <c r="R376" s="36" t="s">
        <v>2276</v>
      </c>
      <c r="S376" s="36" t="s">
        <v>1880</v>
      </c>
      <c r="T376" s="36" t="s">
        <v>1881</v>
      </c>
      <c r="U376" s="38">
        <v>45657</v>
      </c>
      <c r="V376" s="39">
        <v>773729.84</v>
      </c>
      <c r="W376" s="39" t="s">
        <v>2363</v>
      </c>
      <c r="X376" s="39" t="s">
        <v>2363</v>
      </c>
      <c r="Y376" s="40">
        <f t="shared" si="104"/>
        <v>38686.491999999998</v>
      </c>
      <c r="Z376" s="40">
        <f t="shared" si="105"/>
        <v>812416.33199999994</v>
      </c>
      <c r="AA376" s="41" t="str">
        <f t="shared" si="106"/>
        <v>0.0022</v>
      </c>
      <c r="AB376" s="41">
        <f t="shared" si="107"/>
        <v>0</v>
      </c>
      <c r="AC376" s="41">
        <f t="shared" si="108"/>
        <v>0</v>
      </c>
      <c r="AD376" s="41">
        <f t="shared" si="109"/>
        <v>0</v>
      </c>
      <c r="AE376" s="41">
        <f t="shared" si="110"/>
        <v>0</v>
      </c>
      <c r="AF376" s="41">
        <f t="shared" si="111"/>
        <v>0</v>
      </c>
      <c r="AG376" s="41">
        <f t="shared" si="112"/>
        <v>0</v>
      </c>
      <c r="AH376" s="41">
        <f t="shared" si="113"/>
        <v>0</v>
      </c>
      <c r="AI376" s="41">
        <f t="shared" si="114"/>
        <v>0</v>
      </c>
      <c r="AJ376" s="41">
        <f t="shared" si="115"/>
        <v>365</v>
      </c>
      <c r="AK376" s="41">
        <f t="shared" si="116"/>
        <v>181</v>
      </c>
      <c r="AL376" s="42">
        <f t="shared" si="117"/>
        <v>4.6635771178082193</v>
      </c>
      <c r="AM376" s="42">
        <f t="shared" si="118"/>
        <v>844.10745832328769</v>
      </c>
      <c r="AN376" s="43">
        <f t="shared" si="103"/>
        <v>696356.87</v>
      </c>
      <c r="AO376" s="43"/>
      <c r="AP376" s="42">
        <f t="shared" si="119"/>
        <v>116059.46199999994</v>
      </c>
      <c r="AQ376" s="43">
        <v>5</v>
      </c>
      <c r="AR376" s="44">
        <f t="shared" si="120"/>
        <v>0.85714287437540093</v>
      </c>
      <c r="AS376" s="45">
        <f t="shared" si="121"/>
        <v>2063.2795733333332</v>
      </c>
      <c r="AU376" s="1">
        <v>580297.39</v>
      </c>
      <c r="AV376" s="50">
        <v>116059.48</v>
      </c>
    </row>
    <row r="377" spans="1:48" s="1" customFormat="1" ht="37.200000000000003" thickTop="1" thickBot="1" x14ac:dyDescent="0.55000000000000004">
      <c r="A377" s="33">
        <v>370</v>
      </c>
      <c r="B377" s="34" t="s">
        <v>424</v>
      </c>
      <c r="C377" s="34" t="s">
        <v>965</v>
      </c>
      <c r="D377" s="35" t="s">
        <v>879</v>
      </c>
      <c r="E377" s="35" t="s">
        <v>966</v>
      </c>
      <c r="F377" s="36" t="s">
        <v>1334</v>
      </c>
      <c r="G377" s="36" t="s">
        <v>1420</v>
      </c>
      <c r="H377" s="36" t="s">
        <v>1421</v>
      </c>
      <c r="I377" s="36" t="s">
        <v>1421</v>
      </c>
      <c r="J377" s="36" t="s">
        <v>1421</v>
      </c>
      <c r="K377" s="36">
        <v>350</v>
      </c>
      <c r="L377" s="36" t="s">
        <v>1422</v>
      </c>
      <c r="M377" s="49">
        <v>4</v>
      </c>
      <c r="N377" s="37" t="s">
        <v>1792</v>
      </c>
      <c r="O377" s="37"/>
      <c r="P377" s="36">
        <v>1</v>
      </c>
      <c r="Q377" s="36" t="s">
        <v>1941</v>
      </c>
      <c r="R377" s="36" t="s">
        <v>2277</v>
      </c>
      <c r="S377" s="36" t="s">
        <v>1880</v>
      </c>
      <c r="T377" s="36" t="s">
        <v>1883</v>
      </c>
      <c r="U377" s="38">
        <v>45662</v>
      </c>
      <c r="V377" s="39">
        <v>665974</v>
      </c>
      <c r="W377" s="39" t="s">
        <v>2363</v>
      </c>
      <c r="X377" s="39" t="s">
        <v>2363</v>
      </c>
      <c r="Y377" s="40">
        <f t="shared" si="104"/>
        <v>33298.699999999997</v>
      </c>
      <c r="Z377" s="40">
        <f t="shared" si="105"/>
        <v>699272.7</v>
      </c>
      <c r="AA377" s="41" t="str">
        <f t="shared" si="106"/>
        <v>0.0018</v>
      </c>
      <c r="AB377" s="41">
        <f t="shared" si="107"/>
        <v>0</v>
      </c>
      <c r="AC377" s="41">
        <f t="shared" si="108"/>
        <v>0</v>
      </c>
      <c r="AD377" s="41">
        <f t="shared" si="109"/>
        <v>0</v>
      </c>
      <c r="AE377" s="41">
        <f t="shared" si="110"/>
        <v>0</v>
      </c>
      <c r="AF377" s="41">
        <f t="shared" si="111"/>
        <v>0</v>
      </c>
      <c r="AG377" s="41">
        <f t="shared" si="112"/>
        <v>0</v>
      </c>
      <c r="AH377" s="41">
        <f t="shared" si="113"/>
        <v>0</v>
      </c>
      <c r="AI377" s="41">
        <f t="shared" si="114"/>
        <v>0</v>
      </c>
      <c r="AJ377" s="41">
        <f t="shared" si="115"/>
        <v>360</v>
      </c>
      <c r="AK377" s="41">
        <f t="shared" si="116"/>
        <v>181</v>
      </c>
      <c r="AL377" s="42">
        <f t="shared" si="117"/>
        <v>3.284255342465753</v>
      </c>
      <c r="AM377" s="42">
        <f t="shared" si="118"/>
        <v>594.45021698630126</v>
      </c>
      <c r="AN377" s="43">
        <f t="shared" si="103"/>
        <v>466181.8</v>
      </c>
      <c r="AO377" s="43"/>
      <c r="AP377" s="42">
        <f t="shared" si="119"/>
        <v>233090.89999999997</v>
      </c>
      <c r="AQ377" s="43">
        <v>4</v>
      </c>
      <c r="AR377" s="44">
        <f t="shared" si="120"/>
        <v>0.66666666666666674</v>
      </c>
      <c r="AS377" s="45">
        <f t="shared" si="121"/>
        <v>1902.7828571428572</v>
      </c>
      <c r="AU377" s="1">
        <v>466181.8</v>
      </c>
      <c r="AV377" s="50">
        <v>0</v>
      </c>
    </row>
    <row r="378" spans="1:48" s="1" customFormat="1" ht="37.200000000000003" thickTop="1" thickBot="1" x14ac:dyDescent="0.55000000000000004">
      <c r="A378" s="33">
        <v>371</v>
      </c>
      <c r="B378" s="34" t="s">
        <v>425</v>
      </c>
      <c r="C378" s="34" t="s">
        <v>965</v>
      </c>
      <c r="D378" s="35" t="s">
        <v>880</v>
      </c>
      <c r="E378" s="35" t="s">
        <v>966</v>
      </c>
      <c r="F378" s="36" t="s">
        <v>1335</v>
      </c>
      <c r="G378" s="36" t="s">
        <v>1420</v>
      </c>
      <c r="H378" s="36" t="s">
        <v>1421</v>
      </c>
      <c r="I378" s="36" t="s">
        <v>1421</v>
      </c>
      <c r="J378" s="36" t="s">
        <v>1421</v>
      </c>
      <c r="K378" s="36">
        <v>354.5</v>
      </c>
      <c r="L378" s="36" t="s">
        <v>1422</v>
      </c>
      <c r="M378" s="49">
        <v>4</v>
      </c>
      <c r="N378" s="37" t="s">
        <v>1793</v>
      </c>
      <c r="O378" s="37"/>
      <c r="P378" s="36">
        <v>1</v>
      </c>
      <c r="Q378" s="36" t="s">
        <v>1939</v>
      </c>
      <c r="R378" s="36" t="s">
        <v>2278</v>
      </c>
      <c r="S378" s="36" t="s">
        <v>1880</v>
      </c>
      <c r="T378" s="36" t="s">
        <v>1881</v>
      </c>
      <c r="U378" s="38">
        <v>45662</v>
      </c>
      <c r="V378" s="39">
        <v>882146.8</v>
      </c>
      <c r="W378" s="39" t="s">
        <v>2363</v>
      </c>
      <c r="X378" s="39" t="s">
        <v>2363</v>
      </c>
      <c r="Y378" s="40">
        <f t="shared" si="104"/>
        <v>44107.34</v>
      </c>
      <c r="Z378" s="40">
        <f t="shared" si="105"/>
        <v>926254.14</v>
      </c>
      <c r="AA378" s="41" t="str">
        <f t="shared" si="106"/>
        <v>0.0022</v>
      </c>
      <c r="AB378" s="41">
        <f t="shared" si="107"/>
        <v>0</v>
      </c>
      <c r="AC378" s="41">
        <f t="shared" si="108"/>
        <v>0</v>
      </c>
      <c r="AD378" s="41">
        <f t="shared" si="109"/>
        <v>0</v>
      </c>
      <c r="AE378" s="41">
        <f t="shared" si="110"/>
        <v>0</v>
      </c>
      <c r="AF378" s="41">
        <f t="shared" si="111"/>
        <v>0</v>
      </c>
      <c r="AG378" s="41">
        <f t="shared" si="112"/>
        <v>0</v>
      </c>
      <c r="AH378" s="41">
        <f t="shared" si="113"/>
        <v>0</v>
      </c>
      <c r="AI378" s="41">
        <f t="shared" si="114"/>
        <v>0</v>
      </c>
      <c r="AJ378" s="41">
        <f t="shared" si="115"/>
        <v>360</v>
      </c>
      <c r="AK378" s="41">
        <f t="shared" si="116"/>
        <v>181</v>
      </c>
      <c r="AL378" s="42">
        <f t="shared" si="117"/>
        <v>5.3170492054794529</v>
      </c>
      <c r="AM378" s="42">
        <f t="shared" si="118"/>
        <v>962.38590619178103</v>
      </c>
      <c r="AN378" s="43">
        <f t="shared" si="103"/>
        <v>793932.12</v>
      </c>
      <c r="AO378" s="43"/>
      <c r="AP378" s="42">
        <f t="shared" si="119"/>
        <v>132322.02000000002</v>
      </c>
      <c r="AQ378" s="43">
        <v>5</v>
      </c>
      <c r="AR378" s="44">
        <f t="shared" si="120"/>
        <v>0.8571428571428571</v>
      </c>
      <c r="AS378" s="45">
        <f t="shared" si="121"/>
        <v>2488.4253878702398</v>
      </c>
      <c r="AU378" s="1">
        <v>661610.1</v>
      </c>
      <c r="AV378" s="50">
        <v>132322.01999999999</v>
      </c>
    </row>
    <row r="379" spans="1:48" s="1" customFormat="1" ht="37.200000000000003" thickTop="1" thickBot="1" x14ac:dyDescent="0.55000000000000004">
      <c r="A379" s="33">
        <v>372</v>
      </c>
      <c r="B379" s="34" t="s">
        <v>426</v>
      </c>
      <c r="C379" s="34" t="s">
        <v>965</v>
      </c>
      <c r="D379" s="35" t="s">
        <v>881</v>
      </c>
      <c r="E379" s="35" t="s">
        <v>966</v>
      </c>
      <c r="F379" s="36" t="s">
        <v>1336</v>
      </c>
      <c r="G379" s="36" t="s">
        <v>1420</v>
      </c>
      <c r="H379" s="36" t="s">
        <v>1421</v>
      </c>
      <c r="I379" s="36" t="s">
        <v>1421</v>
      </c>
      <c r="J379" s="36" t="s">
        <v>1421</v>
      </c>
      <c r="K379" s="36">
        <v>375</v>
      </c>
      <c r="L379" s="36" t="s">
        <v>1422</v>
      </c>
      <c r="M379" s="49">
        <v>4</v>
      </c>
      <c r="N379" s="37" t="s">
        <v>1794</v>
      </c>
      <c r="O379" s="37"/>
      <c r="P379" s="36">
        <v>1</v>
      </c>
      <c r="Q379" s="36" t="s">
        <v>2032</v>
      </c>
      <c r="R379" s="36" t="s">
        <v>2279</v>
      </c>
      <c r="S379" s="36" t="s">
        <v>1880</v>
      </c>
      <c r="T379" s="36" t="s">
        <v>2004</v>
      </c>
      <c r="U379" s="38">
        <v>45662</v>
      </c>
      <c r="V379" s="39">
        <v>627543.6</v>
      </c>
      <c r="W379" s="39" t="s">
        <v>2363</v>
      </c>
      <c r="X379" s="39" t="s">
        <v>2363</v>
      </c>
      <c r="Y379" s="40">
        <f t="shared" si="104"/>
        <v>31377.18</v>
      </c>
      <c r="Z379" s="40">
        <f t="shared" si="105"/>
        <v>658920.78</v>
      </c>
      <c r="AA379" s="41" t="str">
        <f t="shared" si="106"/>
        <v>0.0018</v>
      </c>
      <c r="AB379" s="41">
        <f t="shared" si="107"/>
        <v>0</v>
      </c>
      <c r="AC379" s="41">
        <f t="shared" si="108"/>
        <v>0</v>
      </c>
      <c r="AD379" s="41">
        <f t="shared" si="109"/>
        <v>0</v>
      </c>
      <c r="AE379" s="41">
        <f t="shared" si="110"/>
        <v>0</v>
      </c>
      <c r="AF379" s="41">
        <f t="shared" si="111"/>
        <v>0</v>
      </c>
      <c r="AG379" s="41">
        <f t="shared" si="112"/>
        <v>0</v>
      </c>
      <c r="AH379" s="41">
        <f t="shared" si="113"/>
        <v>0</v>
      </c>
      <c r="AI379" s="41">
        <f t="shared" si="114"/>
        <v>0</v>
      </c>
      <c r="AJ379" s="41">
        <f t="shared" si="115"/>
        <v>360</v>
      </c>
      <c r="AK379" s="41">
        <f t="shared" si="116"/>
        <v>181</v>
      </c>
      <c r="AL379" s="42">
        <f t="shared" si="117"/>
        <v>3.0947355616438355</v>
      </c>
      <c r="AM379" s="42">
        <f t="shared" si="118"/>
        <v>560.14713665753425</v>
      </c>
      <c r="AN379" s="43">
        <f t="shared" si="103"/>
        <v>596166.55999999994</v>
      </c>
      <c r="AO379" s="43"/>
      <c r="AP379" s="42">
        <f t="shared" si="119"/>
        <v>62754.220000000088</v>
      </c>
      <c r="AQ379" s="43">
        <v>6</v>
      </c>
      <c r="AR379" s="44">
        <f t="shared" si="120"/>
        <v>0.90476211723054156</v>
      </c>
      <c r="AS379" s="45">
        <f t="shared" si="121"/>
        <v>1673.4495999999999</v>
      </c>
      <c r="AU379" s="1">
        <v>564789.36</v>
      </c>
      <c r="AV379" s="50">
        <v>31377.200000000001</v>
      </c>
    </row>
    <row r="380" spans="1:48" s="1" customFormat="1" ht="37.200000000000003" thickTop="1" thickBot="1" x14ac:dyDescent="0.55000000000000004">
      <c r="A380" s="33">
        <v>373</v>
      </c>
      <c r="B380" s="34" t="s">
        <v>427</v>
      </c>
      <c r="C380" s="34" t="s">
        <v>965</v>
      </c>
      <c r="D380" s="35" t="s">
        <v>882</v>
      </c>
      <c r="E380" s="35" t="s">
        <v>966</v>
      </c>
      <c r="F380" s="36" t="s">
        <v>1337</v>
      </c>
      <c r="G380" s="36" t="s">
        <v>1420</v>
      </c>
      <c r="H380" s="36" t="s">
        <v>1421</v>
      </c>
      <c r="I380" s="36" t="s">
        <v>1421</v>
      </c>
      <c r="J380" s="36" t="s">
        <v>1421</v>
      </c>
      <c r="K380" s="36">
        <v>350</v>
      </c>
      <c r="L380" s="36" t="s">
        <v>1422</v>
      </c>
      <c r="M380" s="49">
        <v>4</v>
      </c>
      <c r="N380" s="37" t="s">
        <v>1795</v>
      </c>
      <c r="O380" s="37"/>
      <c r="P380" s="36">
        <v>1</v>
      </c>
      <c r="Q380" s="36" t="s">
        <v>2032</v>
      </c>
      <c r="R380" s="36" t="s">
        <v>2280</v>
      </c>
      <c r="S380" s="36" t="s">
        <v>1880</v>
      </c>
      <c r="T380" s="36" t="s">
        <v>1881</v>
      </c>
      <c r="U380" s="38">
        <v>45664</v>
      </c>
      <c r="V380" s="39">
        <v>624046</v>
      </c>
      <c r="W380" s="39" t="s">
        <v>2363</v>
      </c>
      <c r="X380" s="39" t="s">
        <v>2363</v>
      </c>
      <c r="Y380" s="40">
        <f t="shared" si="104"/>
        <v>31202.3</v>
      </c>
      <c r="Z380" s="40">
        <f t="shared" si="105"/>
        <v>655248.30000000005</v>
      </c>
      <c r="AA380" s="41" t="str">
        <f t="shared" si="106"/>
        <v>0.0018</v>
      </c>
      <c r="AB380" s="41">
        <f t="shared" si="107"/>
        <v>0</v>
      </c>
      <c r="AC380" s="41">
        <f t="shared" si="108"/>
        <v>0</v>
      </c>
      <c r="AD380" s="41">
        <f t="shared" si="109"/>
        <v>0</v>
      </c>
      <c r="AE380" s="41">
        <f t="shared" si="110"/>
        <v>0</v>
      </c>
      <c r="AF380" s="41">
        <f t="shared" si="111"/>
        <v>0</v>
      </c>
      <c r="AG380" s="41">
        <f t="shared" si="112"/>
        <v>0</v>
      </c>
      <c r="AH380" s="41">
        <f t="shared" si="113"/>
        <v>0</v>
      </c>
      <c r="AI380" s="41">
        <f t="shared" si="114"/>
        <v>0</v>
      </c>
      <c r="AJ380" s="41">
        <f t="shared" si="115"/>
        <v>358</v>
      </c>
      <c r="AK380" s="41">
        <f t="shared" si="116"/>
        <v>181</v>
      </c>
      <c r="AL380" s="42">
        <f t="shared" si="117"/>
        <v>3.0774871232876713</v>
      </c>
      <c r="AM380" s="42">
        <f t="shared" si="118"/>
        <v>557.02516931506852</v>
      </c>
      <c r="AN380" s="43">
        <f t="shared" si="103"/>
        <v>686450.6</v>
      </c>
      <c r="AO380" s="43"/>
      <c r="AP380" s="42">
        <f t="shared" si="119"/>
        <v>-31202.29999999993</v>
      </c>
      <c r="AQ380" s="43">
        <v>5</v>
      </c>
      <c r="AR380" s="44">
        <f t="shared" si="120"/>
        <v>1.0476190476190474</v>
      </c>
      <c r="AS380" s="45">
        <f t="shared" si="121"/>
        <v>1782.9885714285715</v>
      </c>
      <c r="AU380" s="1">
        <v>686450.6</v>
      </c>
      <c r="AV380" s="50">
        <v>0</v>
      </c>
    </row>
    <row r="381" spans="1:48" s="1" customFormat="1" ht="37.200000000000003" thickTop="1" thickBot="1" x14ac:dyDescent="0.55000000000000004">
      <c r="A381" s="33">
        <v>374</v>
      </c>
      <c r="B381" s="34" t="s">
        <v>428</v>
      </c>
      <c r="C381" s="34" t="s">
        <v>965</v>
      </c>
      <c r="D381" s="35" t="s">
        <v>883</v>
      </c>
      <c r="E381" s="35" t="s">
        <v>966</v>
      </c>
      <c r="F381" s="36" t="s">
        <v>1338</v>
      </c>
      <c r="G381" s="36" t="s">
        <v>1420</v>
      </c>
      <c r="H381" s="36" t="s">
        <v>1421</v>
      </c>
      <c r="I381" s="36" t="s">
        <v>1421</v>
      </c>
      <c r="J381" s="36" t="s">
        <v>1421</v>
      </c>
      <c r="K381" s="36">
        <v>374.5</v>
      </c>
      <c r="L381" s="36" t="s">
        <v>1422</v>
      </c>
      <c r="M381" s="49">
        <v>4</v>
      </c>
      <c r="N381" s="37" t="s">
        <v>1796</v>
      </c>
      <c r="O381" s="37"/>
      <c r="P381" s="36">
        <v>1</v>
      </c>
      <c r="Q381" s="36" t="s">
        <v>1935</v>
      </c>
      <c r="R381" s="36" t="s">
        <v>2281</v>
      </c>
      <c r="S381" s="36" t="s">
        <v>1880</v>
      </c>
      <c r="T381" s="36" t="s">
        <v>1881</v>
      </c>
      <c r="U381" s="38">
        <v>45664</v>
      </c>
      <c r="V381" s="39">
        <v>883744.4</v>
      </c>
      <c r="W381" s="39" t="s">
        <v>2363</v>
      </c>
      <c r="X381" s="39" t="s">
        <v>2363</v>
      </c>
      <c r="Y381" s="40">
        <f t="shared" si="104"/>
        <v>44187.22</v>
      </c>
      <c r="Z381" s="40">
        <f t="shared" si="105"/>
        <v>927931.62</v>
      </c>
      <c r="AA381" s="41" t="str">
        <f t="shared" si="106"/>
        <v>0.0022</v>
      </c>
      <c r="AB381" s="41">
        <f t="shared" si="107"/>
        <v>0</v>
      </c>
      <c r="AC381" s="41">
        <f t="shared" si="108"/>
        <v>0</v>
      </c>
      <c r="AD381" s="41">
        <f t="shared" si="109"/>
        <v>0</v>
      </c>
      <c r="AE381" s="41">
        <f t="shared" si="110"/>
        <v>0</v>
      </c>
      <c r="AF381" s="41">
        <f t="shared" si="111"/>
        <v>0</v>
      </c>
      <c r="AG381" s="41">
        <f t="shared" si="112"/>
        <v>0</v>
      </c>
      <c r="AH381" s="41">
        <f t="shared" si="113"/>
        <v>0</v>
      </c>
      <c r="AI381" s="41">
        <f t="shared" si="114"/>
        <v>0</v>
      </c>
      <c r="AJ381" s="41">
        <f t="shared" si="115"/>
        <v>358</v>
      </c>
      <c r="AK381" s="41">
        <f t="shared" si="116"/>
        <v>181</v>
      </c>
      <c r="AL381" s="42">
        <f t="shared" si="117"/>
        <v>5.3266785753424664</v>
      </c>
      <c r="AM381" s="42">
        <f t="shared" si="118"/>
        <v>964.1288221369864</v>
      </c>
      <c r="AN381" s="43">
        <f t="shared" si="103"/>
        <v>795369.96</v>
      </c>
      <c r="AO381" s="43"/>
      <c r="AP381" s="42">
        <f t="shared" si="119"/>
        <v>132561.66000000003</v>
      </c>
      <c r="AQ381" s="43">
        <v>5</v>
      </c>
      <c r="AR381" s="44">
        <f t="shared" si="120"/>
        <v>0.8571428571428571</v>
      </c>
      <c r="AS381" s="45">
        <f t="shared" si="121"/>
        <v>2359.7981308411217</v>
      </c>
      <c r="AU381" s="1">
        <v>530246.64</v>
      </c>
      <c r="AV381" s="50">
        <v>265123.32</v>
      </c>
    </row>
    <row r="382" spans="1:48" s="1" customFormat="1" ht="37.200000000000003" thickTop="1" thickBot="1" x14ac:dyDescent="0.55000000000000004">
      <c r="A382" s="33">
        <v>375</v>
      </c>
      <c r="B382" s="34" t="s">
        <v>429</v>
      </c>
      <c r="C382" s="34" t="s">
        <v>965</v>
      </c>
      <c r="D382" s="35" t="s">
        <v>884</v>
      </c>
      <c r="E382" s="35" t="s">
        <v>966</v>
      </c>
      <c r="F382" s="36" t="s">
        <v>1339</v>
      </c>
      <c r="G382" s="36" t="s">
        <v>1420</v>
      </c>
      <c r="H382" s="36" t="s">
        <v>1421</v>
      </c>
      <c r="I382" s="36" t="s">
        <v>1421</v>
      </c>
      <c r="J382" s="36" t="s">
        <v>1421</v>
      </c>
      <c r="K382" s="36">
        <v>351.24</v>
      </c>
      <c r="L382" s="36" t="s">
        <v>1422</v>
      </c>
      <c r="M382" s="49">
        <v>4</v>
      </c>
      <c r="N382" s="37" t="s">
        <v>1797</v>
      </c>
      <c r="O382" s="37"/>
      <c r="P382" s="36">
        <v>1</v>
      </c>
      <c r="Q382" s="36" t="s">
        <v>1943</v>
      </c>
      <c r="R382" s="36" t="s">
        <v>2282</v>
      </c>
      <c r="S382" s="36" t="s">
        <v>1880</v>
      </c>
      <c r="T382" s="36" t="s">
        <v>1881</v>
      </c>
      <c r="U382" s="38">
        <v>45664</v>
      </c>
      <c r="V382" s="39">
        <v>882917.58</v>
      </c>
      <c r="W382" s="39" t="s">
        <v>2363</v>
      </c>
      <c r="X382" s="39" t="s">
        <v>2363</v>
      </c>
      <c r="Y382" s="40">
        <f t="shared" si="104"/>
        <v>44145.878999999994</v>
      </c>
      <c r="Z382" s="40">
        <f t="shared" si="105"/>
        <v>927063.45899999992</v>
      </c>
      <c r="AA382" s="41" t="str">
        <f t="shared" si="106"/>
        <v>0.0022</v>
      </c>
      <c r="AB382" s="41">
        <f t="shared" si="107"/>
        <v>0</v>
      </c>
      <c r="AC382" s="41">
        <f t="shared" si="108"/>
        <v>0</v>
      </c>
      <c r="AD382" s="41">
        <f t="shared" si="109"/>
        <v>0</v>
      </c>
      <c r="AE382" s="41">
        <f t="shared" si="110"/>
        <v>0</v>
      </c>
      <c r="AF382" s="41">
        <f t="shared" si="111"/>
        <v>0</v>
      </c>
      <c r="AG382" s="41">
        <f t="shared" si="112"/>
        <v>0</v>
      </c>
      <c r="AH382" s="41">
        <f t="shared" si="113"/>
        <v>0</v>
      </c>
      <c r="AI382" s="41">
        <f t="shared" si="114"/>
        <v>0</v>
      </c>
      <c r="AJ382" s="41">
        <f t="shared" si="115"/>
        <v>358</v>
      </c>
      <c r="AK382" s="41">
        <f t="shared" si="116"/>
        <v>181</v>
      </c>
      <c r="AL382" s="42">
        <f t="shared" si="117"/>
        <v>5.3216950027397258</v>
      </c>
      <c r="AM382" s="42">
        <f t="shared" si="118"/>
        <v>963.22679549589043</v>
      </c>
      <c r="AN382" s="43">
        <f t="shared" si="103"/>
        <v>838771.72</v>
      </c>
      <c r="AO382" s="43"/>
      <c r="AP382" s="42">
        <f t="shared" si="119"/>
        <v>88291.738999999943</v>
      </c>
      <c r="AQ382" s="43">
        <v>6</v>
      </c>
      <c r="AR382" s="44">
        <f t="shared" si="120"/>
        <v>0.90476192525672616</v>
      </c>
      <c r="AS382" s="45">
        <f t="shared" si="121"/>
        <v>2513.7159207379568</v>
      </c>
      <c r="AU382" s="1">
        <v>662188.19999999995</v>
      </c>
      <c r="AV382" s="50">
        <v>176583.52000000002</v>
      </c>
    </row>
    <row r="383" spans="1:48" s="1" customFormat="1" ht="37.200000000000003" thickTop="1" thickBot="1" x14ac:dyDescent="0.55000000000000004">
      <c r="A383" s="33">
        <v>376</v>
      </c>
      <c r="B383" s="34" t="s">
        <v>430</v>
      </c>
      <c r="C383" s="34" t="s">
        <v>965</v>
      </c>
      <c r="D383" s="35" t="s">
        <v>885</v>
      </c>
      <c r="E383" s="35" t="s">
        <v>966</v>
      </c>
      <c r="F383" s="36" t="s">
        <v>1340</v>
      </c>
      <c r="G383" s="36" t="s">
        <v>1420</v>
      </c>
      <c r="H383" s="36" t="s">
        <v>1421</v>
      </c>
      <c r="I383" s="36" t="s">
        <v>1421</v>
      </c>
      <c r="J383" s="36" t="s">
        <v>1421</v>
      </c>
      <c r="K383" s="36">
        <v>350</v>
      </c>
      <c r="L383" s="36" t="s">
        <v>1422</v>
      </c>
      <c r="M383" s="49">
        <v>4</v>
      </c>
      <c r="N383" s="37" t="s">
        <v>1798</v>
      </c>
      <c r="O383" s="37"/>
      <c r="P383" s="36">
        <v>1</v>
      </c>
      <c r="Q383" s="36" t="s">
        <v>2039</v>
      </c>
      <c r="R383" s="36" t="s">
        <v>2283</v>
      </c>
      <c r="S383" s="36" t="s">
        <v>1880</v>
      </c>
      <c r="T383" s="36" t="s">
        <v>1881</v>
      </c>
      <c r="U383" s="38">
        <v>45664</v>
      </c>
      <c r="V383" s="39">
        <v>766970</v>
      </c>
      <c r="W383" s="39" t="s">
        <v>2363</v>
      </c>
      <c r="X383" s="39" t="s">
        <v>2363</v>
      </c>
      <c r="Y383" s="40">
        <f t="shared" si="104"/>
        <v>38348.5</v>
      </c>
      <c r="Z383" s="40">
        <f t="shared" si="105"/>
        <v>805318.5</v>
      </c>
      <c r="AA383" s="41" t="str">
        <f t="shared" si="106"/>
        <v>0.0022</v>
      </c>
      <c r="AB383" s="41">
        <f t="shared" si="107"/>
        <v>0</v>
      </c>
      <c r="AC383" s="41">
        <f t="shared" si="108"/>
        <v>0</v>
      </c>
      <c r="AD383" s="41">
        <f t="shared" si="109"/>
        <v>0</v>
      </c>
      <c r="AE383" s="41">
        <f t="shared" si="110"/>
        <v>0</v>
      </c>
      <c r="AF383" s="41">
        <f t="shared" si="111"/>
        <v>0</v>
      </c>
      <c r="AG383" s="41">
        <f t="shared" si="112"/>
        <v>0</v>
      </c>
      <c r="AH383" s="41">
        <f t="shared" si="113"/>
        <v>0</v>
      </c>
      <c r="AI383" s="41">
        <f t="shared" si="114"/>
        <v>0</v>
      </c>
      <c r="AJ383" s="41">
        <f t="shared" si="115"/>
        <v>358</v>
      </c>
      <c r="AK383" s="41">
        <f t="shared" si="116"/>
        <v>181</v>
      </c>
      <c r="AL383" s="42">
        <f t="shared" si="117"/>
        <v>4.6228328767123292</v>
      </c>
      <c r="AM383" s="42">
        <f t="shared" si="118"/>
        <v>836.7327506849316</v>
      </c>
      <c r="AN383" s="43">
        <f t="shared" si="103"/>
        <v>728621.5</v>
      </c>
      <c r="AO383" s="43"/>
      <c r="AP383" s="42">
        <f t="shared" si="119"/>
        <v>76697</v>
      </c>
      <c r="AQ383" s="43">
        <v>6</v>
      </c>
      <c r="AR383" s="44">
        <f t="shared" si="120"/>
        <v>0.90476190476190477</v>
      </c>
      <c r="AS383" s="45">
        <f t="shared" si="121"/>
        <v>2191.3428571428572</v>
      </c>
      <c r="AU383" s="1">
        <v>690273</v>
      </c>
      <c r="AV383" s="50">
        <v>38348.5</v>
      </c>
    </row>
    <row r="384" spans="1:48" s="1" customFormat="1" ht="37.200000000000003" thickTop="1" thickBot="1" x14ac:dyDescent="0.55000000000000004">
      <c r="A384" s="33">
        <v>377</v>
      </c>
      <c r="B384" s="34" t="s">
        <v>431</v>
      </c>
      <c r="C384" s="34" t="s">
        <v>965</v>
      </c>
      <c r="D384" s="35" t="s">
        <v>886</v>
      </c>
      <c r="E384" s="35" t="s">
        <v>966</v>
      </c>
      <c r="F384" s="36" t="s">
        <v>1341</v>
      </c>
      <c r="G384" s="36" t="s">
        <v>1420</v>
      </c>
      <c r="H384" s="36" t="s">
        <v>1421</v>
      </c>
      <c r="I384" s="36" t="s">
        <v>1421</v>
      </c>
      <c r="J384" s="36" t="s">
        <v>1421</v>
      </c>
      <c r="K384" s="36">
        <v>350</v>
      </c>
      <c r="L384" s="36" t="s">
        <v>1422</v>
      </c>
      <c r="M384" s="49">
        <v>4</v>
      </c>
      <c r="N384" s="37" t="s">
        <v>1799</v>
      </c>
      <c r="O384" s="37"/>
      <c r="P384" s="36">
        <v>1</v>
      </c>
      <c r="Q384" s="36" t="s">
        <v>1937</v>
      </c>
      <c r="R384" s="36" t="s">
        <v>2284</v>
      </c>
      <c r="S384" s="36" t="s">
        <v>1880</v>
      </c>
      <c r="T384" s="36" t="s">
        <v>2004</v>
      </c>
      <c r="U384" s="38">
        <v>45655</v>
      </c>
      <c r="V384" s="39">
        <v>609077.80000000005</v>
      </c>
      <c r="W384" s="39" t="s">
        <v>2363</v>
      </c>
      <c r="X384" s="39" t="s">
        <v>2363</v>
      </c>
      <c r="Y384" s="40">
        <f t="shared" si="104"/>
        <v>30453.89</v>
      </c>
      <c r="Z384" s="40">
        <f t="shared" si="105"/>
        <v>639531.69000000006</v>
      </c>
      <c r="AA384" s="41" t="str">
        <f t="shared" si="106"/>
        <v>0.0018</v>
      </c>
      <c r="AB384" s="41">
        <f t="shared" si="107"/>
        <v>0</v>
      </c>
      <c r="AC384" s="41">
        <f t="shared" si="108"/>
        <v>0</v>
      </c>
      <c r="AD384" s="41">
        <f t="shared" si="109"/>
        <v>0</v>
      </c>
      <c r="AE384" s="41">
        <f t="shared" si="110"/>
        <v>0</v>
      </c>
      <c r="AF384" s="41">
        <f t="shared" si="111"/>
        <v>0</v>
      </c>
      <c r="AG384" s="41">
        <f t="shared" si="112"/>
        <v>0</v>
      </c>
      <c r="AH384" s="41">
        <f t="shared" si="113"/>
        <v>0</v>
      </c>
      <c r="AI384" s="41">
        <f t="shared" si="114"/>
        <v>2</v>
      </c>
      <c r="AJ384" s="41">
        <f t="shared" si="115"/>
        <v>365</v>
      </c>
      <c r="AK384" s="41">
        <f t="shared" si="116"/>
        <v>181</v>
      </c>
      <c r="AL384" s="42">
        <f t="shared" si="117"/>
        <v>3.0036713424657537</v>
      </c>
      <c r="AM384" s="42">
        <f t="shared" si="118"/>
        <v>543.66451298630147</v>
      </c>
      <c r="AN384" s="43">
        <f t="shared" si="103"/>
        <v>548170.07999999996</v>
      </c>
      <c r="AO384" s="43"/>
      <c r="AP384" s="42">
        <f t="shared" si="119"/>
        <v>91361.610000000102</v>
      </c>
      <c r="AQ384" s="43">
        <v>5</v>
      </c>
      <c r="AR384" s="44">
        <f t="shared" si="120"/>
        <v>0.85714295096150728</v>
      </c>
      <c r="AS384" s="45">
        <f t="shared" si="121"/>
        <v>1740.2222857142858</v>
      </c>
      <c r="AU384" s="1">
        <v>365446.68</v>
      </c>
      <c r="AV384" s="50">
        <v>182723.4</v>
      </c>
    </row>
    <row r="385" spans="1:48" s="1" customFormat="1" ht="37.200000000000003" thickTop="1" thickBot="1" x14ac:dyDescent="0.55000000000000004">
      <c r="A385" s="33">
        <v>378</v>
      </c>
      <c r="B385" s="34" t="s">
        <v>432</v>
      </c>
      <c r="C385" s="34" t="s">
        <v>965</v>
      </c>
      <c r="D385" s="35" t="s">
        <v>887</v>
      </c>
      <c r="E385" s="35" t="s">
        <v>966</v>
      </c>
      <c r="F385" s="36" t="s">
        <v>1342</v>
      </c>
      <c r="G385" s="36" t="s">
        <v>1420</v>
      </c>
      <c r="H385" s="36" t="s">
        <v>1421</v>
      </c>
      <c r="I385" s="36" t="s">
        <v>1421</v>
      </c>
      <c r="J385" s="36" t="s">
        <v>1421</v>
      </c>
      <c r="K385" s="36">
        <v>354.5</v>
      </c>
      <c r="L385" s="36" t="s">
        <v>1422</v>
      </c>
      <c r="M385" s="49">
        <v>4</v>
      </c>
      <c r="N385" s="37" t="s">
        <v>1800</v>
      </c>
      <c r="O385" s="37"/>
      <c r="P385" s="36">
        <v>1</v>
      </c>
      <c r="Q385" s="36" t="s">
        <v>1937</v>
      </c>
      <c r="R385" s="36" t="s">
        <v>2285</v>
      </c>
      <c r="S385" s="36" t="s">
        <v>1880</v>
      </c>
      <c r="T385" s="36" t="s">
        <v>1883</v>
      </c>
      <c r="U385" s="38">
        <v>45664</v>
      </c>
      <c r="V385" s="39">
        <v>880945.41</v>
      </c>
      <c r="W385" s="39" t="s">
        <v>2363</v>
      </c>
      <c r="X385" s="39" t="s">
        <v>2363</v>
      </c>
      <c r="Y385" s="40">
        <f t="shared" si="104"/>
        <v>44047.270499999999</v>
      </c>
      <c r="Z385" s="40">
        <f t="shared" si="105"/>
        <v>924992.68050000002</v>
      </c>
      <c r="AA385" s="41" t="str">
        <f t="shared" si="106"/>
        <v>0.0022</v>
      </c>
      <c r="AB385" s="41">
        <f t="shared" si="107"/>
        <v>0</v>
      </c>
      <c r="AC385" s="41">
        <f t="shared" si="108"/>
        <v>0</v>
      </c>
      <c r="AD385" s="41">
        <f t="shared" si="109"/>
        <v>0</v>
      </c>
      <c r="AE385" s="41">
        <f t="shared" si="110"/>
        <v>0</v>
      </c>
      <c r="AF385" s="41">
        <f t="shared" si="111"/>
        <v>0</v>
      </c>
      <c r="AG385" s="41">
        <f t="shared" si="112"/>
        <v>0</v>
      </c>
      <c r="AH385" s="41">
        <f t="shared" si="113"/>
        <v>0</v>
      </c>
      <c r="AI385" s="41">
        <f t="shared" si="114"/>
        <v>0</v>
      </c>
      <c r="AJ385" s="41">
        <f t="shared" si="115"/>
        <v>358</v>
      </c>
      <c r="AK385" s="41">
        <f t="shared" si="116"/>
        <v>181</v>
      </c>
      <c r="AL385" s="42">
        <f t="shared" si="117"/>
        <v>5.3098079506849318</v>
      </c>
      <c r="AM385" s="42">
        <f t="shared" si="118"/>
        <v>961.07523907397263</v>
      </c>
      <c r="AN385" s="43">
        <f t="shared" si="103"/>
        <v>836897.83</v>
      </c>
      <c r="AO385" s="43"/>
      <c r="AP385" s="42">
        <f t="shared" si="119"/>
        <v>88094.850500000059</v>
      </c>
      <c r="AQ385" s="43">
        <v>5</v>
      </c>
      <c r="AR385" s="44">
        <f t="shared" si="120"/>
        <v>0.90476157016466241</v>
      </c>
      <c r="AS385" s="45">
        <f t="shared" si="121"/>
        <v>2485.0364174894216</v>
      </c>
      <c r="AU385" s="1">
        <v>616661.57999999996</v>
      </c>
      <c r="AV385" s="50">
        <v>220236.25</v>
      </c>
    </row>
    <row r="386" spans="1:48" s="1" customFormat="1" ht="37.200000000000003" thickTop="1" thickBot="1" x14ac:dyDescent="0.55000000000000004">
      <c r="A386" s="33">
        <v>379</v>
      </c>
      <c r="B386" s="34" t="s">
        <v>433</v>
      </c>
      <c r="C386" s="34" t="s">
        <v>965</v>
      </c>
      <c r="D386" s="35" t="s">
        <v>888</v>
      </c>
      <c r="E386" s="35" t="s">
        <v>966</v>
      </c>
      <c r="F386" s="36" t="s">
        <v>1343</v>
      </c>
      <c r="G386" s="36" t="s">
        <v>1420</v>
      </c>
      <c r="H386" s="36" t="s">
        <v>1421</v>
      </c>
      <c r="I386" s="36" t="s">
        <v>1421</v>
      </c>
      <c r="J386" s="36" t="s">
        <v>1421</v>
      </c>
      <c r="K386" s="36">
        <v>362.5</v>
      </c>
      <c r="L386" s="36" t="s">
        <v>1422</v>
      </c>
      <c r="M386" s="49">
        <v>4</v>
      </c>
      <c r="N386" s="37" t="s">
        <v>1801</v>
      </c>
      <c r="O386" s="37"/>
      <c r="P386" s="36">
        <v>1</v>
      </c>
      <c r="Q386" s="36" t="s">
        <v>1964</v>
      </c>
      <c r="R386" s="36" t="s">
        <v>2286</v>
      </c>
      <c r="S386" s="36" t="s">
        <v>1880</v>
      </c>
      <c r="T386" s="36" t="s">
        <v>1881</v>
      </c>
      <c r="U386" s="38">
        <v>45665</v>
      </c>
      <c r="V386" s="39">
        <v>622794.80000000005</v>
      </c>
      <c r="W386" s="39" t="s">
        <v>2363</v>
      </c>
      <c r="X386" s="39" t="s">
        <v>2363</v>
      </c>
      <c r="Y386" s="40">
        <f t="shared" si="104"/>
        <v>31139.74</v>
      </c>
      <c r="Z386" s="40">
        <f t="shared" si="105"/>
        <v>653934.54</v>
      </c>
      <c r="AA386" s="41" t="str">
        <f t="shared" si="106"/>
        <v>0.0018</v>
      </c>
      <c r="AB386" s="41">
        <f t="shared" si="107"/>
        <v>0</v>
      </c>
      <c r="AC386" s="41">
        <f t="shared" si="108"/>
        <v>0</v>
      </c>
      <c r="AD386" s="41">
        <f t="shared" si="109"/>
        <v>0</v>
      </c>
      <c r="AE386" s="41">
        <f t="shared" si="110"/>
        <v>0</v>
      </c>
      <c r="AF386" s="41">
        <f t="shared" si="111"/>
        <v>0</v>
      </c>
      <c r="AG386" s="41">
        <f t="shared" si="112"/>
        <v>0</v>
      </c>
      <c r="AH386" s="41">
        <f t="shared" si="113"/>
        <v>0</v>
      </c>
      <c r="AI386" s="41">
        <f t="shared" si="114"/>
        <v>0</v>
      </c>
      <c r="AJ386" s="41">
        <f t="shared" si="115"/>
        <v>357</v>
      </c>
      <c r="AK386" s="41">
        <f t="shared" si="116"/>
        <v>181</v>
      </c>
      <c r="AL386" s="42">
        <f t="shared" si="117"/>
        <v>3.071316821917808</v>
      </c>
      <c r="AM386" s="42">
        <f t="shared" si="118"/>
        <v>555.90834476712325</v>
      </c>
      <c r="AN386" s="43">
        <f t="shared" si="103"/>
        <v>591655.06000000006</v>
      </c>
      <c r="AO386" s="43"/>
      <c r="AP386" s="42">
        <f t="shared" si="119"/>
        <v>62279.479999999981</v>
      </c>
      <c r="AQ386" s="43">
        <v>6</v>
      </c>
      <c r="AR386" s="44">
        <f t="shared" si="120"/>
        <v>0.90476190476190477</v>
      </c>
      <c r="AS386" s="45">
        <f t="shared" si="121"/>
        <v>1718.0546206896554</v>
      </c>
      <c r="AU386" s="1">
        <v>560515.32000000007</v>
      </c>
      <c r="AV386" s="50">
        <v>31139.74</v>
      </c>
    </row>
    <row r="387" spans="1:48" s="1" customFormat="1" ht="37.200000000000003" thickTop="1" thickBot="1" x14ac:dyDescent="0.55000000000000004">
      <c r="A387" s="33">
        <v>380</v>
      </c>
      <c r="B387" s="34" t="s">
        <v>434</v>
      </c>
      <c r="C387" s="34" t="s">
        <v>965</v>
      </c>
      <c r="D387" s="35" t="s">
        <v>889</v>
      </c>
      <c r="E387" s="35" t="s">
        <v>966</v>
      </c>
      <c r="F387" s="36" t="s">
        <v>1344</v>
      </c>
      <c r="G387" s="36" t="s">
        <v>1420</v>
      </c>
      <c r="H387" s="36" t="s">
        <v>1421</v>
      </c>
      <c r="I387" s="36" t="s">
        <v>1421</v>
      </c>
      <c r="J387" s="36" t="s">
        <v>1421</v>
      </c>
      <c r="K387" s="36">
        <v>362.5</v>
      </c>
      <c r="L387" s="36" t="s">
        <v>1422</v>
      </c>
      <c r="M387" s="49">
        <v>4</v>
      </c>
      <c r="N387" s="37" t="s">
        <v>1802</v>
      </c>
      <c r="O387" s="37"/>
      <c r="P387" s="36">
        <v>1</v>
      </c>
      <c r="Q387" s="36" t="s">
        <v>1964</v>
      </c>
      <c r="R387" s="36" t="s">
        <v>2287</v>
      </c>
      <c r="S387" s="36" t="s">
        <v>1880</v>
      </c>
      <c r="T387" s="36" t="s">
        <v>1881</v>
      </c>
      <c r="U387" s="38">
        <v>45665</v>
      </c>
      <c r="V387" s="39">
        <v>622794.80000000005</v>
      </c>
      <c r="W387" s="39" t="s">
        <v>2363</v>
      </c>
      <c r="X387" s="39" t="s">
        <v>2363</v>
      </c>
      <c r="Y387" s="40">
        <f t="shared" si="104"/>
        <v>31139.74</v>
      </c>
      <c r="Z387" s="40">
        <f t="shared" si="105"/>
        <v>653934.54</v>
      </c>
      <c r="AA387" s="41" t="str">
        <f t="shared" si="106"/>
        <v>0.0018</v>
      </c>
      <c r="AB387" s="41">
        <f t="shared" si="107"/>
        <v>0</v>
      </c>
      <c r="AC387" s="41">
        <f t="shared" si="108"/>
        <v>0</v>
      </c>
      <c r="AD387" s="41">
        <f t="shared" si="109"/>
        <v>0</v>
      </c>
      <c r="AE387" s="41">
        <f t="shared" si="110"/>
        <v>0</v>
      </c>
      <c r="AF387" s="41">
        <f t="shared" si="111"/>
        <v>0</v>
      </c>
      <c r="AG387" s="41">
        <f t="shared" si="112"/>
        <v>0</v>
      </c>
      <c r="AH387" s="41">
        <f t="shared" si="113"/>
        <v>0</v>
      </c>
      <c r="AI387" s="41">
        <f t="shared" si="114"/>
        <v>0</v>
      </c>
      <c r="AJ387" s="41">
        <f t="shared" si="115"/>
        <v>357</v>
      </c>
      <c r="AK387" s="41">
        <f t="shared" si="116"/>
        <v>181</v>
      </c>
      <c r="AL387" s="42">
        <f t="shared" si="117"/>
        <v>3.071316821917808</v>
      </c>
      <c r="AM387" s="42">
        <f t="shared" si="118"/>
        <v>555.90834476712325</v>
      </c>
      <c r="AN387" s="43">
        <f t="shared" si="103"/>
        <v>591655.06000000006</v>
      </c>
      <c r="AO387" s="43"/>
      <c r="AP387" s="42">
        <f t="shared" si="119"/>
        <v>62279.479999999981</v>
      </c>
      <c r="AQ387" s="43">
        <v>6</v>
      </c>
      <c r="AR387" s="44">
        <f t="shared" si="120"/>
        <v>0.90476190476190477</v>
      </c>
      <c r="AS387" s="45">
        <f t="shared" si="121"/>
        <v>1718.0546206896554</v>
      </c>
      <c r="AU387" s="1">
        <v>560515.32000000007</v>
      </c>
      <c r="AV387" s="50">
        <v>31139.74</v>
      </c>
    </row>
    <row r="388" spans="1:48" s="1" customFormat="1" ht="37.200000000000003" thickTop="1" thickBot="1" x14ac:dyDescent="0.55000000000000004">
      <c r="A388" s="33">
        <v>381</v>
      </c>
      <c r="B388" s="34" t="s">
        <v>435</v>
      </c>
      <c r="C388" s="34" t="s">
        <v>965</v>
      </c>
      <c r="D388" s="35" t="s">
        <v>890</v>
      </c>
      <c r="E388" s="35" t="s">
        <v>966</v>
      </c>
      <c r="F388" s="36" t="s">
        <v>1345</v>
      </c>
      <c r="G388" s="36" t="s">
        <v>1420</v>
      </c>
      <c r="H388" s="36" t="s">
        <v>1421</v>
      </c>
      <c r="I388" s="36" t="s">
        <v>1421</v>
      </c>
      <c r="J388" s="36" t="s">
        <v>1421</v>
      </c>
      <c r="K388" s="36">
        <v>404.5</v>
      </c>
      <c r="L388" s="36" t="s">
        <v>1422</v>
      </c>
      <c r="M388" s="49">
        <v>4</v>
      </c>
      <c r="N388" s="37" t="s">
        <v>1803</v>
      </c>
      <c r="O388" s="37"/>
      <c r="P388" s="36">
        <v>1</v>
      </c>
      <c r="Q388" s="36" t="s">
        <v>1962</v>
      </c>
      <c r="R388" s="36" t="s">
        <v>2288</v>
      </c>
      <c r="S388" s="36" t="s">
        <v>1880</v>
      </c>
      <c r="T388" s="36" t="s">
        <v>1881</v>
      </c>
      <c r="U388" s="38">
        <v>45666</v>
      </c>
      <c r="V388" s="39">
        <v>898744.4</v>
      </c>
      <c r="W388" s="39" t="s">
        <v>2363</v>
      </c>
      <c r="X388" s="39" t="s">
        <v>2363</v>
      </c>
      <c r="Y388" s="40">
        <f t="shared" si="104"/>
        <v>44937.22</v>
      </c>
      <c r="Z388" s="40">
        <f t="shared" si="105"/>
        <v>943681.62</v>
      </c>
      <c r="AA388" s="41" t="str">
        <f t="shared" si="106"/>
        <v>0.0022</v>
      </c>
      <c r="AB388" s="41">
        <f t="shared" si="107"/>
        <v>0</v>
      </c>
      <c r="AC388" s="41">
        <f t="shared" si="108"/>
        <v>0</v>
      </c>
      <c r="AD388" s="41">
        <f t="shared" si="109"/>
        <v>0</v>
      </c>
      <c r="AE388" s="41">
        <f t="shared" si="110"/>
        <v>0</v>
      </c>
      <c r="AF388" s="41">
        <f t="shared" si="111"/>
        <v>0</v>
      </c>
      <c r="AG388" s="41">
        <f t="shared" si="112"/>
        <v>0</v>
      </c>
      <c r="AH388" s="41">
        <f t="shared" si="113"/>
        <v>0</v>
      </c>
      <c r="AI388" s="41">
        <f t="shared" si="114"/>
        <v>0</v>
      </c>
      <c r="AJ388" s="41">
        <f t="shared" si="115"/>
        <v>356</v>
      </c>
      <c r="AK388" s="41">
        <f t="shared" si="116"/>
        <v>181</v>
      </c>
      <c r="AL388" s="42">
        <f t="shared" si="117"/>
        <v>5.4170895342465757</v>
      </c>
      <c r="AM388" s="42">
        <f t="shared" si="118"/>
        <v>980.49320569863016</v>
      </c>
      <c r="AN388" s="43">
        <f t="shared" si="103"/>
        <v>853807.18</v>
      </c>
      <c r="AO388" s="43"/>
      <c r="AP388" s="42">
        <f t="shared" si="119"/>
        <v>89874.439999999944</v>
      </c>
      <c r="AQ388" s="43">
        <v>6</v>
      </c>
      <c r="AR388" s="44">
        <f t="shared" si="120"/>
        <v>0.90476190476190477</v>
      </c>
      <c r="AS388" s="45">
        <f t="shared" si="121"/>
        <v>2221.8650185414094</v>
      </c>
      <c r="AU388" s="1">
        <v>808869.96000000008</v>
      </c>
      <c r="AV388" s="50">
        <v>44937.22</v>
      </c>
    </row>
    <row r="389" spans="1:48" s="1" customFormat="1" ht="37.200000000000003" thickTop="1" thickBot="1" x14ac:dyDescent="0.55000000000000004">
      <c r="A389" s="33">
        <v>382</v>
      </c>
      <c r="B389" s="34" t="s">
        <v>436</v>
      </c>
      <c r="C389" s="34" t="s">
        <v>965</v>
      </c>
      <c r="D389" s="35" t="s">
        <v>891</v>
      </c>
      <c r="E389" s="35" t="s">
        <v>966</v>
      </c>
      <c r="F389" s="36" t="s">
        <v>1346</v>
      </c>
      <c r="G389" s="36" t="s">
        <v>1420</v>
      </c>
      <c r="H389" s="36" t="s">
        <v>1421</v>
      </c>
      <c r="I389" s="36" t="s">
        <v>1421</v>
      </c>
      <c r="J389" s="36" t="s">
        <v>1421</v>
      </c>
      <c r="K389" s="36">
        <v>350</v>
      </c>
      <c r="L389" s="36" t="s">
        <v>1422</v>
      </c>
      <c r="M389" s="49">
        <v>4</v>
      </c>
      <c r="N389" s="37" t="s">
        <v>1804</v>
      </c>
      <c r="O389" s="37"/>
      <c r="P389" s="36">
        <v>1</v>
      </c>
      <c r="Q389" s="36" t="s">
        <v>1995</v>
      </c>
      <c r="R389" s="36" t="s">
        <v>2289</v>
      </c>
      <c r="S389" s="36" t="s">
        <v>1880</v>
      </c>
      <c r="T389" s="36" t="s">
        <v>1881</v>
      </c>
      <c r="U389" s="38">
        <v>45666</v>
      </c>
      <c r="V389" s="39">
        <v>882294.4</v>
      </c>
      <c r="W389" s="39" t="s">
        <v>2363</v>
      </c>
      <c r="X389" s="39" t="s">
        <v>2363</v>
      </c>
      <c r="Y389" s="40">
        <f t="shared" si="104"/>
        <v>44114.720000000001</v>
      </c>
      <c r="Z389" s="40">
        <f t="shared" si="105"/>
        <v>926409.12</v>
      </c>
      <c r="AA389" s="41" t="str">
        <f t="shared" si="106"/>
        <v>0.0022</v>
      </c>
      <c r="AB389" s="41">
        <f t="shared" si="107"/>
        <v>0</v>
      </c>
      <c r="AC389" s="41">
        <f t="shared" si="108"/>
        <v>0</v>
      </c>
      <c r="AD389" s="41">
        <f t="shared" si="109"/>
        <v>0</v>
      </c>
      <c r="AE389" s="41">
        <f t="shared" si="110"/>
        <v>0</v>
      </c>
      <c r="AF389" s="41">
        <f t="shared" si="111"/>
        <v>0</v>
      </c>
      <c r="AG389" s="41">
        <f t="shared" si="112"/>
        <v>0</v>
      </c>
      <c r="AH389" s="41">
        <f t="shared" si="113"/>
        <v>0</v>
      </c>
      <c r="AI389" s="41">
        <f t="shared" si="114"/>
        <v>0</v>
      </c>
      <c r="AJ389" s="41">
        <f t="shared" si="115"/>
        <v>356</v>
      </c>
      <c r="AK389" s="41">
        <f t="shared" si="116"/>
        <v>181</v>
      </c>
      <c r="AL389" s="42">
        <f t="shared" si="117"/>
        <v>5.3179388493150688</v>
      </c>
      <c r="AM389" s="42">
        <f t="shared" si="118"/>
        <v>962.54693172602742</v>
      </c>
      <c r="AN389" s="43">
        <f t="shared" si="103"/>
        <v>838179.68</v>
      </c>
      <c r="AO389" s="43"/>
      <c r="AP389" s="42">
        <f t="shared" si="119"/>
        <v>88229.439999999944</v>
      </c>
      <c r="AQ389" s="43">
        <v>6</v>
      </c>
      <c r="AR389" s="44">
        <f t="shared" si="120"/>
        <v>0.90476190476190477</v>
      </c>
      <c r="AS389" s="45">
        <f t="shared" si="121"/>
        <v>2520.841142857143</v>
      </c>
      <c r="AU389" s="1">
        <v>794064.96000000008</v>
      </c>
      <c r="AV389" s="50">
        <v>44114.720000000001</v>
      </c>
    </row>
    <row r="390" spans="1:48" s="1" customFormat="1" ht="37.200000000000003" thickTop="1" thickBot="1" x14ac:dyDescent="0.55000000000000004">
      <c r="A390" s="33">
        <v>383</v>
      </c>
      <c r="B390" s="34" t="s">
        <v>437</v>
      </c>
      <c r="C390" s="34" t="s">
        <v>965</v>
      </c>
      <c r="D390" s="35" t="s">
        <v>892</v>
      </c>
      <c r="E390" s="35" t="s">
        <v>966</v>
      </c>
      <c r="F390" s="36" t="s">
        <v>1347</v>
      </c>
      <c r="G390" s="36" t="s">
        <v>1420</v>
      </c>
      <c r="H390" s="36" t="s">
        <v>1421</v>
      </c>
      <c r="I390" s="36" t="s">
        <v>1421</v>
      </c>
      <c r="J390" s="36" t="s">
        <v>1421</v>
      </c>
      <c r="K390" s="36">
        <v>378.76</v>
      </c>
      <c r="L390" s="36" t="s">
        <v>1422</v>
      </c>
      <c r="M390" s="49">
        <v>4</v>
      </c>
      <c r="N390" s="37" t="s">
        <v>1805</v>
      </c>
      <c r="O390" s="37"/>
      <c r="P390" s="36">
        <v>1</v>
      </c>
      <c r="Q390" s="36" t="s">
        <v>1943</v>
      </c>
      <c r="R390" s="36" t="s">
        <v>2290</v>
      </c>
      <c r="S390" s="36" t="s">
        <v>1880</v>
      </c>
      <c r="T390" s="36" t="s">
        <v>1881</v>
      </c>
      <c r="U390" s="38">
        <v>45669</v>
      </c>
      <c r="V390" s="39">
        <v>896676.47</v>
      </c>
      <c r="W390" s="39" t="s">
        <v>2363</v>
      </c>
      <c r="X390" s="39" t="s">
        <v>2363</v>
      </c>
      <c r="Y390" s="40">
        <f t="shared" si="104"/>
        <v>44833.823499999999</v>
      </c>
      <c r="Z390" s="40">
        <f t="shared" si="105"/>
        <v>941510.29349999991</v>
      </c>
      <c r="AA390" s="41" t="str">
        <f t="shared" si="106"/>
        <v>0.0022</v>
      </c>
      <c r="AB390" s="41">
        <f t="shared" si="107"/>
        <v>0</v>
      </c>
      <c r="AC390" s="41">
        <f t="shared" si="108"/>
        <v>0</v>
      </c>
      <c r="AD390" s="41">
        <f t="shared" si="109"/>
        <v>0</v>
      </c>
      <c r="AE390" s="41">
        <f t="shared" si="110"/>
        <v>0</v>
      </c>
      <c r="AF390" s="41">
        <f t="shared" si="111"/>
        <v>0</v>
      </c>
      <c r="AG390" s="41">
        <f t="shared" si="112"/>
        <v>0</v>
      </c>
      <c r="AH390" s="41">
        <f t="shared" si="113"/>
        <v>0</v>
      </c>
      <c r="AI390" s="41">
        <f t="shared" si="114"/>
        <v>0</v>
      </c>
      <c r="AJ390" s="41">
        <f t="shared" si="115"/>
        <v>353</v>
      </c>
      <c r="AK390" s="41">
        <f t="shared" si="116"/>
        <v>181</v>
      </c>
      <c r="AL390" s="42">
        <f t="shared" si="117"/>
        <v>5.4046252986301369</v>
      </c>
      <c r="AM390" s="42">
        <f t="shared" si="118"/>
        <v>978.23717905205478</v>
      </c>
      <c r="AN390" s="43">
        <f t="shared" si="103"/>
        <v>807008.81</v>
      </c>
      <c r="AO390" s="43"/>
      <c r="AP390" s="42">
        <f t="shared" si="119"/>
        <v>134501.48349999986</v>
      </c>
      <c r="AQ390" s="43">
        <v>5</v>
      </c>
      <c r="AR390" s="44">
        <f t="shared" si="120"/>
        <v>0.8571428433352547</v>
      </c>
      <c r="AS390" s="45">
        <f t="shared" si="121"/>
        <v>2367.4001214489385</v>
      </c>
      <c r="AU390" s="1">
        <v>807008.81</v>
      </c>
      <c r="AV390" s="50">
        <v>0</v>
      </c>
    </row>
    <row r="391" spans="1:48" s="1" customFormat="1" ht="37.200000000000003" thickTop="1" thickBot="1" x14ac:dyDescent="0.55000000000000004">
      <c r="A391" s="33">
        <v>384</v>
      </c>
      <c r="B391" s="34" t="s">
        <v>438</v>
      </c>
      <c r="C391" s="34" t="s">
        <v>965</v>
      </c>
      <c r="D391" s="35" t="s">
        <v>893</v>
      </c>
      <c r="E391" s="35" t="s">
        <v>966</v>
      </c>
      <c r="F391" s="36" t="s">
        <v>1348</v>
      </c>
      <c r="G391" s="36" t="s">
        <v>1420</v>
      </c>
      <c r="H391" s="36" t="s">
        <v>1421</v>
      </c>
      <c r="I391" s="36" t="s">
        <v>1421</v>
      </c>
      <c r="J391" s="36" t="s">
        <v>1421</v>
      </c>
      <c r="K391" s="36">
        <v>350</v>
      </c>
      <c r="L391" s="36" t="s">
        <v>1422</v>
      </c>
      <c r="M391" s="49">
        <v>4</v>
      </c>
      <c r="N391" s="37" t="s">
        <v>1806</v>
      </c>
      <c r="O391" s="37"/>
      <c r="P391" s="36">
        <v>1</v>
      </c>
      <c r="Q391" s="36" t="s">
        <v>2032</v>
      </c>
      <c r="R391" s="36" t="s">
        <v>2291</v>
      </c>
      <c r="S391" s="36" t="s">
        <v>1880</v>
      </c>
      <c r="T391" s="36" t="s">
        <v>1881</v>
      </c>
      <c r="U391" s="38">
        <v>45669</v>
      </c>
      <c r="V391" s="39">
        <v>624046</v>
      </c>
      <c r="W391" s="39" t="s">
        <v>2363</v>
      </c>
      <c r="X391" s="39" t="s">
        <v>2363</v>
      </c>
      <c r="Y391" s="40">
        <f t="shared" si="104"/>
        <v>31202.3</v>
      </c>
      <c r="Z391" s="40">
        <f t="shared" si="105"/>
        <v>655248.30000000005</v>
      </c>
      <c r="AA391" s="41" t="str">
        <f t="shared" si="106"/>
        <v>0.0018</v>
      </c>
      <c r="AB391" s="41">
        <f t="shared" si="107"/>
        <v>0</v>
      </c>
      <c r="AC391" s="41">
        <f t="shared" si="108"/>
        <v>0</v>
      </c>
      <c r="AD391" s="41">
        <f t="shared" si="109"/>
        <v>0</v>
      </c>
      <c r="AE391" s="41">
        <f t="shared" si="110"/>
        <v>0</v>
      </c>
      <c r="AF391" s="41">
        <f t="shared" si="111"/>
        <v>0</v>
      </c>
      <c r="AG391" s="41">
        <f t="shared" si="112"/>
        <v>0</v>
      </c>
      <c r="AH391" s="41">
        <f t="shared" si="113"/>
        <v>0</v>
      </c>
      <c r="AI391" s="41">
        <f t="shared" si="114"/>
        <v>0</v>
      </c>
      <c r="AJ391" s="41">
        <f t="shared" si="115"/>
        <v>353</v>
      </c>
      <c r="AK391" s="41">
        <f t="shared" si="116"/>
        <v>181</v>
      </c>
      <c r="AL391" s="42">
        <f t="shared" si="117"/>
        <v>3.0774871232876713</v>
      </c>
      <c r="AM391" s="42">
        <f t="shared" si="118"/>
        <v>557.02516931506852</v>
      </c>
      <c r="AN391" s="43">
        <f t="shared" si="103"/>
        <v>561641.4</v>
      </c>
      <c r="AO391" s="43"/>
      <c r="AP391" s="42">
        <f t="shared" si="119"/>
        <v>93606.900000000023</v>
      </c>
      <c r="AQ391" s="43">
        <v>5</v>
      </c>
      <c r="AR391" s="44">
        <f t="shared" si="120"/>
        <v>0.8571428571428571</v>
      </c>
      <c r="AS391" s="45">
        <f t="shared" si="121"/>
        <v>1782.9885714285715</v>
      </c>
      <c r="AU391" s="1">
        <v>561641.4</v>
      </c>
      <c r="AV391" s="50">
        <v>0</v>
      </c>
    </row>
    <row r="392" spans="1:48" s="1" customFormat="1" ht="37.200000000000003" thickTop="1" thickBot="1" x14ac:dyDescent="0.55000000000000004">
      <c r="A392" s="33">
        <v>385</v>
      </c>
      <c r="B392" s="34" t="s">
        <v>439</v>
      </c>
      <c r="C392" s="34" t="s">
        <v>965</v>
      </c>
      <c r="D392" s="35" t="s">
        <v>894</v>
      </c>
      <c r="E392" s="35" t="s">
        <v>966</v>
      </c>
      <c r="F392" s="36" t="s">
        <v>1349</v>
      </c>
      <c r="G392" s="36" t="s">
        <v>1420</v>
      </c>
      <c r="H392" s="36" t="s">
        <v>1421</v>
      </c>
      <c r="I392" s="36" t="s">
        <v>1421</v>
      </c>
      <c r="J392" s="36" t="s">
        <v>1421</v>
      </c>
      <c r="K392" s="36">
        <v>350</v>
      </c>
      <c r="L392" s="36" t="s">
        <v>1422</v>
      </c>
      <c r="M392" s="49">
        <v>4</v>
      </c>
      <c r="N392" s="37" t="s">
        <v>1807</v>
      </c>
      <c r="O392" s="37"/>
      <c r="P392" s="36">
        <v>1</v>
      </c>
      <c r="Q392" s="36" t="s">
        <v>1937</v>
      </c>
      <c r="R392" s="36" t="s">
        <v>2292</v>
      </c>
      <c r="S392" s="36" t="s">
        <v>1880</v>
      </c>
      <c r="T392" s="36" t="s">
        <v>1881</v>
      </c>
      <c r="U392" s="38">
        <v>45669</v>
      </c>
      <c r="V392" s="39">
        <v>609077.80000000005</v>
      </c>
      <c r="W392" s="39" t="s">
        <v>2363</v>
      </c>
      <c r="X392" s="39" t="s">
        <v>2363</v>
      </c>
      <c r="Y392" s="40">
        <f t="shared" si="104"/>
        <v>30453.89</v>
      </c>
      <c r="Z392" s="40">
        <f t="shared" si="105"/>
        <v>639531.69000000006</v>
      </c>
      <c r="AA392" s="41" t="str">
        <f t="shared" si="106"/>
        <v>0.0018</v>
      </c>
      <c r="AB392" s="41">
        <f t="shared" si="107"/>
        <v>0</v>
      </c>
      <c r="AC392" s="41">
        <f t="shared" si="108"/>
        <v>0</v>
      </c>
      <c r="AD392" s="41">
        <f t="shared" si="109"/>
        <v>0</v>
      </c>
      <c r="AE392" s="41">
        <f t="shared" si="110"/>
        <v>0</v>
      </c>
      <c r="AF392" s="41">
        <f t="shared" si="111"/>
        <v>0</v>
      </c>
      <c r="AG392" s="41">
        <f t="shared" si="112"/>
        <v>0</v>
      </c>
      <c r="AH392" s="41">
        <f t="shared" si="113"/>
        <v>0</v>
      </c>
      <c r="AI392" s="41">
        <f t="shared" si="114"/>
        <v>0</v>
      </c>
      <c r="AJ392" s="41">
        <f t="shared" si="115"/>
        <v>353</v>
      </c>
      <c r="AK392" s="41">
        <f t="shared" si="116"/>
        <v>181</v>
      </c>
      <c r="AL392" s="42">
        <f t="shared" si="117"/>
        <v>3.0036713424657537</v>
      </c>
      <c r="AM392" s="42">
        <f t="shared" si="118"/>
        <v>543.66451298630147</v>
      </c>
      <c r="AN392" s="43">
        <f t="shared" ref="AN392:AN455" si="122">AV392+AU392</f>
        <v>548170.02</v>
      </c>
      <c r="AO392" s="43"/>
      <c r="AP392" s="42">
        <f t="shared" si="119"/>
        <v>91361.670000000042</v>
      </c>
      <c r="AQ392" s="43">
        <v>5</v>
      </c>
      <c r="AR392" s="44">
        <f t="shared" si="120"/>
        <v>0.8571428571428571</v>
      </c>
      <c r="AS392" s="45">
        <f t="shared" si="121"/>
        <v>1740.2222857142858</v>
      </c>
      <c r="AU392" s="1">
        <v>365446.68</v>
      </c>
      <c r="AV392" s="50">
        <v>182723.34</v>
      </c>
    </row>
    <row r="393" spans="1:48" s="1" customFormat="1" ht="37.200000000000003" thickTop="1" thickBot="1" x14ac:dyDescent="0.55000000000000004">
      <c r="A393" s="33">
        <v>386</v>
      </c>
      <c r="B393" s="34" t="s">
        <v>440</v>
      </c>
      <c r="C393" s="34" t="s">
        <v>965</v>
      </c>
      <c r="D393" s="35" t="s">
        <v>895</v>
      </c>
      <c r="E393" s="35" t="s">
        <v>966</v>
      </c>
      <c r="F393" s="36" t="s">
        <v>1350</v>
      </c>
      <c r="G393" s="36" t="s">
        <v>1420</v>
      </c>
      <c r="H393" s="36" t="s">
        <v>1421</v>
      </c>
      <c r="I393" s="36" t="s">
        <v>1421</v>
      </c>
      <c r="J393" s="36" t="s">
        <v>1421</v>
      </c>
      <c r="K393" s="36">
        <v>374.34</v>
      </c>
      <c r="L393" s="36" t="s">
        <v>1422</v>
      </c>
      <c r="M393" s="49">
        <v>4</v>
      </c>
      <c r="N393" s="37" t="s">
        <v>1808</v>
      </c>
      <c r="O393" s="37"/>
      <c r="P393" s="36">
        <v>1</v>
      </c>
      <c r="Q393" s="36" t="s">
        <v>1939</v>
      </c>
      <c r="R393" s="36" t="s">
        <v>2293</v>
      </c>
      <c r="S393" s="36" t="s">
        <v>1880</v>
      </c>
      <c r="T393" s="36" t="s">
        <v>1883</v>
      </c>
      <c r="U393" s="38">
        <v>45670</v>
      </c>
      <c r="V393" s="39">
        <v>892067.64</v>
      </c>
      <c r="W393" s="39" t="s">
        <v>2363</v>
      </c>
      <c r="X393" s="39" t="s">
        <v>2363</v>
      </c>
      <c r="Y393" s="40">
        <f t="shared" si="104"/>
        <v>44603.382000000005</v>
      </c>
      <c r="Z393" s="40">
        <f t="shared" si="105"/>
        <v>936671.022</v>
      </c>
      <c r="AA393" s="41" t="str">
        <f t="shared" si="106"/>
        <v>0.0022</v>
      </c>
      <c r="AB393" s="41">
        <f t="shared" si="107"/>
        <v>0</v>
      </c>
      <c r="AC393" s="41">
        <f t="shared" si="108"/>
        <v>0</v>
      </c>
      <c r="AD393" s="41">
        <f t="shared" si="109"/>
        <v>0</v>
      </c>
      <c r="AE393" s="41">
        <f t="shared" si="110"/>
        <v>0</v>
      </c>
      <c r="AF393" s="41">
        <f t="shared" si="111"/>
        <v>0</v>
      </c>
      <c r="AG393" s="41">
        <f t="shared" si="112"/>
        <v>0</v>
      </c>
      <c r="AH393" s="41">
        <f t="shared" si="113"/>
        <v>0</v>
      </c>
      <c r="AI393" s="41">
        <f t="shared" si="114"/>
        <v>0</v>
      </c>
      <c r="AJ393" s="41">
        <f t="shared" si="115"/>
        <v>352</v>
      </c>
      <c r="AK393" s="41">
        <f t="shared" si="116"/>
        <v>181</v>
      </c>
      <c r="AL393" s="42">
        <f t="shared" si="117"/>
        <v>5.3768460493150689</v>
      </c>
      <c r="AM393" s="42">
        <f t="shared" si="118"/>
        <v>973.20913492602745</v>
      </c>
      <c r="AN393" s="43">
        <f t="shared" si="122"/>
        <v>758257.63000000012</v>
      </c>
      <c r="AO393" s="43"/>
      <c r="AP393" s="42">
        <f t="shared" si="119"/>
        <v>178413.39199999988</v>
      </c>
      <c r="AQ393" s="43">
        <v>5</v>
      </c>
      <c r="AR393" s="44">
        <f t="shared" si="120"/>
        <v>0.80952395471886407</v>
      </c>
      <c r="AS393" s="45">
        <f t="shared" si="121"/>
        <v>2383.041192498798</v>
      </c>
      <c r="AU393" s="1">
        <v>624447.43000000005</v>
      </c>
      <c r="AV393" s="50">
        <v>133810.20000000001</v>
      </c>
    </row>
    <row r="394" spans="1:48" s="1" customFormat="1" ht="37.200000000000003" thickTop="1" thickBot="1" x14ac:dyDescent="0.55000000000000004">
      <c r="A394" s="33">
        <v>387</v>
      </c>
      <c r="B394" s="34" t="s">
        <v>441</v>
      </c>
      <c r="C394" s="34" t="s">
        <v>965</v>
      </c>
      <c r="D394" s="35" t="s">
        <v>896</v>
      </c>
      <c r="E394" s="35" t="s">
        <v>966</v>
      </c>
      <c r="F394" s="36" t="s">
        <v>1351</v>
      </c>
      <c r="G394" s="36" t="s">
        <v>1420</v>
      </c>
      <c r="H394" s="36" t="s">
        <v>1421</v>
      </c>
      <c r="I394" s="36" t="s">
        <v>1421</v>
      </c>
      <c r="J394" s="36" t="s">
        <v>1421</v>
      </c>
      <c r="K394" s="36">
        <v>354.5</v>
      </c>
      <c r="L394" s="36" t="s">
        <v>1422</v>
      </c>
      <c r="M394" s="49">
        <v>4</v>
      </c>
      <c r="N394" s="37" t="s">
        <v>1809</v>
      </c>
      <c r="O394" s="37"/>
      <c r="P394" s="36">
        <v>1</v>
      </c>
      <c r="Q394" s="36" t="s">
        <v>1939</v>
      </c>
      <c r="R394" s="36" t="s">
        <v>2294</v>
      </c>
      <c r="S394" s="36" t="s">
        <v>1880</v>
      </c>
      <c r="T394" s="36" t="s">
        <v>1881</v>
      </c>
      <c r="U394" s="38">
        <v>45670</v>
      </c>
      <c r="V394" s="39">
        <v>880944.4</v>
      </c>
      <c r="W394" s="39" t="s">
        <v>2363</v>
      </c>
      <c r="X394" s="39" t="s">
        <v>2363</v>
      </c>
      <c r="Y394" s="40">
        <f t="shared" si="104"/>
        <v>44047.22</v>
      </c>
      <c r="Z394" s="40">
        <f t="shared" si="105"/>
        <v>924991.62</v>
      </c>
      <c r="AA394" s="41" t="str">
        <f t="shared" si="106"/>
        <v>0.0022</v>
      </c>
      <c r="AB394" s="41">
        <f t="shared" si="107"/>
        <v>0</v>
      </c>
      <c r="AC394" s="41">
        <f t="shared" si="108"/>
        <v>0</v>
      </c>
      <c r="AD394" s="41">
        <f t="shared" si="109"/>
        <v>0</v>
      </c>
      <c r="AE394" s="41">
        <f t="shared" si="110"/>
        <v>0</v>
      </c>
      <c r="AF394" s="41">
        <f t="shared" si="111"/>
        <v>0</v>
      </c>
      <c r="AG394" s="41">
        <f t="shared" si="112"/>
        <v>0</v>
      </c>
      <c r="AH394" s="41">
        <f t="shared" si="113"/>
        <v>0</v>
      </c>
      <c r="AI394" s="41">
        <f t="shared" si="114"/>
        <v>0</v>
      </c>
      <c r="AJ394" s="41">
        <f t="shared" si="115"/>
        <v>352</v>
      </c>
      <c r="AK394" s="41">
        <f t="shared" si="116"/>
        <v>181</v>
      </c>
      <c r="AL394" s="42">
        <f t="shared" si="117"/>
        <v>5.3098018630136989</v>
      </c>
      <c r="AM394" s="42">
        <f t="shared" si="118"/>
        <v>961.07413720547947</v>
      </c>
      <c r="AN394" s="43">
        <f t="shared" si="122"/>
        <v>792849.96000000008</v>
      </c>
      <c r="AO394" s="43"/>
      <c r="AP394" s="42">
        <f t="shared" si="119"/>
        <v>132141.65999999992</v>
      </c>
      <c r="AQ394" s="43">
        <v>5</v>
      </c>
      <c r="AR394" s="44">
        <f t="shared" si="120"/>
        <v>0.85714285714285721</v>
      </c>
      <c r="AS394" s="45">
        <f t="shared" si="121"/>
        <v>2485.0335684062061</v>
      </c>
      <c r="AU394" s="1">
        <v>660708.30000000005</v>
      </c>
      <c r="AV394" s="50">
        <v>132141.66</v>
      </c>
    </row>
    <row r="395" spans="1:48" s="1" customFormat="1" ht="37.200000000000003" thickTop="1" thickBot="1" x14ac:dyDescent="0.55000000000000004">
      <c r="A395" s="33">
        <v>388</v>
      </c>
      <c r="B395" s="34" t="s">
        <v>442</v>
      </c>
      <c r="C395" s="34" t="s">
        <v>965</v>
      </c>
      <c r="D395" s="35" t="s">
        <v>897</v>
      </c>
      <c r="E395" s="35" t="s">
        <v>966</v>
      </c>
      <c r="F395" s="36" t="s">
        <v>1352</v>
      </c>
      <c r="G395" s="36" t="s">
        <v>1420</v>
      </c>
      <c r="H395" s="36" t="s">
        <v>1421</v>
      </c>
      <c r="I395" s="36" t="s">
        <v>1421</v>
      </c>
      <c r="J395" s="36" t="s">
        <v>1421</v>
      </c>
      <c r="K395" s="36">
        <v>350</v>
      </c>
      <c r="L395" s="36" t="s">
        <v>1422</v>
      </c>
      <c r="M395" s="49">
        <v>4</v>
      </c>
      <c r="N395" s="37" t="s">
        <v>1810</v>
      </c>
      <c r="O395" s="37"/>
      <c r="P395" s="36">
        <v>1</v>
      </c>
      <c r="Q395" s="36" t="s">
        <v>1995</v>
      </c>
      <c r="R395" s="36" t="s">
        <v>2295</v>
      </c>
      <c r="S395" s="36" t="s">
        <v>1880</v>
      </c>
      <c r="T395" s="36" t="s">
        <v>1881</v>
      </c>
      <c r="U395" s="38">
        <v>45670</v>
      </c>
      <c r="V395" s="39">
        <v>876296.8</v>
      </c>
      <c r="W395" s="39" t="s">
        <v>2363</v>
      </c>
      <c r="X395" s="39" t="s">
        <v>2363</v>
      </c>
      <c r="Y395" s="40">
        <f t="shared" si="104"/>
        <v>43814.84</v>
      </c>
      <c r="Z395" s="40">
        <f t="shared" si="105"/>
        <v>920111.64</v>
      </c>
      <c r="AA395" s="41" t="str">
        <f t="shared" si="106"/>
        <v>0.0022</v>
      </c>
      <c r="AB395" s="41">
        <f t="shared" si="107"/>
        <v>0</v>
      </c>
      <c r="AC395" s="41">
        <f t="shared" si="108"/>
        <v>0</v>
      </c>
      <c r="AD395" s="41">
        <f t="shared" si="109"/>
        <v>0</v>
      </c>
      <c r="AE395" s="41">
        <f t="shared" si="110"/>
        <v>0</v>
      </c>
      <c r="AF395" s="41">
        <f t="shared" si="111"/>
        <v>0</v>
      </c>
      <c r="AG395" s="41">
        <f t="shared" si="112"/>
        <v>0</v>
      </c>
      <c r="AH395" s="41">
        <f t="shared" si="113"/>
        <v>0</v>
      </c>
      <c r="AI395" s="41">
        <f t="shared" si="114"/>
        <v>0</v>
      </c>
      <c r="AJ395" s="41">
        <f t="shared" si="115"/>
        <v>352</v>
      </c>
      <c r="AK395" s="41">
        <f t="shared" si="116"/>
        <v>181</v>
      </c>
      <c r="AL395" s="42">
        <f t="shared" si="117"/>
        <v>5.28178893150685</v>
      </c>
      <c r="AM395" s="42">
        <f t="shared" si="118"/>
        <v>956.00379660273984</v>
      </c>
      <c r="AN395" s="43">
        <f t="shared" si="122"/>
        <v>832481.96</v>
      </c>
      <c r="AO395" s="43"/>
      <c r="AP395" s="42">
        <f t="shared" si="119"/>
        <v>87629.680000000051</v>
      </c>
      <c r="AQ395" s="43">
        <v>6</v>
      </c>
      <c r="AR395" s="44">
        <f t="shared" si="120"/>
        <v>0.90476190476190466</v>
      </c>
      <c r="AS395" s="45">
        <f t="shared" si="121"/>
        <v>2503.7051428571431</v>
      </c>
      <c r="AU395" s="1">
        <v>788667.12</v>
      </c>
      <c r="AV395" s="50">
        <v>43814.84</v>
      </c>
    </row>
    <row r="396" spans="1:48" s="1" customFormat="1" ht="37.200000000000003" thickTop="1" thickBot="1" x14ac:dyDescent="0.55000000000000004">
      <c r="A396" s="33">
        <v>389</v>
      </c>
      <c r="B396" s="34" t="s">
        <v>443</v>
      </c>
      <c r="C396" s="34" t="s">
        <v>965</v>
      </c>
      <c r="D396" s="35" t="s">
        <v>898</v>
      </c>
      <c r="E396" s="35" t="s">
        <v>966</v>
      </c>
      <c r="F396" s="36" t="s">
        <v>1353</v>
      </c>
      <c r="G396" s="36" t="s">
        <v>1420</v>
      </c>
      <c r="H396" s="36" t="s">
        <v>1421</v>
      </c>
      <c r="I396" s="36" t="s">
        <v>1421</v>
      </c>
      <c r="J396" s="36" t="s">
        <v>1421</v>
      </c>
      <c r="K396" s="36">
        <v>350</v>
      </c>
      <c r="L396" s="36" t="s">
        <v>1422</v>
      </c>
      <c r="M396" s="49">
        <v>4</v>
      </c>
      <c r="N396" s="37" t="s">
        <v>1811</v>
      </c>
      <c r="O396" s="37"/>
      <c r="P396" s="36">
        <v>1</v>
      </c>
      <c r="Q396" s="36" t="s">
        <v>1937</v>
      </c>
      <c r="R396" s="36" t="s">
        <v>2296</v>
      </c>
      <c r="S396" s="36" t="s">
        <v>1880</v>
      </c>
      <c r="T396" s="36" t="s">
        <v>1881</v>
      </c>
      <c r="U396" s="38">
        <v>45670</v>
      </c>
      <c r="V396" s="39">
        <v>624046</v>
      </c>
      <c r="W396" s="39" t="s">
        <v>2363</v>
      </c>
      <c r="X396" s="39" t="s">
        <v>2363</v>
      </c>
      <c r="Y396" s="40">
        <f t="shared" si="104"/>
        <v>31202.3</v>
      </c>
      <c r="Z396" s="40">
        <f t="shared" si="105"/>
        <v>655248.30000000005</v>
      </c>
      <c r="AA396" s="41" t="str">
        <f t="shared" si="106"/>
        <v>0.0018</v>
      </c>
      <c r="AB396" s="41">
        <f t="shared" si="107"/>
        <v>0</v>
      </c>
      <c r="AC396" s="41">
        <f t="shared" si="108"/>
        <v>0</v>
      </c>
      <c r="AD396" s="41">
        <f t="shared" si="109"/>
        <v>0</v>
      </c>
      <c r="AE396" s="41">
        <f t="shared" si="110"/>
        <v>0</v>
      </c>
      <c r="AF396" s="41">
        <f t="shared" si="111"/>
        <v>0</v>
      </c>
      <c r="AG396" s="41">
        <f t="shared" si="112"/>
        <v>0</v>
      </c>
      <c r="AH396" s="41">
        <f t="shared" si="113"/>
        <v>0</v>
      </c>
      <c r="AI396" s="41">
        <f t="shared" si="114"/>
        <v>0</v>
      </c>
      <c r="AJ396" s="41">
        <f t="shared" si="115"/>
        <v>352</v>
      </c>
      <c r="AK396" s="41">
        <f t="shared" si="116"/>
        <v>181</v>
      </c>
      <c r="AL396" s="42">
        <f t="shared" si="117"/>
        <v>3.0774871232876713</v>
      </c>
      <c r="AM396" s="42">
        <f t="shared" si="118"/>
        <v>557.02516931506852</v>
      </c>
      <c r="AN396" s="43">
        <f t="shared" si="122"/>
        <v>561641.39999999991</v>
      </c>
      <c r="AO396" s="43"/>
      <c r="AP396" s="42">
        <f t="shared" si="119"/>
        <v>93606.90000000014</v>
      </c>
      <c r="AQ396" s="43">
        <v>5</v>
      </c>
      <c r="AR396" s="44">
        <f t="shared" si="120"/>
        <v>0.85714285714285698</v>
      </c>
      <c r="AS396" s="45">
        <f t="shared" si="121"/>
        <v>1782.9885714285715</v>
      </c>
      <c r="AU396" s="1">
        <v>374427.6</v>
      </c>
      <c r="AV396" s="50">
        <v>187213.8</v>
      </c>
    </row>
    <row r="397" spans="1:48" s="1" customFormat="1" ht="37.200000000000003" thickTop="1" thickBot="1" x14ac:dyDescent="0.55000000000000004">
      <c r="A397" s="33">
        <v>390</v>
      </c>
      <c r="B397" s="34" t="s">
        <v>444</v>
      </c>
      <c r="C397" s="34" t="s">
        <v>965</v>
      </c>
      <c r="D397" s="35" t="s">
        <v>899</v>
      </c>
      <c r="E397" s="35" t="s">
        <v>966</v>
      </c>
      <c r="F397" s="36" t="s">
        <v>1354</v>
      </c>
      <c r="G397" s="36" t="s">
        <v>1420</v>
      </c>
      <c r="H397" s="36" t="s">
        <v>1421</v>
      </c>
      <c r="I397" s="36" t="s">
        <v>1421</v>
      </c>
      <c r="J397" s="36" t="s">
        <v>1421</v>
      </c>
      <c r="K397" s="36">
        <v>375</v>
      </c>
      <c r="L397" s="36" t="s">
        <v>1422</v>
      </c>
      <c r="M397" s="49">
        <v>4</v>
      </c>
      <c r="N397" s="37" t="s">
        <v>1812</v>
      </c>
      <c r="O397" s="37"/>
      <c r="P397" s="36">
        <v>1</v>
      </c>
      <c r="Q397" s="36" t="s">
        <v>1956</v>
      </c>
      <c r="R397" s="36" t="s">
        <v>2297</v>
      </c>
      <c r="S397" s="36" t="s">
        <v>1880</v>
      </c>
      <c r="T397" s="36" t="s">
        <v>1883</v>
      </c>
      <c r="U397" s="38">
        <v>45670</v>
      </c>
      <c r="V397" s="39">
        <v>627543.6</v>
      </c>
      <c r="W397" s="39" t="s">
        <v>2363</v>
      </c>
      <c r="X397" s="39" t="s">
        <v>2363</v>
      </c>
      <c r="Y397" s="40">
        <f t="shared" ref="Y397:Y460" si="123">V397*5/100</f>
        <v>31377.18</v>
      </c>
      <c r="Z397" s="40">
        <f t="shared" ref="Z397:Z460" si="124">V397+Y397</f>
        <v>658920.78</v>
      </c>
      <c r="AA397" s="41" t="str">
        <f t="shared" ref="AA397:AA460" si="125">IF(V397&lt;=500000,"0.0012",IF(AND(V397&gt;500000,V397&lt;=699999),"0.0018",IF(AND(V397&gt;=700000,V397&lt;=999999),"0.0022",IF(AND(V397&gt;=1000000,V397&lt;1500000),"0.0026","0.003"))))</f>
        <v>0.0018</v>
      </c>
      <c r="AB397" s="41">
        <f t="shared" ref="AB397:AB460" si="126">+IF($AB$7&gt;U397,$AB$7-U397,0)</f>
        <v>0</v>
      </c>
      <c r="AC397" s="41">
        <f t="shared" ref="AC397:AC460" si="127">+IF($AC$7&gt;U397,$AC$7-U397-AB397,0)</f>
        <v>0</v>
      </c>
      <c r="AD397" s="41">
        <f t="shared" ref="AD397:AD460" si="128">+IF($AD$7&gt;U397,$AD$7-U397-AB397-AC397,0)</f>
        <v>0</v>
      </c>
      <c r="AE397" s="41">
        <f t="shared" ref="AE397:AE460" si="129">+IF($AE$7&gt;U397,$AE$7-U397-AB397-AD397-AC397,0)</f>
        <v>0</v>
      </c>
      <c r="AF397" s="41">
        <f t="shared" ref="AF397:AF460" si="130">+IF($AF$7&gt;U397,$AF$7-U397-AB397-AC397-AD397-AE397,0)</f>
        <v>0</v>
      </c>
      <c r="AG397" s="41">
        <f t="shared" ref="AG397:AG460" si="131">+IF($AG$7&gt;U397,$AG$7-U397-AB397-AC397-AD397-AE397-AF397,0)</f>
        <v>0</v>
      </c>
      <c r="AH397" s="41">
        <f t="shared" ref="AH397:AH460" si="132">+IF($AH$7&gt;U397,$AH$7-U397-AB397-AC397-AD397-AE397-AF397-AG397,0)</f>
        <v>0</v>
      </c>
      <c r="AI397" s="41">
        <f t="shared" ref="AI397:AI460" si="133">+IF($AI$7&gt;U397,$AI$7-U397-AB397-AC397-AD397-AE397-AF397-AG397-AH397,0)</f>
        <v>0</v>
      </c>
      <c r="AJ397" s="41">
        <f t="shared" ref="AJ397:AJ460" si="134">+IF($AJ$7&gt;U397,$AJ$7-U397-AB397-AC397-AD397-AE397-AF397-AG397-AH397-AI397,0)</f>
        <v>352</v>
      </c>
      <c r="AK397" s="41">
        <f t="shared" ref="AK397:AK460" si="135">+IF($AK$7&gt;U397,$AK$7-U397-AB397-AC397-AD397-AE397-AF397-AG397-AH397-AI397-AJ397,0)</f>
        <v>181</v>
      </c>
      <c r="AL397" s="42">
        <f t="shared" ref="AL397:AL460" si="136">IF(AK397&gt;0,+V397*AA397/365,0)</f>
        <v>3.0947355616438355</v>
      </c>
      <c r="AM397" s="42">
        <f t="shared" ref="AM397:AM460" si="137">+AL397*AK397</f>
        <v>560.14713665753425</v>
      </c>
      <c r="AN397" s="43">
        <f t="shared" si="122"/>
        <v>533412.19999999995</v>
      </c>
      <c r="AO397" s="43"/>
      <c r="AP397" s="42">
        <f t="shared" ref="AP397:AP460" si="138">Z397-AN397</f>
        <v>125508.58000000007</v>
      </c>
      <c r="AQ397" s="43">
        <v>5</v>
      </c>
      <c r="AR397" s="44">
        <f t="shared" ref="AR397:AR460" si="139">AN397/Z397</f>
        <v>0.80952402199244644</v>
      </c>
      <c r="AS397" s="45">
        <f t="shared" ref="AS397:AS460" si="140">V397/K397</f>
        <v>1673.4495999999999</v>
      </c>
      <c r="AU397" s="1">
        <v>439280.6</v>
      </c>
      <c r="AV397" s="50">
        <v>94131.6</v>
      </c>
    </row>
    <row r="398" spans="1:48" s="1" customFormat="1" ht="37.200000000000003" thickTop="1" thickBot="1" x14ac:dyDescent="0.55000000000000004">
      <c r="A398" s="33">
        <v>391</v>
      </c>
      <c r="B398" s="34" t="s">
        <v>445</v>
      </c>
      <c r="C398" s="34" t="s">
        <v>965</v>
      </c>
      <c r="D398" s="35" t="s">
        <v>900</v>
      </c>
      <c r="E398" s="35" t="s">
        <v>966</v>
      </c>
      <c r="F398" s="36" t="s">
        <v>1355</v>
      </c>
      <c r="G398" s="36" t="s">
        <v>1420</v>
      </c>
      <c r="H398" s="36" t="s">
        <v>1421</v>
      </c>
      <c r="I398" s="36" t="s">
        <v>1421</v>
      </c>
      <c r="J398" s="36" t="s">
        <v>1421</v>
      </c>
      <c r="K398" s="36">
        <v>375</v>
      </c>
      <c r="L398" s="36" t="s">
        <v>1422</v>
      </c>
      <c r="M398" s="49">
        <v>4</v>
      </c>
      <c r="N398" s="37" t="s">
        <v>1813</v>
      </c>
      <c r="O398" s="37"/>
      <c r="P398" s="36">
        <v>1</v>
      </c>
      <c r="Q398" s="36" t="s">
        <v>1954</v>
      </c>
      <c r="R398" s="36" t="s">
        <v>2298</v>
      </c>
      <c r="S398" s="36" t="s">
        <v>1880</v>
      </c>
      <c r="T398" s="36" t="s">
        <v>1881</v>
      </c>
      <c r="U398" s="38">
        <v>45670</v>
      </c>
      <c r="V398" s="39">
        <v>627543.6</v>
      </c>
      <c r="W398" s="39" t="s">
        <v>2363</v>
      </c>
      <c r="X398" s="39" t="s">
        <v>2363</v>
      </c>
      <c r="Y398" s="40">
        <f t="shared" si="123"/>
        <v>31377.18</v>
      </c>
      <c r="Z398" s="40">
        <f t="shared" si="124"/>
        <v>658920.78</v>
      </c>
      <c r="AA398" s="41" t="str">
        <f t="shared" si="125"/>
        <v>0.0018</v>
      </c>
      <c r="AB398" s="41">
        <f t="shared" si="126"/>
        <v>0</v>
      </c>
      <c r="AC398" s="41">
        <f t="shared" si="127"/>
        <v>0</v>
      </c>
      <c r="AD398" s="41">
        <f t="shared" si="128"/>
        <v>0</v>
      </c>
      <c r="AE398" s="41">
        <f t="shared" si="129"/>
        <v>0</v>
      </c>
      <c r="AF398" s="41">
        <f t="shared" si="130"/>
        <v>0</v>
      </c>
      <c r="AG398" s="41">
        <f t="shared" si="131"/>
        <v>0</v>
      </c>
      <c r="AH398" s="41">
        <f t="shared" si="132"/>
        <v>0</v>
      </c>
      <c r="AI398" s="41">
        <f t="shared" si="133"/>
        <v>0</v>
      </c>
      <c r="AJ398" s="41">
        <f t="shared" si="134"/>
        <v>352</v>
      </c>
      <c r="AK398" s="41">
        <f t="shared" si="135"/>
        <v>181</v>
      </c>
      <c r="AL398" s="42">
        <f t="shared" si="136"/>
        <v>3.0947355616438355</v>
      </c>
      <c r="AM398" s="42">
        <f t="shared" si="137"/>
        <v>560.14713665753425</v>
      </c>
      <c r="AN398" s="43">
        <f t="shared" si="122"/>
        <v>564789.24</v>
      </c>
      <c r="AO398" s="43"/>
      <c r="AP398" s="42">
        <f t="shared" si="138"/>
        <v>94131.540000000037</v>
      </c>
      <c r="AQ398" s="43">
        <v>5</v>
      </c>
      <c r="AR398" s="44">
        <f t="shared" si="139"/>
        <v>0.8571428571428571</v>
      </c>
      <c r="AS398" s="45">
        <f t="shared" si="140"/>
        <v>1673.4495999999999</v>
      </c>
      <c r="AU398" s="1">
        <v>470657.69999999995</v>
      </c>
      <c r="AV398" s="50">
        <v>94131.54</v>
      </c>
    </row>
    <row r="399" spans="1:48" s="1" customFormat="1" ht="37.200000000000003" thickTop="1" thickBot="1" x14ac:dyDescent="0.55000000000000004">
      <c r="A399" s="33">
        <v>392</v>
      </c>
      <c r="B399" s="34" t="s">
        <v>446</v>
      </c>
      <c r="C399" s="34" t="s">
        <v>965</v>
      </c>
      <c r="D399" s="35" t="s">
        <v>901</v>
      </c>
      <c r="E399" s="35" t="s">
        <v>966</v>
      </c>
      <c r="F399" s="36" t="s">
        <v>1356</v>
      </c>
      <c r="G399" s="36" t="s">
        <v>1420</v>
      </c>
      <c r="H399" s="36" t="s">
        <v>1421</v>
      </c>
      <c r="I399" s="36" t="s">
        <v>1421</v>
      </c>
      <c r="J399" s="36" t="s">
        <v>1421</v>
      </c>
      <c r="K399" s="36">
        <v>362.49</v>
      </c>
      <c r="L399" s="36" t="s">
        <v>1422</v>
      </c>
      <c r="M399" s="49">
        <v>4</v>
      </c>
      <c r="N399" s="37" t="s">
        <v>1814</v>
      </c>
      <c r="O399" s="37"/>
      <c r="P399" s="36">
        <v>1</v>
      </c>
      <c r="Q399" s="36" t="s">
        <v>1943</v>
      </c>
      <c r="R399" s="36" t="s">
        <v>2299</v>
      </c>
      <c r="S399" s="36" t="s">
        <v>1880</v>
      </c>
      <c r="T399" s="36" t="s">
        <v>1881</v>
      </c>
      <c r="U399" s="38">
        <v>45670</v>
      </c>
      <c r="V399" s="39">
        <v>824141.49</v>
      </c>
      <c r="W399" s="39" t="s">
        <v>2363</v>
      </c>
      <c r="X399" s="39" t="s">
        <v>2363</v>
      </c>
      <c r="Y399" s="40">
        <f t="shared" si="123"/>
        <v>41207.074500000002</v>
      </c>
      <c r="Z399" s="40">
        <f t="shared" si="124"/>
        <v>865348.56449999998</v>
      </c>
      <c r="AA399" s="41" t="str">
        <f t="shared" si="125"/>
        <v>0.0022</v>
      </c>
      <c r="AB399" s="41">
        <f t="shared" si="126"/>
        <v>0</v>
      </c>
      <c r="AC399" s="41">
        <f t="shared" si="127"/>
        <v>0</v>
      </c>
      <c r="AD399" s="41">
        <f t="shared" si="128"/>
        <v>0</v>
      </c>
      <c r="AE399" s="41">
        <f t="shared" si="129"/>
        <v>0</v>
      </c>
      <c r="AF399" s="41">
        <f t="shared" si="130"/>
        <v>0</v>
      </c>
      <c r="AG399" s="41">
        <f t="shared" si="131"/>
        <v>0</v>
      </c>
      <c r="AH399" s="41">
        <f t="shared" si="132"/>
        <v>0</v>
      </c>
      <c r="AI399" s="41">
        <f t="shared" si="133"/>
        <v>0</v>
      </c>
      <c r="AJ399" s="41">
        <f t="shared" si="134"/>
        <v>352</v>
      </c>
      <c r="AK399" s="41">
        <f t="shared" si="135"/>
        <v>181</v>
      </c>
      <c r="AL399" s="42">
        <f t="shared" si="136"/>
        <v>4.9674281589041094</v>
      </c>
      <c r="AM399" s="42">
        <f t="shared" si="137"/>
        <v>899.10449676164376</v>
      </c>
      <c r="AN399" s="43">
        <f t="shared" si="122"/>
        <v>741727.34000000008</v>
      </c>
      <c r="AO399" s="43"/>
      <c r="AP399" s="42">
        <f t="shared" si="138"/>
        <v>123621.22449999989</v>
      </c>
      <c r="AQ399" s="43">
        <v>5</v>
      </c>
      <c r="AR399" s="44">
        <f t="shared" si="139"/>
        <v>0.85714285598725359</v>
      </c>
      <c r="AS399" s="45">
        <f t="shared" si="140"/>
        <v>2273.5564843168086</v>
      </c>
      <c r="AU399" s="1">
        <v>741727.34000000008</v>
      </c>
      <c r="AV399" s="50">
        <v>0</v>
      </c>
    </row>
    <row r="400" spans="1:48" s="1" customFormat="1" ht="37.200000000000003" thickTop="1" thickBot="1" x14ac:dyDescent="0.55000000000000004">
      <c r="A400" s="33">
        <v>393</v>
      </c>
      <c r="B400" s="34" t="s">
        <v>447</v>
      </c>
      <c r="C400" s="34" t="s">
        <v>965</v>
      </c>
      <c r="D400" s="35" t="s">
        <v>902</v>
      </c>
      <c r="E400" s="35" t="s">
        <v>966</v>
      </c>
      <c r="F400" s="36" t="s">
        <v>1357</v>
      </c>
      <c r="G400" s="36" t="s">
        <v>1420</v>
      </c>
      <c r="H400" s="36" t="s">
        <v>1421</v>
      </c>
      <c r="I400" s="36" t="s">
        <v>1421</v>
      </c>
      <c r="J400" s="36" t="s">
        <v>1421</v>
      </c>
      <c r="K400" s="36">
        <v>375</v>
      </c>
      <c r="L400" s="36" t="s">
        <v>1422</v>
      </c>
      <c r="M400" s="49">
        <v>4</v>
      </c>
      <c r="N400" s="37" t="s">
        <v>1815</v>
      </c>
      <c r="O400" s="37"/>
      <c r="P400" s="36">
        <v>1</v>
      </c>
      <c r="Q400" s="36" t="s">
        <v>1943</v>
      </c>
      <c r="R400" s="36" t="s">
        <v>2300</v>
      </c>
      <c r="S400" s="36" t="s">
        <v>1880</v>
      </c>
      <c r="T400" s="36" t="s">
        <v>1881</v>
      </c>
      <c r="U400" s="38">
        <v>45670</v>
      </c>
      <c r="V400" s="39">
        <v>731268.8</v>
      </c>
      <c r="W400" s="39" t="s">
        <v>2363</v>
      </c>
      <c r="X400" s="39" t="s">
        <v>2363</v>
      </c>
      <c r="Y400" s="40">
        <f t="shared" si="123"/>
        <v>36563.440000000002</v>
      </c>
      <c r="Z400" s="40">
        <f t="shared" si="124"/>
        <v>767832.24</v>
      </c>
      <c r="AA400" s="41" t="str">
        <f t="shared" si="125"/>
        <v>0.0022</v>
      </c>
      <c r="AB400" s="41">
        <f t="shared" si="126"/>
        <v>0</v>
      </c>
      <c r="AC400" s="41">
        <f t="shared" si="127"/>
        <v>0</v>
      </c>
      <c r="AD400" s="41">
        <f t="shared" si="128"/>
        <v>0</v>
      </c>
      <c r="AE400" s="41">
        <f t="shared" si="129"/>
        <v>0</v>
      </c>
      <c r="AF400" s="41">
        <f t="shared" si="130"/>
        <v>0</v>
      </c>
      <c r="AG400" s="41">
        <f t="shared" si="131"/>
        <v>0</v>
      </c>
      <c r="AH400" s="41">
        <f t="shared" si="132"/>
        <v>0</v>
      </c>
      <c r="AI400" s="41">
        <f t="shared" si="133"/>
        <v>0</v>
      </c>
      <c r="AJ400" s="41">
        <f t="shared" si="134"/>
        <v>352</v>
      </c>
      <c r="AK400" s="41">
        <f t="shared" si="135"/>
        <v>181</v>
      </c>
      <c r="AL400" s="42">
        <f t="shared" si="136"/>
        <v>4.4076475616438362</v>
      </c>
      <c r="AM400" s="42">
        <f t="shared" si="137"/>
        <v>797.78420865753435</v>
      </c>
      <c r="AN400" s="43">
        <f t="shared" si="122"/>
        <v>694705.3600000001</v>
      </c>
      <c r="AO400" s="43"/>
      <c r="AP400" s="42">
        <f t="shared" si="138"/>
        <v>73126.879999999888</v>
      </c>
      <c r="AQ400" s="43">
        <v>6</v>
      </c>
      <c r="AR400" s="44">
        <f t="shared" si="139"/>
        <v>0.90476190476190488</v>
      </c>
      <c r="AS400" s="45">
        <f t="shared" si="140"/>
        <v>1950.0501333333334</v>
      </c>
      <c r="AU400" s="1">
        <v>658141.92000000004</v>
      </c>
      <c r="AV400" s="50">
        <v>36563.440000000002</v>
      </c>
    </row>
    <row r="401" spans="1:48" s="1" customFormat="1" ht="37.200000000000003" thickTop="1" thickBot="1" x14ac:dyDescent="0.55000000000000004">
      <c r="A401" s="33">
        <v>394</v>
      </c>
      <c r="B401" s="34" t="s">
        <v>448</v>
      </c>
      <c r="C401" s="34" t="s">
        <v>965</v>
      </c>
      <c r="D401" s="35" t="s">
        <v>903</v>
      </c>
      <c r="E401" s="35" t="s">
        <v>966</v>
      </c>
      <c r="F401" s="36" t="s">
        <v>1358</v>
      </c>
      <c r="G401" s="36" t="s">
        <v>1420</v>
      </c>
      <c r="H401" s="36" t="s">
        <v>1421</v>
      </c>
      <c r="I401" s="36" t="s">
        <v>1421</v>
      </c>
      <c r="J401" s="36" t="s">
        <v>1421</v>
      </c>
      <c r="K401" s="36">
        <v>375</v>
      </c>
      <c r="L401" s="36" t="s">
        <v>1422</v>
      </c>
      <c r="M401" s="49">
        <v>4</v>
      </c>
      <c r="N401" s="37" t="s">
        <v>1816</v>
      </c>
      <c r="O401" s="37"/>
      <c r="P401" s="36">
        <v>1</v>
      </c>
      <c r="Q401" s="36" t="s">
        <v>1954</v>
      </c>
      <c r="R401" s="36" t="s">
        <v>2301</v>
      </c>
      <c r="S401" s="36" t="s">
        <v>1880</v>
      </c>
      <c r="T401" s="36" t="s">
        <v>1883</v>
      </c>
      <c r="U401" s="38">
        <v>45670</v>
      </c>
      <c r="V401" s="39">
        <v>823267</v>
      </c>
      <c r="W401" s="39" t="s">
        <v>2363</v>
      </c>
      <c r="X401" s="39" t="s">
        <v>2363</v>
      </c>
      <c r="Y401" s="40">
        <f t="shared" si="123"/>
        <v>41163.35</v>
      </c>
      <c r="Z401" s="40">
        <f t="shared" si="124"/>
        <v>864430.35</v>
      </c>
      <c r="AA401" s="41" t="str">
        <f t="shared" si="125"/>
        <v>0.0022</v>
      </c>
      <c r="AB401" s="41">
        <f t="shared" si="126"/>
        <v>0</v>
      </c>
      <c r="AC401" s="41">
        <f t="shared" si="127"/>
        <v>0</v>
      </c>
      <c r="AD401" s="41">
        <f t="shared" si="128"/>
        <v>0</v>
      </c>
      <c r="AE401" s="41">
        <f t="shared" si="129"/>
        <v>0</v>
      </c>
      <c r="AF401" s="41">
        <f t="shared" si="130"/>
        <v>0</v>
      </c>
      <c r="AG401" s="41">
        <f t="shared" si="131"/>
        <v>0</v>
      </c>
      <c r="AH401" s="41">
        <f t="shared" si="132"/>
        <v>0</v>
      </c>
      <c r="AI401" s="41">
        <f t="shared" si="133"/>
        <v>0</v>
      </c>
      <c r="AJ401" s="41">
        <f t="shared" si="134"/>
        <v>352</v>
      </c>
      <c r="AK401" s="41">
        <f t="shared" si="135"/>
        <v>181</v>
      </c>
      <c r="AL401" s="42">
        <f t="shared" si="136"/>
        <v>4.9621572602739725</v>
      </c>
      <c r="AM401" s="42">
        <f t="shared" si="137"/>
        <v>898.15046410958905</v>
      </c>
      <c r="AN401" s="43">
        <f t="shared" si="122"/>
        <v>699776.95000000007</v>
      </c>
      <c r="AO401" s="43"/>
      <c r="AP401" s="42">
        <f t="shared" si="138"/>
        <v>164653.39999999991</v>
      </c>
      <c r="AQ401" s="43">
        <v>5</v>
      </c>
      <c r="AR401" s="44">
        <f t="shared" si="139"/>
        <v>0.80952380952380965</v>
      </c>
      <c r="AS401" s="45">
        <f t="shared" si="140"/>
        <v>2195.3786666666665</v>
      </c>
      <c r="AU401" s="1">
        <v>576286.9</v>
      </c>
      <c r="AV401" s="50">
        <v>123490.05</v>
      </c>
    </row>
    <row r="402" spans="1:48" s="1" customFormat="1" ht="37.200000000000003" thickTop="1" thickBot="1" x14ac:dyDescent="0.55000000000000004">
      <c r="A402" s="33">
        <v>395</v>
      </c>
      <c r="B402" s="34" t="s">
        <v>449</v>
      </c>
      <c r="C402" s="34" t="s">
        <v>965</v>
      </c>
      <c r="D402" s="35" t="s">
        <v>904</v>
      </c>
      <c r="E402" s="35" t="s">
        <v>966</v>
      </c>
      <c r="F402" s="36" t="s">
        <v>1359</v>
      </c>
      <c r="G402" s="36" t="s">
        <v>1420</v>
      </c>
      <c r="H402" s="36" t="s">
        <v>1421</v>
      </c>
      <c r="I402" s="36" t="s">
        <v>1421</v>
      </c>
      <c r="J402" s="36" t="s">
        <v>1421</v>
      </c>
      <c r="K402" s="36">
        <v>400</v>
      </c>
      <c r="L402" s="36" t="s">
        <v>1422</v>
      </c>
      <c r="M402" s="49">
        <v>4</v>
      </c>
      <c r="N402" s="37" t="s">
        <v>1817</v>
      </c>
      <c r="O402" s="37"/>
      <c r="P402" s="36">
        <v>1</v>
      </c>
      <c r="Q402" s="36" t="s">
        <v>1962</v>
      </c>
      <c r="R402" s="36" t="s">
        <v>2302</v>
      </c>
      <c r="S402" s="36" t="s">
        <v>1880</v>
      </c>
      <c r="T402" s="36" t="s">
        <v>1881</v>
      </c>
      <c r="U402" s="38">
        <v>45670</v>
      </c>
      <c r="V402" s="39">
        <v>906074</v>
      </c>
      <c r="W402" s="39" t="s">
        <v>2363</v>
      </c>
      <c r="X402" s="39" t="s">
        <v>2363</v>
      </c>
      <c r="Y402" s="40">
        <f t="shared" si="123"/>
        <v>45303.7</v>
      </c>
      <c r="Z402" s="40">
        <f t="shared" si="124"/>
        <v>951377.7</v>
      </c>
      <c r="AA402" s="41" t="str">
        <f t="shared" si="125"/>
        <v>0.0022</v>
      </c>
      <c r="AB402" s="41">
        <f t="shared" si="126"/>
        <v>0</v>
      </c>
      <c r="AC402" s="41">
        <f t="shared" si="127"/>
        <v>0</v>
      </c>
      <c r="AD402" s="41">
        <f t="shared" si="128"/>
        <v>0</v>
      </c>
      <c r="AE402" s="41">
        <f t="shared" si="129"/>
        <v>0</v>
      </c>
      <c r="AF402" s="41">
        <f t="shared" si="130"/>
        <v>0</v>
      </c>
      <c r="AG402" s="41">
        <f t="shared" si="131"/>
        <v>0</v>
      </c>
      <c r="AH402" s="41">
        <f t="shared" si="132"/>
        <v>0</v>
      </c>
      <c r="AI402" s="41">
        <f t="shared" si="133"/>
        <v>0</v>
      </c>
      <c r="AJ402" s="41">
        <f t="shared" si="134"/>
        <v>352</v>
      </c>
      <c r="AK402" s="41">
        <f t="shared" si="135"/>
        <v>181</v>
      </c>
      <c r="AL402" s="42">
        <f t="shared" si="136"/>
        <v>5.4612679452054795</v>
      </c>
      <c r="AM402" s="42">
        <f t="shared" si="137"/>
        <v>988.48949808219174</v>
      </c>
      <c r="AN402" s="43">
        <f t="shared" si="122"/>
        <v>860770.3</v>
      </c>
      <c r="AO402" s="43"/>
      <c r="AP402" s="42">
        <f t="shared" si="138"/>
        <v>90607.399999999907</v>
      </c>
      <c r="AQ402" s="43">
        <v>6</v>
      </c>
      <c r="AR402" s="44">
        <f t="shared" si="139"/>
        <v>0.90476190476190488</v>
      </c>
      <c r="AS402" s="45">
        <f t="shared" si="140"/>
        <v>2265.1849999999999</v>
      </c>
      <c r="AU402" s="1">
        <v>815466.60000000009</v>
      </c>
      <c r="AV402" s="50">
        <v>45303.7</v>
      </c>
    </row>
    <row r="403" spans="1:48" s="1" customFormat="1" ht="37.200000000000003" thickTop="1" thickBot="1" x14ac:dyDescent="0.55000000000000004">
      <c r="A403" s="33">
        <v>396</v>
      </c>
      <c r="B403" s="34" t="s">
        <v>450</v>
      </c>
      <c r="C403" s="34" t="s">
        <v>965</v>
      </c>
      <c r="D403" s="35" t="s">
        <v>905</v>
      </c>
      <c r="E403" s="35" t="s">
        <v>966</v>
      </c>
      <c r="F403" s="36" t="s">
        <v>1360</v>
      </c>
      <c r="G403" s="36" t="s">
        <v>1420</v>
      </c>
      <c r="H403" s="36" t="s">
        <v>1421</v>
      </c>
      <c r="I403" s="36" t="s">
        <v>1421</v>
      </c>
      <c r="J403" s="36" t="s">
        <v>1421</v>
      </c>
      <c r="K403" s="36">
        <v>349.96</v>
      </c>
      <c r="L403" s="36" t="s">
        <v>1422</v>
      </c>
      <c r="M403" s="49">
        <v>4</v>
      </c>
      <c r="N403" s="37" t="s">
        <v>1818</v>
      </c>
      <c r="O403" s="37"/>
      <c r="P403" s="36">
        <v>1</v>
      </c>
      <c r="Q403" s="36" t="s">
        <v>1972</v>
      </c>
      <c r="R403" s="36" t="s">
        <v>2303</v>
      </c>
      <c r="S403" s="36" t="s">
        <v>1880</v>
      </c>
      <c r="T403" s="36" t="s">
        <v>1881</v>
      </c>
      <c r="U403" s="38">
        <v>45670</v>
      </c>
      <c r="V403" s="39">
        <v>585382.35</v>
      </c>
      <c r="W403" s="39" t="s">
        <v>2363</v>
      </c>
      <c r="X403" s="39" t="s">
        <v>2363</v>
      </c>
      <c r="Y403" s="40">
        <f t="shared" si="123"/>
        <v>29269.1175</v>
      </c>
      <c r="Z403" s="40">
        <f t="shared" si="124"/>
        <v>614651.46750000003</v>
      </c>
      <c r="AA403" s="41" t="str">
        <f t="shared" si="125"/>
        <v>0.0018</v>
      </c>
      <c r="AB403" s="41">
        <f t="shared" si="126"/>
        <v>0</v>
      </c>
      <c r="AC403" s="41">
        <f t="shared" si="127"/>
        <v>0</v>
      </c>
      <c r="AD403" s="41">
        <f t="shared" si="128"/>
        <v>0</v>
      </c>
      <c r="AE403" s="41">
        <f t="shared" si="129"/>
        <v>0</v>
      </c>
      <c r="AF403" s="41">
        <f t="shared" si="130"/>
        <v>0</v>
      </c>
      <c r="AG403" s="41">
        <f t="shared" si="131"/>
        <v>0</v>
      </c>
      <c r="AH403" s="41">
        <f t="shared" si="132"/>
        <v>0</v>
      </c>
      <c r="AI403" s="41">
        <f t="shared" si="133"/>
        <v>0</v>
      </c>
      <c r="AJ403" s="41">
        <f t="shared" si="134"/>
        <v>352</v>
      </c>
      <c r="AK403" s="41">
        <f t="shared" si="135"/>
        <v>181</v>
      </c>
      <c r="AL403" s="42">
        <f t="shared" si="136"/>
        <v>2.8868170684931505</v>
      </c>
      <c r="AM403" s="42">
        <f t="shared" si="137"/>
        <v>522.51388939726019</v>
      </c>
      <c r="AN403" s="43">
        <f t="shared" si="122"/>
        <v>556113.23</v>
      </c>
      <c r="AO403" s="43"/>
      <c r="AP403" s="42">
        <f t="shared" si="138"/>
        <v>58538.237500000047</v>
      </c>
      <c r="AQ403" s="43">
        <v>6</v>
      </c>
      <c r="AR403" s="44">
        <f t="shared" si="139"/>
        <v>0.90476190069455897</v>
      </c>
      <c r="AS403" s="45">
        <f t="shared" si="140"/>
        <v>1672.7121671048119</v>
      </c>
      <c r="AU403" s="1">
        <v>526844.11</v>
      </c>
      <c r="AV403" s="50">
        <v>29269.119999999999</v>
      </c>
    </row>
    <row r="404" spans="1:48" s="1" customFormat="1" ht="37.200000000000003" thickTop="1" thickBot="1" x14ac:dyDescent="0.55000000000000004">
      <c r="A404" s="33">
        <v>397</v>
      </c>
      <c r="B404" s="34" t="s">
        <v>451</v>
      </c>
      <c r="C404" s="34" t="s">
        <v>965</v>
      </c>
      <c r="D404" s="35" t="s">
        <v>906</v>
      </c>
      <c r="E404" s="35" t="s">
        <v>966</v>
      </c>
      <c r="F404" s="36" t="s">
        <v>1361</v>
      </c>
      <c r="G404" s="36" t="s">
        <v>1420</v>
      </c>
      <c r="H404" s="36" t="s">
        <v>1421</v>
      </c>
      <c r="I404" s="36" t="s">
        <v>1421</v>
      </c>
      <c r="J404" s="36" t="s">
        <v>1421</v>
      </c>
      <c r="K404" s="36">
        <v>350</v>
      </c>
      <c r="L404" s="36" t="s">
        <v>1422</v>
      </c>
      <c r="M404" s="49">
        <v>4</v>
      </c>
      <c r="N404" s="37" t="s">
        <v>1819</v>
      </c>
      <c r="O404" s="37"/>
      <c r="P404" s="36">
        <v>1</v>
      </c>
      <c r="Q404" s="36" t="s">
        <v>1939</v>
      </c>
      <c r="R404" s="36" t="s">
        <v>2304</v>
      </c>
      <c r="S404" s="36" t="s">
        <v>1880</v>
      </c>
      <c r="T404" s="36" t="s">
        <v>1901</v>
      </c>
      <c r="U404" s="38">
        <v>45670</v>
      </c>
      <c r="V404" s="39">
        <v>873874</v>
      </c>
      <c r="W404" s="39" t="s">
        <v>2363</v>
      </c>
      <c r="X404" s="39" t="s">
        <v>2363</v>
      </c>
      <c r="Y404" s="40">
        <f t="shared" si="123"/>
        <v>43693.7</v>
      </c>
      <c r="Z404" s="40">
        <f t="shared" si="124"/>
        <v>917567.7</v>
      </c>
      <c r="AA404" s="41" t="str">
        <f t="shared" si="125"/>
        <v>0.0022</v>
      </c>
      <c r="AB404" s="41">
        <f t="shared" si="126"/>
        <v>0</v>
      </c>
      <c r="AC404" s="41">
        <f t="shared" si="127"/>
        <v>0</v>
      </c>
      <c r="AD404" s="41">
        <f t="shared" si="128"/>
        <v>0</v>
      </c>
      <c r="AE404" s="41">
        <f t="shared" si="129"/>
        <v>0</v>
      </c>
      <c r="AF404" s="41">
        <f t="shared" si="130"/>
        <v>0</v>
      </c>
      <c r="AG404" s="41">
        <f t="shared" si="131"/>
        <v>0</v>
      </c>
      <c r="AH404" s="41">
        <f t="shared" si="132"/>
        <v>0</v>
      </c>
      <c r="AI404" s="41">
        <f t="shared" si="133"/>
        <v>0</v>
      </c>
      <c r="AJ404" s="41">
        <f t="shared" si="134"/>
        <v>352</v>
      </c>
      <c r="AK404" s="41">
        <f t="shared" si="135"/>
        <v>181</v>
      </c>
      <c r="AL404" s="42">
        <f t="shared" si="136"/>
        <v>5.2671857534246582</v>
      </c>
      <c r="AM404" s="42">
        <f t="shared" si="137"/>
        <v>953.36062136986311</v>
      </c>
      <c r="AN404" s="43">
        <f t="shared" si="122"/>
        <v>830180.3</v>
      </c>
      <c r="AO404" s="43"/>
      <c r="AP404" s="42">
        <f t="shared" si="138"/>
        <v>87387.399999999907</v>
      </c>
      <c r="AQ404" s="43">
        <v>6</v>
      </c>
      <c r="AR404" s="44">
        <f t="shared" si="139"/>
        <v>0.90476190476190488</v>
      </c>
      <c r="AS404" s="45">
        <f t="shared" si="140"/>
        <v>2496.7828571428572</v>
      </c>
      <c r="AU404" s="1">
        <v>655405.5</v>
      </c>
      <c r="AV404" s="50">
        <v>174774.8</v>
      </c>
    </row>
    <row r="405" spans="1:48" s="1" customFormat="1" ht="37.200000000000003" thickTop="1" thickBot="1" x14ac:dyDescent="0.55000000000000004">
      <c r="A405" s="33">
        <v>398</v>
      </c>
      <c r="B405" s="34" t="s">
        <v>452</v>
      </c>
      <c r="C405" s="34" t="s">
        <v>965</v>
      </c>
      <c r="D405" s="35" t="s">
        <v>907</v>
      </c>
      <c r="E405" s="35" t="s">
        <v>966</v>
      </c>
      <c r="F405" s="36" t="s">
        <v>1362</v>
      </c>
      <c r="G405" s="36" t="s">
        <v>1420</v>
      </c>
      <c r="H405" s="36" t="s">
        <v>1421</v>
      </c>
      <c r="I405" s="36" t="s">
        <v>1421</v>
      </c>
      <c r="J405" s="36" t="s">
        <v>1421</v>
      </c>
      <c r="K405" s="36">
        <v>362.5</v>
      </c>
      <c r="L405" s="36" t="s">
        <v>1422</v>
      </c>
      <c r="M405" s="49">
        <v>4</v>
      </c>
      <c r="N405" s="37" t="s">
        <v>1820</v>
      </c>
      <c r="O405" s="37"/>
      <c r="P405" s="36">
        <v>1</v>
      </c>
      <c r="Q405" s="36" t="s">
        <v>1964</v>
      </c>
      <c r="R405" s="36" t="s">
        <v>2305</v>
      </c>
      <c r="S405" s="36" t="s">
        <v>1880</v>
      </c>
      <c r="T405" s="36" t="s">
        <v>1881</v>
      </c>
      <c r="U405" s="38">
        <v>45670</v>
      </c>
      <c r="V405" s="39">
        <v>622794.80000000005</v>
      </c>
      <c r="W405" s="39" t="s">
        <v>2363</v>
      </c>
      <c r="X405" s="39" t="s">
        <v>2363</v>
      </c>
      <c r="Y405" s="40">
        <f t="shared" si="123"/>
        <v>31139.74</v>
      </c>
      <c r="Z405" s="40">
        <f t="shared" si="124"/>
        <v>653934.54</v>
      </c>
      <c r="AA405" s="41" t="str">
        <f t="shared" si="125"/>
        <v>0.0018</v>
      </c>
      <c r="AB405" s="41">
        <f t="shared" si="126"/>
        <v>0</v>
      </c>
      <c r="AC405" s="41">
        <f t="shared" si="127"/>
        <v>0</v>
      </c>
      <c r="AD405" s="41">
        <f t="shared" si="128"/>
        <v>0</v>
      </c>
      <c r="AE405" s="41">
        <f t="shared" si="129"/>
        <v>0</v>
      </c>
      <c r="AF405" s="41">
        <f t="shared" si="130"/>
        <v>0</v>
      </c>
      <c r="AG405" s="41">
        <f t="shared" si="131"/>
        <v>0</v>
      </c>
      <c r="AH405" s="41">
        <f t="shared" si="132"/>
        <v>0</v>
      </c>
      <c r="AI405" s="41">
        <f t="shared" si="133"/>
        <v>0</v>
      </c>
      <c r="AJ405" s="41">
        <f t="shared" si="134"/>
        <v>352</v>
      </c>
      <c r="AK405" s="41">
        <f t="shared" si="135"/>
        <v>181</v>
      </c>
      <c r="AL405" s="42">
        <f t="shared" si="136"/>
        <v>3.071316821917808</v>
      </c>
      <c r="AM405" s="42">
        <f t="shared" si="137"/>
        <v>555.90834476712325</v>
      </c>
      <c r="AN405" s="43">
        <f t="shared" si="122"/>
        <v>591655.06000000006</v>
      </c>
      <c r="AO405" s="43"/>
      <c r="AP405" s="42">
        <f t="shared" si="138"/>
        <v>62279.479999999981</v>
      </c>
      <c r="AQ405" s="43">
        <v>6</v>
      </c>
      <c r="AR405" s="44">
        <f t="shared" si="139"/>
        <v>0.90476190476190477</v>
      </c>
      <c r="AS405" s="45">
        <f t="shared" si="140"/>
        <v>1718.0546206896554</v>
      </c>
      <c r="AU405" s="1">
        <v>560515.32000000007</v>
      </c>
      <c r="AV405" s="50">
        <v>31139.74</v>
      </c>
    </row>
    <row r="406" spans="1:48" s="1" customFormat="1" ht="37.200000000000003" thickTop="1" thickBot="1" x14ac:dyDescent="0.55000000000000004">
      <c r="A406" s="33">
        <v>399</v>
      </c>
      <c r="B406" s="34" t="s">
        <v>453</v>
      </c>
      <c r="C406" s="34" t="s">
        <v>965</v>
      </c>
      <c r="D406" s="35" t="s">
        <v>908</v>
      </c>
      <c r="E406" s="35" t="s">
        <v>966</v>
      </c>
      <c r="F406" s="36" t="s">
        <v>1363</v>
      </c>
      <c r="G406" s="36" t="s">
        <v>1420</v>
      </c>
      <c r="H406" s="36" t="s">
        <v>1421</v>
      </c>
      <c r="I406" s="36" t="s">
        <v>1421</v>
      </c>
      <c r="J406" s="36" t="s">
        <v>1421</v>
      </c>
      <c r="K406" s="36">
        <v>362.5</v>
      </c>
      <c r="L406" s="36" t="s">
        <v>1422</v>
      </c>
      <c r="M406" s="49">
        <v>4</v>
      </c>
      <c r="N406" s="37" t="s">
        <v>1821</v>
      </c>
      <c r="O406" s="37"/>
      <c r="P406" s="36">
        <v>1</v>
      </c>
      <c r="Q406" s="36" t="s">
        <v>1941</v>
      </c>
      <c r="R406" s="36" t="s">
        <v>2306</v>
      </c>
      <c r="S406" s="36" t="s">
        <v>1880</v>
      </c>
      <c r="T406" s="36" t="s">
        <v>1881</v>
      </c>
      <c r="U406" s="38">
        <v>45671</v>
      </c>
      <c r="V406" s="39">
        <v>622796</v>
      </c>
      <c r="W406" s="39" t="s">
        <v>2363</v>
      </c>
      <c r="X406" s="39" t="s">
        <v>2363</v>
      </c>
      <c r="Y406" s="40">
        <f t="shared" si="123"/>
        <v>31139.8</v>
      </c>
      <c r="Z406" s="40">
        <f t="shared" si="124"/>
        <v>653935.80000000005</v>
      </c>
      <c r="AA406" s="41" t="str">
        <f t="shared" si="125"/>
        <v>0.0018</v>
      </c>
      <c r="AB406" s="41">
        <f t="shared" si="126"/>
        <v>0</v>
      </c>
      <c r="AC406" s="41">
        <f t="shared" si="127"/>
        <v>0</v>
      </c>
      <c r="AD406" s="41">
        <f t="shared" si="128"/>
        <v>0</v>
      </c>
      <c r="AE406" s="41">
        <f t="shared" si="129"/>
        <v>0</v>
      </c>
      <c r="AF406" s="41">
        <f t="shared" si="130"/>
        <v>0</v>
      </c>
      <c r="AG406" s="41">
        <f t="shared" si="131"/>
        <v>0</v>
      </c>
      <c r="AH406" s="41">
        <f t="shared" si="132"/>
        <v>0</v>
      </c>
      <c r="AI406" s="41">
        <f t="shared" si="133"/>
        <v>0</v>
      </c>
      <c r="AJ406" s="41">
        <f t="shared" si="134"/>
        <v>351</v>
      </c>
      <c r="AK406" s="41">
        <f t="shared" si="135"/>
        <v>181</v>
      </c>
      <c r="AL406" s="42">
        <f t="shared" si="136"/>
        <v>3.0713227397260274</v>
      </c>
      <c r="AM406" s="42">
        <f t="shared" si="137"/>
        <v>555.90941589041097</v>
      </c>
      <c r="AN406" s="43">
        <f t="shared" si="122"/>
        <v>560516.4</v>
      </c>
      <c r="AO406" s="43"/>
      <c r="AP406" s="42">
        <f t="shared" si="138"/>
        <v>93419.400000000023</v>
      </c>
      <c r="AQ406" s="43">
        <v>5</v>
      </c>
      <c r="AR406" s="44">
        <f t="shared" si="139"/>
        <v>0.8571428571428571</v>
      </c>
      <c r="AS406" s="45">
        <f t="shared" si="140"/>
        <v>1718.0579310344829</v>
      </c>
      <c r="AU406" s="1">
        <v>467097</v>
      </c>
      <c r="AV406" s="50">
        <v>93419.4</v>
      </c>
    </row>
    <row r="407" spans="1:48" s="1" customFormat="1" ht="37.200000000000003" thickTop="1" thickBot="1" x14ac:dyDescent="0.55000000000000004">
      <c r="A407" s="33">
        <v>400</v>
      </c>
      <c r="B407" s="34" t="s">
        <v>454</v>
      </c>
      <c r="C407" s="34" t="s">
        <v>965</v>
      </c>
      <c r="D407" s="35" t="s">
        <v>909</v>
      </c>
      <c r="E407" s="35" t="s">
        <v>966</v>
      </c>
      <c r="F407" s="36" t="s">
        <v>1364</v>
      </c>
      <c r="G407" s="36" t="s">
        <v>1420</v>
      </c>
      <c r="H407" s="36" t="s">
        <v>1421</v>
      </c>
      <c r="I407" s="36" t="s">
        <v>1421</v>
      </c>
      <c r="J407" s="36" t="s">
        <v>1421</v>
      </c>
      <c r="K407" s="36">
        <v>349.82</v>
      </c>
      <c r="L407" s="36" t="s">
        <v>1422</v>
      </c>
      <c r="M407" s="49">
        <v>4</v>
      </c>
      <c r="N407" s="37" t="s">
        <v>1822</v>
      </c>
      <c r="O407" s="37"/>
      <c r="P407" s="36">
        <v>1</v>
      </c>
      <c r="Q407" s="36" t="s">
        <v>1972</v>
      </c>
      <c r="R407" s="36" t="s">
        <v>2307</v>
      </c>
      <c r="S407" s="36" t="s">
        <v>1880</v>
      </c>
      <c r="T407" s="36" t="s">
        <v>1881</v>
      </c>
      <c r="U407" s="38">
        <v>45671</v>
      </c>
      <c r="V407" s="39">
        <v>623954.86</v>
      </c>
      <c r="W407" s="39" t="s">
        <v>2363</v>
      </c>
      <c r="X407" s="39" t="s">
        <v>2363</v>
      </c>
      <c r="Y407" s="40">
        <f t="shared" si="123"/>
        <v>31197.742999999999</v>
      </c>
      <c r="Z407" s="40">
        <f t="shared" si="124"/>
        <v>655152.603</v>
      </c>
      <c r="AA407" s="41" t="str">
        <f t="shared" si="125"/>
        <v>0.0018</v>
      </c>
      <c r="AB407" s="41">
        <f t="shared" si="126"/>
        <v>0</v>
      </c>
      <c r="AC407" s="41">
        <f t="shared" si="127"/>
        <v>0</v>
      </c>
      <c r="AD407" s="41">
        <f t="shared" si="128"/>
        <v>0</v>
      </c>
      <c r="AE407" s="41">
        <f t="shared" si="129"/>
        <v>0</v>
      </c>
      <c r="AF407" s="41">
        <f t="shared" si="130"/>
        <v>0</v>
      </c>
      <c r="AG407" s="41">
        <f t="shared" si="131"/>
        <v>0</v>
      </c>
      <c r="AH407" s="41">
        <f t="shared" si="132"/>
        <v>0</v>
      </c>
      <c r="AI407" s="41">
        <f t="shared" si="133"/>
        <v>0</v>
      </c>
      <c r="AJ407" s="41">
        <f t="shared" si="134"/>
        <v>351</v>
      </c>
      <c r="AK407" s="41">
        <f t="shared" si="135"/>
        <v>181</v>
      </c>
      <c r="AL407" s="42">
        <f t="shared" si="136"/>
        <v>3.0770376657534242</v>
      </c>
      <c r="AM407" s="42">
        <f t="shared" si="137"/>
        <v>556.94381750136972</v>
      </c>
      <c r="AN407" s="43">
        <f t="shared" si="122"/>
        <v>592757.12</v>
      </c>
      <c r="AO407" s="43"/>
      <c r="AP407" s="42">
        <f t="shared" si="138"/>
        <v>62395.483000000007</v>
      </c>
      <c r="AQ407" s="43">
        <v>6</v>
      </c>
      <c r="AR407" s="44">
        <f t="shared" si="139"/>
        <v>0.90476190934099054</v>
      </c>
      <c r="AS407" s="45">
        <f t="shared" si="140"/>
        <v>1783.6454748156195</v>
      </c>
      <c r="AU407" s="1">
        <v>561559.37</v>
      </c>
      <c r="AV407" s="50">
        <v>31197.75</v>
      </c>
    </row>
    <row r="408" spans="1:48" s="1" customFormat="1" ht="37.200000000000003" thickTop="1" thickBot="1" x14ac:dyDescent="0.55000000000000004">
      <c r="A408" s="33">
        <v>401</v>
      </c>
      <c r="B408" s="34" t="s">
        <v>455</v>
      </c>
      <c r="C408" s="34" t="s">
        <v>965</v>
      </c>
      <c r="D408" s="35" t="s">
        <v>910</v>
      </c>
      <c r="E408" s="35" t="s">
        <v>966</v>
      </c>
      <c r="F408" s="36" t="s">
        <v>1365</v>
      </c>
      <c r="G408" s="36" t="s">
        <v>1420</v>
      </c>
      <c r="H408" s="36" t="s">
        <v>1421</v>
      </c>
      <c r="I408" s="36" t="s">
        <v>1421</v>
      </c>
      <c r="J408" s="36" t="s">
        <v>1421</v>
      </c>
      <c r="K408" s="36">
        <v>350</v>
      </c>
      <c r="L408" s="36" t="s">
        <v>1422</v>
      </c>
      <c r="M408" s="49">
        <v>4</v>
      </c>
      <c r="N408" s="37" t="s">
        <v>1823</v>
      </c>
      <c r="O408" s="37"/>
      <c r="P408" s="36">
        <v>1</v>
      </c>
      <c r="Q408" s="36" t="s">
        <v>2039</v>
      </c>
      <c r="R408" s="36" t="s">
        <v>2308</v>
      </c>
      <c r="S408" s="36" t="s">
        <v>1880</v>
      </c>
      <c r="T408" s="36" t="s">
        <v>1881</v>
      </c>
      <c r="U408" s="38">
        <v>45671</v>
      </c>
      <c r="V408" s="39">
        <v>882294.4</v>
      </c>
      <c r="W408" s="39" t="s">
        <v>2363</v>
      </c>
      <c r="X408" s="39" t="s">
        <v>2363</v>
      </c>
      <c r="Y408" s="40">
        <f t="shared" si="123"/>
        <v>44114.720000000001</v>
      </c>
      <c r="Z408" s="40">
        <f t="shared" si="124"/>
        <v>926409.12</v>
      </c>
      <c r="AA408" s="41" t="str">
        <f t="shared" si="125"/>
        <v>0.0022</v>
      </c>
      <c r="AB408" s="41">
        <f t="shared" si="126"/>
        <v>0</v>
      </c>
      <c r="AC408" s="41">
        <f t="shared" si="127"/>
        <v>0</v>
      </c>
      <c r="AD408" s="41">
        <f t="shared" si="128"/>
        <v>0</v>
      </c>
      <c r="AE408" s="41">
        <f t="shared" si="129"/>
        <v>0</v>
      </c>
      <c r="AF408" s="41">
        <f t="shared" si="130"/>
        <v>0</v>
      </c>
      <c r="AG408" s="41">
        <f t="shared" si="131"/>
        <v>0</v>
      </c>
      <c r="AH408" s="41">
        <f t="shared" si="132"/>
        <v>0</v>
      </c>
      <c r="AI408" s="41">
        <f t="shared" si="133"/>
        <v>0</v>
      </c>
      <c r="AJ408" s="41">
        <f t="shared" si="134"/>
        <v>351</v>
      </c>
      <c r="AK408" s="41">
        <f t="shared" si="135"/>
        <v>181</v>
      </c>
      <c r="AL408" s="42">
        <f t="shared" si="136"/>
        <v>5.3179388493150688</v>
      </c>
      <c r="AM408" s="42">
        <f t="shared" si="137"/>
        <v>962.54693172602742</v>
      </c>
      <c r="AN408" s="43">
        <f t="shared" si="122"/>
        <v>794064.96000000008</v>
      </c>
      <c r="AO408" s="43"/>
      <c r="AP408" s="42">
        <f t="shared" si="138"/>
        <v>132344.15999999992</v>
      </c>
      <c r="AQ408" s="43">
        <v>5</v>
      </c>
      <c r="AR408" s="44">
        <f t="shared" si="139"/>
        <v>0.85714285714285721</v>
      </c>
      <c r="AS408" s="45">
        <f t="shared" si="140"/>
        <v>2520.841142857143</v>
      </c>
      <c r="AU408" s="1">
        <v>794064.96000000008</v>
      </c>
      <c r="AV408" s="50">
        <v>0</v>
      </c>
    </row>
    <row r="409" spans="1:48" s="1" customFormat="1" ht="37.200000000000003" thickTop="1" thickBot="1" x14ac:dyDescent="0.55000000000000004">
      <c r="A409" s="33">
        <v>402</v>
      </c>
      <c r="B409" s="34" t="s">
        <v>456</v>
      </c>
      <c r="C409" s="34" t="s">
        <v>965</v>
      </c>
      <c r="D409" s="35" t="s">
        <v>911</v>
      </c>
      <c r="E409" s="35" t="s">
        <v>966</v>
      </c>
      <c r="F409" s="36" t="s">
        <v>1366</v>
      </c>
      <c r="G409" s="36" t="s">
        <v>1420</v>
      </c>
      <c r="H409" s="36" t="s">
        <v>1421</v>
      </c>
      <c r="I409" s="36" t="s">
        <v>1421</v>
      </c>
      <c r="J409" s="36" t="s">
        <v>1421</v>
      </c>
      <c r="K409" s="36">
        <v>362.5</v>
      </c>
      <c r="L409" s="36" t="s">
        <v>1422</v>
      </c>
      <c r="M409" s="49">
        <v>4</v>
      </c>
      <c r="N409" s="37" t="s">
        <v>1824</v>
      </c>
      <c r="O409" s="37"/>
      <c r="P409" s="36">
        <v>1</v>
      </c>
      <c r="Q409" s="36" t="s">
        <v>1941</v>
      </c>
      <c r="R409" s="36" t="s">
        <v>2309</v>
      </c>
      <c r="S409" s="36" t="s">
        <v>1880</v>
      </c>
      <c r="T409" s="36" t="s">
        <v>1883</v>
      </c>
      <c r="U409" s="38">
        <v>45671</v>
      </c>
      <c r="V409" s="39">
        <v>622796</v>
      </c>
      <c r="W409" s="39" t="s">
        <v>2363</v>
      </c>
      <c r="X409" s="39" t="s">
        <v>2363</v>
      </c>
      <c r="Y409" s="40">
        <f t="shared" si="123"/>
        <v>31139.8</v>
      </c>
      <c r="Z409" s="40">
        <f t="shared" si="124"/>
        <v>653935.80000000005</v>
      </c>
      <c r="AA409" s="41" t="str">
        <f t="shared" si="125"/>
        <v>0.0018</v>
      </c>
      <c r="AB409" s="41">
        <f t="shared" si="126"/>
        <v>0</v>
      </c>
      <c r="AC409" s="41">
        <f t="shared" si="127"/>
        <v>0</v>
      </c>
      <c r="AD409" s="41">
        <f t="shared" si="128"/>
        <v>0</v>
      </c>
      <c r="AE409" s="41">
        <f t="shared" si="129"/>
        <v>0</v>
      </c>
      <c r="AF409" s="41">
        <f t="shared" si="130"/>
        <v>0</v>
      </c>
      <c r="AG409" s="41">
        <f t="shared" si="131"/>
        <v>0</v>
      </c>
      <c r="AH409" s="41">
        <f t="shared" si="132"/>
        <v>0</v>
      </c>
      <c r="AI409" s="41">
        <f t="shared" si="133"/>
        <v>0</v>
      </c>
      <c r="AJ409" s="41">
        <f t="shared" si="134"/>
        <v>351</v>
      </c>
      <c r="AK409" s="41">
        <f t="shared" si="135"/>
        <v>181</v>
      </c>
      <c r="AL409" s="42">
        <f t="shared" si="136"/>
        <v>3.0713227397260274</v>
      </c>
      <c r="AM409" s="42">
        <f t="shared" si="137"/>
        <v>555.90941589041097</v>
      </c>
      <c r="AN409" s="43">
        <f t="shared" si="122"/>
        <v>529376.6</v>
      </c>
      <c r="AO409" s="43"/>
      <c r="AP409" s="42">
        <f t="shared" si="138"/>
        <v>124559.20000000007</v>
      </c>
      <c r="AQ409" s="43">
        <v>5</v>
      </c>
      <c r="AR409" s="44">
        <f t="shared" si="139"/>
        <v>0.80952380952380942</v>
      </c>
      <c r="AS409" s="45">
        <f t="shared" si="140"/>
        <v>1718.0579310344829</v>
      </c>
      <c r="AU409" s="1">
        <v>435957.2</v>
      </c>
      <c r="AV409" s="50">
        <v>93419.4</v>
      </c>
    </row>
    <row r="410" spans="1:48" s="1" customFormat="1" ht="37.200000000000003" thickTop="1" thickBot="1" x14ac:dyDescent="0.55000000000000004">
      <c r="A410" s="33">
        <v>403</v>
      </c>
      <c r="B410" s="34" t="s">
        <v>457</v>
      </c>
      <c r="C410" s="34" t="s">
        <v>965</v>
      </c>
      <c r="D410" s="35" t="s">
        <v>912</v>
      </c>
      <c r="E410" s="35" t="s">
        <v>966</v>
      </c>
      <c r="F410" s="36" t="s">
        <v>1367</v>
      </c>
      <c r="G410" s="36" t="s">
        <v>1420</v>
      </c>
      <c r="H410" s="36" t="s">
        <v>1421</v>
      </c>
      <c r="I410" s="36" t="s">
        <v>1421</v>
      </c>
      <c r="J410" s="36" t="s">
        <v>1421</v>
      </c>
      <c r="K410" s="36">
        <v>375</v>
      </c>
      <c r="L410" s="36" t="s">
        <v>1422</v>
      </c>
      <c r="M410" s="49">
        <v>4</v>
      </c>
      <c r="N410" s="37" t="s">
        <v>1825</v>
      </c>
      <c r="O410" s="37"/>
      <c r="P410" s="36">
        <v>1</v>
      </c>
      <c r="Q410" s="36" t="s">
        <v>1956</v>
      </c>
      <c r="R410" s="36" t="s">
        <v>2310</v>
      </c>
      <c r="S410" s="36" t="s">
        <v>1880</v>
      </c>
      <c r="T410" s="36" t="s">
        <v>2184</v>
      </c>
      <c r="U410" s="38">
        <v>45672</v>
      </c>
      <c r="V410" s="39">
        <v>554203</v>
      </c>
      <c r="W410" s="39" t="s">
        <v>2363</v>
      </c>
      <c r="X410" s="39" t="s">
        <v>2363</v>
      </c>
      <c r="Y410" s="40">
        <f t="shared" si="123"/>
        <v>27710.15</v>
      </c>
      <c r="Z410" s="40">
        <f t="shared" si="124"/>
        <v>581913.15</v>
      </c>
      <c r="AA410" s="41" t="str">
        <f t="shared" si="125"/>
        <v>0.0018</v>
      </c>
      <c r="AB410" s="41">
        <f t="shared" si="126"/>
        <v>0</v>
      </c>
      <c r="AC410" s="41">
        <f t="shared" si="127"/>
        <v>0</v>
      </c>
      <c r="AD410" s="41">
        <f t="shared" si="128"/>
        <v>0</v>
      </c>
      <c r="AE410" s="41">
        <f t="shared" si="129"/>
        <v>0</v>
      </c>
      <c r="AF410" s="41">
        <f t="shared" si="130"/>
        <v>0</v>
      </c>
      <c r="AG410" s="41">
        <f t="shared" si="131"/>
        <v>0</v>
      </c>
      <c r="AH410" s="41">
        <f t="shared" si="132"/>
        <v>0</v>
      </c>
      <c r="AI410" s="41">
        <f t="shared" si="133"/>
        <v>0</v>
      </c>
      <c r="AJ410" s="41">
        <f t="shared" si="134"/>
        <v>350</v>
      </c>
      <c r="AK410" s="41">
        <f t="shared" si="135"/>
        <v>181</v>
      </c>
      <c r="AL410" s="42">
        <f t="shared" si="136"/>
        <v>2.733055890410959</v>
      </c>
      <c r="AM410" s="42">
        <f t="shared" si="137"/>
        <v>494.68311616438359</v>
      </c>
      <c r="AN410" s="43">
        <f t="shared" si="122"/>
        <v>526492.85000000009</v>
      </c>
      <c r="AO410" s="43"/>
      <c r="AP410" s="42">
        <f t="shared" si="138"/>
        <v>55420.29999999993</v>
      </c>
      <c r="AQ410" s="43">
        <v>6</v>
      </c>
      <c r="AR410" s="44">
        <f t="shared" si="139"/>
        <v>0.90476190476190488</v>
      </c>
      <c r="AS410" s="45">
        <f t="shared" si="140"/>
        <v>1477.8746666666666</v>
      </c>
      <c r="AU410" s="1">
        <v>332521.80000000005</v>
      </c>
      <c r="AV410" s="50">
        <v>193971.05</v>
      </c>
    </row>
    <row r="411" spans="1:48" s="1" customFormat="1" ht="37.200000000000003" thickTop="1" thickBot="1" x14ac:dyDescent="0.55000000000000004">
      <c r="A411" s="33">
        <v>404</v>
      </c>
      <c r="B411" s="34" t="s">
        <v>458</v>
      </c>
      <c r="C411" s="34" t="s">
        <v>965</v>
      </c>
      <c r="D411" s="35" t="s">
        <v>913</v>
      </c>
      <c r="E411" s="35" t="s">
        <v>966</v>
      </c>
      <c r="F411" s="36" t="s">
        <v>1368</v>
      </c>
      <c r="G411" s="36" t="s">
        <v>1420</v>
      </c>
      <c r="H411" s="36" t="s">
        <v>1421</v>
      </c>
      <c r="I411" s="36" t="s">
        <v>1421</v>
      </c>
      <c r="J411" s="36" t="s">
        <v>1421</v>
      </c>
      <c r="K411" s="36">
        <v>375</v>
      </c>
      <c r="L411" s="36" t="s">
        <v>1422</v>
      </c>
      <c r="M411" s="49">
        <v>4</v>
      </c>
      <c r="N411" s="37" t="s">
        <v>1826</v>
      </c>
      <c r="O411" s="37"/>
      <c r="P411" s="36">
        <v>1</v>
      </c>
      <c r="Q411" s="36" t="s">
        <v>2032</v>
      </c>
      <c r="R411" s="36" t="s">
        <v>2311</v>
      </c>
      <c r="S411" s="36" t="s">
        <v>1880</v>
      </c>
      <c r="T411" s="36" t="s">
        <v>1881</v>
      </c>
      <c r="U411" s="38">
        <v>45672</v>
      </c>
      <c r="V411" s="39">
        <v>627543.6</v>
      </c>
      <c r="W411" s="39" t="s">
        <v>2363</v>
      </c>
      <c r="X411" s="39" t="s">
        <v>2363</v>
      </c>
      <c r="Y411" s="40">
        <f t="shared" si="123"/>
        <v>31377.18</v>
      </c>
      <c r="Z411" s="40">
        <f t="shared" si="124"/>
        <v>658920.78</v>
      </c>
      <c r="AA411" s="41" t="str">
        <f t="shared" si="125"/>
        <v>0.0018</v>
      </c>
      <c r="AB411" s="41">
        <f t="shared" si="126"/>
        <v>0</v>
      </c>
      <c r="AC411" s="41">
        <f t="shared" si="127"/>
        <v>0</v>
      </c>
      <c r="AD411" s="41">
        <f t="shared" si="128"/>
        <v>0</v>
      </c>
      <c r="AE411" s="41">
        <f t="shared" si="129"/>
        <v>0</v>
      </c>
      <c r="AF411" s="41">
        <f t="shared" si="130"/>
        <v>0</v>
      </c>
      <c r="AG411" s="41">
        <f t="shared" si="131"/>
        <v>0</v>
      </c>
      <c r="AH411" s="41">
        <f t="shared" si="132"/>
        <v>0</v>
      </c>
      <c r="AI411" s="41">
        <f t="shared" si="133"/>
        <v>0</v>
      </c>
      <c r="AJ411" s="41">
        <f t="shared" si="134"/>
        <v>350</v>
      </c>
      <c r="AK411" s="41">
        <f t="shared" si="135"/>
        <v>181</v>
      </c>
      <c r="AL411" s="42">
        <f t="shared" si="136"/>
        <v>3.0947355616438355</v>
      </c>
      <c r="AM411" s="42">
        <f t="shared" si="137"/>
        <v>560.14713665753425</v>
      </c>
      <c r="AN411" s="43">
        <f t="shared" si="122"/>
        <v>564789.24</v>
      </c>
      <c r="AO411" s="43"/>
      <c r="AP411" s="42">
        <f t="shared" si="138"/>
        <v>94131.540000000037</v>
      </c>
      <c r="AQ411" s="43">
        <v>5</v>
      </c>
      <c r="AR411" s="44">
        <f t="shared" si="139"/>
        <v>0.8571428571428571</v>
      </c>
      <c r="AS411" s="45">
        <f t="shared" si="140"/>
        <v>1673.4495999999999</v>
      </c>
      <c r="AU411" s="1">
        <v>564789.24</v>
      </c>
      <c r="AV411" s="50">
        <v>0</v>
      </c>
    </row>
    <row r="412" spans="1:48" s="1" customFormat="1" ht="37.200000000000003" thickTop="1" thickBot="1" x14ac:dyDescent="0.55000000000000004">
      <c r="A412" s="33">
        <v>405</v>
      </c>
      <c r="B412" s="34" t="s">
        <v>459</v>
      </c>
      <c r="C412" s="34" t="s">
        <v>965</v>
      </c>
      <c r="D412" s="35" t="s">
        <v>914</v>
      </c>
      <c r="E412" s="35" t="s">
        <v>966</v>
      </c>
      <c r="F412" s="36" t="s">
        <v>1369</v>
      </c>
      <c r="G412" s="36" t="s">
        <v>1420</v>
      </c>
      <c r="H412" s="36" t="s">
        <v>1421</v>
      </c>
      <c r="I412" s="36" t="s">
        <v>1421</v>
      </c>
      <c r="J412" s="36" t="s">
        <v>1421</v>
      </c>
      <c r="K412" s="36">
        <v>362.5</v>
      </c>
      <c r="L412" s="36" t="s">
        <v>1422</v>
      </c>
      <c r="M412" s="49">
        <v>4</v>
      </c>
      <c r="N412" s="37" t="s">
        <v>1827</v>
      </c>
      <c r="O412" s="37"/>
      <c r="P412" s="36">
        <v>1</v>
      </c>
      <c r="Q412" s="36" t="s">
        <v>1941</v>
      </c>
      <c r="R412" s="36" t="s">
        <v>2312</v>
      </c>
      <c r="S412" s="36" t="s">
        <v>1880</v>
      </c>
      <c r="T412" s="36" t="s">
        <v>1881</v>
      </c>
      <c r="U412" s="38">
        <v>45672</v>
      </c>
      <c r="V412" s="39">
        <v>622796</v>
      </c>
      <c r="W412" s="39" t="s">
        <v>2363</v>
      </c>
      <c r="X412" s="39" t="s">
        <v>2363</v>
      </c>
      <c r="Y412" s="40">
        <f t="shared" si="123"/>
        <v>31139.8</v>
      </c>
      <c r="Z412" s="40">
        <f t="shared" si="124"/>
        <v>653935.80000000005</v>
      </c>
      <c r="AA412" s="41" t="str">
        <f t="shared" si="125"/>
        <v>0.0018</v>
      </c>
      <c r="AB412" s="41">
        <f t="shared" si="126"/>
        <v>0</v>
      </c>
      <c r="AC412" s="41">
        <f t="shared" si="127"/>
        <v>0</v>
      </c>
      <c r="AD412" s="41">
        <f t="shared" si="128"/>
        <v>0</v>
      </c>
      <c r="AE412" s="41">
        <f t="shared" si="129"/>
        <v>0</v>
      </c>
      <c r="AF412" s="41">
        <f t="shared" si="130"/>
        <v>0</v>
      </c>
      <c r="AG412" s="41">
        <f t="shared" si="131"/>
        <v>0</v>
      </c>
      <c r="AH412" s="41">
        <f t="shared" si="132"/>
        <v>0</v>
      </c>
      <c r="AI412" s="41">
        <f t="shared" si="133"/>
        <v>0</v>
      </c>
      <c r="AJ412" s="41">
        <f t="shared" si="134"/>
        <v>350</v>
      </c>
      <c r="AK412" s="41">
        <f t="shared" si="135"/>
        <v>181</v>
      </c>
      <c r="AL412" s="42">
        <f t="shared" si="136"/>
        <v>3.0713227397260274</v>
      </c>
      <c r="AM412" s="42">
        <f t="shared" si="137"/>
        <v>555.90941589041097</v>
      </c>
      <c r="AN412" s="43">
        <f t="shared" si="122"/>
        <v>560516.4</v>
      </c>
      <c r="AO412" s="43"/>
      <c r="AP412" s="42">
        <f t="shared" si="138"/>
        <v>93419.400000000023</v>
      </c>
      <c r="AQ412" s="43">
        <v>5</v>
      </c>
      <c r="AR412" s="44">
        <f t="shared" si="139"/>
        <v>0.8571428571428571</v>
      </c>
      <c r="AS412" s="45">
        <f t="shared" si="140"/>
        <v>1718.0579310344829</v>
      </c>
      <c r="AU412" s="1">
        <v>467097</v>
      </c>
      <c r="AV412" s="50">
        <v>93419.4</v>
      </c>
    </row>
    <row r="413" spans="1:48" s="1" customFormat="1" ht="37.200000000000003" thickTop="1" thickBot="1" x14ac:dyDescent="0.55000000000000004">
      <c r="A413" s="33">
        <v>406</v>
      </c>
      <c r="B413" s="34" t="s">
        <v>460</v>
      </c>
      <c r="C413" s="34" t="s">
        <v>965</v>
      </c>
      <c r="D413" s="35" t="s">
        <v>915</v>
      </c>
      <c r="E413" s="35" t="s">
        <v>966</v>
      </c>
      <c r="F413" s="36" t="s">
        <v>1370</v>
      </c>
      <c r="G413" s="36" t="s">
        <v>1420</v>
      </c>
      <c r="H413" s="36" t="s">
        <v>1421</v>
      </c>
      <c r="I413" s="36" t="s">
        <v>1421</v>
      </c>
      <c r="J413" s="36" t="s">
        <v>1421</v>
      </c>
      <c r="K413" s="36">
        <v>375</v>
      </c>
      <c r="L413" s="36" t="s">
        <v>1422</v>
      </c>
      <c r="M413" s="49">
        <v>4</v>
      </c>
      <c r="N413" s="37" t="s">
        <v>1828</v>
      </c>
      <c r="O413" s="37"/>
      <c r="P413" s="36">
        <v>1</v>
      </c>
      <c r="Q413" s="36" t="s">
        <v>2032</v>
      </c>
      <c r="R413" s="36" t="s">
        <v>2313</v>
      </c>
      <c r="S413" s="36" t="s">
        <v>1880</v>
      </c>
      <c r="T413" s="36" t="s">
        <v>1881</v>
      </c>
      <c r="U413" s="38">
        <v>45672</v>
      </c>
      <c r="V413" s="39">
        <v>627543.6</v>
      </c>
      <c r="W413" s="39" t="s">
        <v>2363</v>
      </c>
      <c r="X413" s="39" t="s">
        <v>2363</v>
      </c>
      <c r="Y413" s="40">
        <f t="shared" si="123"/>
        <v>31377.18</v>
      </c>
      <c r="Z413" s="40">
        <f t="shared" si="124"/>
        <v>658920.78</v>
      </c>
      <c r="AA413" s="41" t="str">
        <f t="shared" si="125"/>
        <v>0.0018</v>
      </c>
      <c r="AB413" s="41">
        <f t="shared" si="126"/>
        <v>0</v>
      </c>
      <c r="AC413" s="41">
        <f t="shared" si="127"/>
        <v>0</v>
      </c>
      <c r="AD413" s="41">
        <f t="shared" si="128"/>
        <v>0</v>
      </c>
      <c r="AE413" s="41">
        <f t="shared" si="129"/>
        <v>0</v>
      </c>
      <c r="AF413" s="41">
        <f t="shared" si="130"/>
        <v>0</v>
      </c>
      <c r="AG413" s="41">
        <f t="shared" si="131"/>
        <v>0</v>
      </c>
      <c r="AH413" s="41">
        <f t="shared" si="132"/>
        <v>0</v>
      </c>
      <c r="AI413" s="41">
        <f t="shared" si="133"/>
        <v>0</v>
      </c>
      <c r="AJ413" s="41">
        <f t="shared" si="134"/>
        <v>350</v>
      </c>
      <c r="AK413" s="41">
        <f t="shared" si="135"/>
        <v>181</v>
      </c>
      <c r="AL413" s="42">
        <f t="shared" si="136"/>
        <v>3.0947355616438355</v>
      </c>
      <c r="AM413" s="42">
        <f t="shared" si="137"/>
        <v>560.14713665753425</v>
      </c>
      <c r="AN413" s="43">
        <f t="shared" si="122"/>
        <v>564789.24</v>
      </c>
      <c r="AO413" s="43"/>
      <c r="AP413" s="42">
        <f t="shared" si="138"/>
        <v>94131.540000000037</v>
      </c>
      <c r="AQ413" s="43">
        <v>5</v>
      </c>
      <c r="AR413" s="44">
        <f t="shared" si="139"/>
        <v>0.8571428571428571</v>
      </c>
      <c r="AS413" s="45">
        <f t="shared" si="140"/>
        <v>1673.4495999999999</v>
      </c>
      <c r="AU413" s="1">
        <v>564789.24</v>
      </c>
      <c r="AV413" s="50">
        <v>0</v>
      </c>
    </row>
    <row r="414" spans="1:48" s="1" customFormat="1" ht="37.200000000000003" thickTop="1" thickBot="1" x14ac:dyDescent="0.55000000000000004">
      <c r="A414" s="33">
        <v>407</v>
      </c>
      <c r="B414" s="34" t="s">
        <v>461</v>
      </c>
      <c r="C414" s="34" t="s">
        <v>965</v>
      </c>
      <c r="D414" s="35" t="s">
        <v>916</v>
      </c>
      <c r="E414" s="35" t="s">
        <v>966</v>
      </c>
      <c r="F414" s="36" t="s">
        <v>1371</v>
      </c>
      <c r="G414" s="36" t="s">
        <v>1420</v>
      </c>
      <c r="H414" s="36" t="s">
        <v>1421</v>
      </c>
      <c r="I414" s="36" t="s">
        <v>1421</v>
      </c>
      <c r="J414" s="36" t="s">
        <v>1421</v>
      </c>
      <c r="K414" s="36">
        <v>362.5</v>
      </c>
      <c r="L414" s="36" t="s">
        <v>1422</v>
      </c>
      <c r="M414" s="49">
        <v>4</v>
      </c>
      <c r="N414" s="37" t="s">
        <v>1829</v>
      </c>
      <c r="O414" s="37"/>
      <c r="P414" s="36">
        <v>1</v>
      </c>
      <c r="Q414" s="36" t="s">
        <v>1941</v>
      </c>
      <c r="R414" s="36" t="s">
        <v>2314</v>
      </c>
      <c r="S414" s="36" t="s">
        <v>1880</v>
      </c>
      <c r="T414" s="36" t="s">
        <v>1881</v>
      </c>
      <c r="U414" s="38">
        <v>45672</v>
      </c>
      <c r="V414" s="39">
        <v>622796</v>
      </c>
      <c r="W414" s="39" t="s">
        <v>2363</v>
      </c>
      <c r="X414" s="39" t="s">
        <v>2363</v>
      </c>
      <c r="Y414" s="40">
        <f t="shared" si="123"/>
        <v>31139.8</v>
      </c>
      <c r="Z414" s="40">
        <f t="shared" si="124"/>
        <v>653935.80000000005</v>
      </c>
      <c r="AA414" s="41" t="str">
        <f t="shared" si="125"/>
        <v>0.0018</v>
      </c>
      <c r="AB414" s="41">
        <f t="shared" si="126"/>
        <v>0</v>
      </c>
      <c r="AC414" s="41">
        <f t="shared" si="127"/>
        <v>0</v>
      </c>
      <c r="AD414" s="41">
        <f t="shared" si="128"/>
        <v>0</v>
      </c>
      <c r="AE414" s="41">
        <f t="shared" si="129"/>
        <v>0</v>
      </c>
      <c r="AF414" s="41">
        <f t="shared" si="130"/>
        <v>0</v>
      </c>
      <c r="AG414" s="41">
        <f t="shared" si="131"/>
        <v>0</v>
      </c>
      <c r="AH414" s="41">
        <f t="shared" si="132"/>
        <v>0</v>
      </c>
      <c r="AI414" s="41">
        <f t="shared" si="133"/>
        <v>0</v>
      </c>
      <c r="AJ414" s="41">
        <f t="shared" si="134"/>
        <v>350</v>
      </c>
      <c r="AK414" s="41">
        <f t="shared" si="135"/>
        <v>181</v>
      </c>
      <c r="AL414" s="42">
        <f t="shared" si="136"/>
        <v>3.0713227397260274</v>
      </c>
      <c r="AM414" s="42">
        <f t="shared" si="137"/>
        <v>555.90941589041097</v>
      </c>
      <c r="AN414" s="43">
        <f t="shared" si="122"/>
        <v>560516.4</v>
      </c>
      <c r="AO414" s="43"/>
      <c r="AP414" s="42">
        <f t="shared" si="138"/>
        <v>93419.400000000023</v>
      </c>
      <c r="AQ414" s="43">
        <v>5</v>
      </c>
      <c r="AR414" s="44">
        <f t="shared" si="139"/>
        <v>0.8571428571428571</v>
      </c>
      <c r="AS414" s="45">
        <f t="shared" si="140"/>
        <v>1718.0579310344829</v>
      </c>
      <c r="AU414" s="1">
        <v>467097</v>
      </c>
      <c r="AV414" s="50">
        <v>93419.4</v>
      </c>
    </row>
    <row r="415" spans="1:48" s="1" customFormat="1" ht="37.200000000000003" thickTop="1" thickBot="1" x14ac:dyDescent="0.55000000000000004">
      <c r="A415" s="33">
        <v>408</v>
      </c>
      <c r="B415" s="34" t="s">
        <v>462</v>
      </c>
      <c r="C415" s="34" t="s">
        <v>965</v>
      </c>
      <c r="D415" s="35" t="s">
        <v>917</v>
      </c>
      <c r="E415" s="35" t="s">
        <v>966</v>
      </c>
      <c r="F415" s="36" t="s">
        <v>1372</v>
      </c>
      <c r="G415" s="36" t="s">
        <v>1420</v>
      </c>
      <c r="H415" s="36" t="s">
        <v>1421</v>
      </c>
      <c r="I415" s="36" t="s">
        <v>1421</v>
      </c>
      <c r="J415" s="36" t="s">
        <v>1421</v>
      </c>
      <c r="K415" s="36">
        <v>350</v>
      </c>
      <c r="L415" s="36" t="s">
        <v>1422</v>
      </c>
      <c r="M415" s="49">
        <v>4</v>
      </c>
      <c r="N415" s="37" t="s">
        <v>1830</v>
      </c>
      <c r="O415" s="37"/>
      <c r="P415" s="36">
        <v>1</v>
      </c>
      <c r="Q415" s="36" t="s">
        <v>1915</v>
      </c>
      <c r="R415" s="36" t="s">
        <v>2315</v>
      </c>
      <c r="S415" s="36" t="s">
        <v>1880</v>
      </c>
      <c r="T415" s="36" t="s">
        <v>1881</v>
      </c>
      <c r="U415" s="38">
        <v>45673</v>
      </c>
      <c r="V415" s="39">
        <v>882294.4</v>
      </c>
      <c r="W415" s="39" t="s">
        <v>2363</v>
      </c>
      <c r="X415" s="39" t="s">
        <v>2363</v>
      </c>
      <c r="Y415" s="40">
        <f t="shared" si="123"/>
        <v>44114.720000000001</v>
      </c>
      <c r="Z415" s="40">
        <f t="shared" si="124"/>
        <v>926409.12</v>
      </c>
      <c r="AA415" s="41" t="str">
        <f t="shared" si="125"/>
        <v>0.0022</v>
      </c>
      <c r="AB415" s="41">
        <f t="shared" si="126"/>
        <v>0</v>
      </c>
      <c r="AC415" s="41">
        <f t="shared" si="127"/>
        <v>0</v>
      </c>
      <c r="AD415" s="41">
        <f t="shared" si="128"/>
        <v>0</v>
      </c>
      <c r="AE415" s="41">
        <f t="shared" si="129"/>
        <v>0</v>
      </c>
      <c r="AF415" s="41">
        <f t="shared" si="130"/>
        <v>0</v>
      </c>
      <c r="AG415" s="41">
        <f t="shared" si="131"/>
        <v>0</v>
      </c>
      <c r="AH415" s="41">
        <f t="shared" si="132"/>
        <v>0</v>
      </c>
      <c r="AI415" s="41">
        <f t="shared" si="133"/>
        <v>0</v>
      </c>
      <c r="AJ415" s="41">
        <f t="shared" si="134"/>
        <v>349</v>
      </c>
      <c r="AK415" s="41">
        <f t="shared" si="135"/>
        <v>181</v>
      </c>
      <c r="AL415" s="42">
        <f t="shared" si="136"/>
        <v>5.3179388493150688</v>
      </c>
      <c r="AM415" s="42">
        <f t="shared" si="137"/>
        <v>962.54693172602742</v>
      </c>
      <c r="AN415" s="43">
        <f t="shared" si="122"/>
        <v>838179.68</v>
      </c>
      <c r="AO415" s="43"/>
      <c r="AP415" s="42">
        <f t="shared" si="138"/>
        <v>88229.439999999944</v>
      </c>
      <c r="AQ415" s="43">
        <v>6</v>
      </c>
      <c r="AR415" s="44">
        <f t="shared" si="139"/>
        <v>0.90476190476190477</v>
      </c>
      <c r="AS415" s="45">
        <f t="shared" si="140"/>
        <v>2520.841142857143</v>
      </c>
      <c r="AU415" s="1">
        <v>794064.96000000008</v>
      </c>
      <c r="AV415" s="50">
        <v>44114.720000000001</v>
      </c>
    </row>
    <row r="416" spans="1:48" s="1" customFormat="1" ht="37.200000000000003" thickTop="1" thickBot="1" x14ac:dyDescent="0.55000000000000004">
      <c r="A416" s="33">
        <v>409</v>
      </c>
      <c r="B416" s="34" t="s">
        <v>463</v>
      </c>
      <c r="C416" s="34" t="s">
        <v>965</v>
      </c>
      <c r="D416" s="35" t="s">
        <v>918</v>
      </c>
      <c r="E416" s="35" t="s">
        <v>966</v>
      </c>
      <c r="F416" s="36" t="s">
        <v>1373</v>
      </c>
      <c r="G416" s="36" t="s">
        <v>1420</v>
      </c>
      <c r="H416" s="36" t="s">
        <v>1421</v>
      </c>
      <c r="I416" s="36" t="s">
        <v>1421</v>
      </c>
      <c r="J416" s="36" t="s">
        <v>1421</v>
      </c>
      <c r="K416" s="36">
        <v>350</v>
      </c>
      <c r="L416" s="36" t="s">
        <v>1422</v>
      </c>
      <c r="M416" s="49">
        <v>4</v>
      </c>
      <c r="N416" s="37" t="s">
        <v>1831</v>
      </c>
      <c r="O416" s="37"/>
      <c r="P416" s="36">
        <v>1</v>
      </c>
      <c r="Q416" s="36" t="s">
        <v>1995</v>
      </c>
      <c r="R416" s="36" t="s">
        <v>2316</v>
      </c>
      <c r="S416" s="36" t="s">
        <v>1880</v>
      </c>
      <c r="T416" s="36" t="s">
        <v>1881</v>
      </c>
      <c r="U416" s="38">
        <v>45676</v>
      </c>
      <c r="V416" s="39">
        <v>715976</v>
      </c>
      <c r="W416" s="39" t="s">
        <v>2363</v>
      </c>
      <c r="X416" s="39" t="s">
        <v>2363</v>
      </c>
      <c r="Y416" s="40">
        <f t="shared" si="123"/>
        <v>35798.800000000003</v>
      </c>
      <c r="Z416" s="40">
        <f t="shared" si="124"/>
        <v>751774.8</v>
      </c>
      <c r="AA416" s="41" t="str">
        <f t="shared" si="125"/>
        <v>0.0022</v>
      </c>
      <c r="AB416" s="41">
        <f t="shared" si="126"/>
        <v>0</v>
      </c>
      <c r="AC416" s="41">
        <f t="shared" si="127"/>
        <v>0</v>
      </c>
      <c r="AD416" s="41">
        <f t="shared" si="128"/>
        <v>0</v>
      </c>
      <c r="AE416" s="41">
        <f t="shared" si="129"/>
        <v>0</v>
      </c>
      <c r="AF416" s="41">
        <f t="shared" si="130"/>
        <v>0</v>
      </c>
      <c r="AG416" s="41">
        <f t="shared" si="131"/>
        <v>0</v>
      </c>
      <c r="AH416" s="41">
        <f t="shared" si="132"/>
        <v>0</v>
      </c>
      <c r="AI416" s="41">
        <f t="shared" si="133"/>
        <v>0</v>
      </c>
      <c r="AJ416" s="41">
        <f t="shared" si="134"/>
        <v>346</v>
      </c>
      <c r="AK416" s="41">
        <f t="shared" si="135"/>
        <v>181</v>
      </c>
      <c r="AL416" s="42">
        <f t="shared" si="136"/>
        <v>4.3154717808219178</v>
      </c>
      <c r="AM416" s="42">
        <f t="shared" si="137"/>
        <v>781.10039232876716</v>
      </c>
      <c r="AN416" s="43">
        <f t="shared" si="122"/>
        <v>680177.20000000007</v>
      </c>
      <c r="AO416" s="43"/>
      <c r="AP416" s="42">
        <f t="shared" si="138"/>
        <v>71597.599999999977</v>
      </c>
      <c r="AQ416" s="43">
        <v>6</v>
      </c>
      <c r="AR416" s="44">
        <f t="shared" si="139"/>
        <v>0.90476190476190477</v>
      </c>
      <c r="AS416" s="45">
        <f t="shared" si="140"/>
        <v>2045.6457142857143</v>
      </c>
      <c r="AU416" s="1">
        <v>644378.4</v>
      </c>
      <c r="AV416" s="50">
        <v>35798.800000000003</v>
      </c>
    </row>
    <row r="417" spans="1:48" s="1" customFormat="1" ht="37.200000000000003" thickTop="1" thickBot="1" x14ac:dyDescent="0.55000000000000004">
      <c r="A417" s="33">
        <v>410</v>
      </c>
      <c r="B417" s="34" t="s">
        <v>464</v>
      </c>
      <c r="C417" s="34" t="s">
        <v>965</v>
      </c>
      <c r="D417" s="35" t="s">
        <v>919</v>
      </c>
      <c r="E417" s="35" t="s">
        <v>966</v>
      </c>
      <c r="F417" s="36" t="s">
        <v>1374</v>
      </c>
      <c r="G417" s="36" t="s">
        <v>1420</v>
      </c>
      <c r="H417" s="36" t="s">
        <v>1421</v>
      </c>
      <c r="I417" s="36" t="s">
        <v>1421</v>
      </c>
      <c r="J417" s="36" t="s">
        <v>1421</v>
      </c>
      <c r="K417" s="36">
        <v>375</v>
      </c>
      <c r="L417" s="36" t="s">
        <v>1422</v>
      </c>
      <c r="M417" s="49">
        <v>4</v>
      </c>
      <c r="N417" s="37" t="s">
        <v>1832</v>
      </c>
      <c r="O417" s="37"/>
      <c r="P417" s="36">
        <v>1</v>
      </c>
      <c r="Q417" s="36" t="s">
        <v>1929</v>
      </c>
      <c r="R417" s="36" t="s">
        <v>2317</v>
      </c>
      <c r="S417" s="36" t="s">
        <v>1880</v>
      </c>
      <c r="T417" s="36" t="s">
        <v>1881</v>
      </c>
      <c r="U417" s="38">
        <v>45676</v>
      </c>
      <c r="V417" s="39">
        <v>807297.92</v>
      </c>
      <c r="W417" s="39" t="s">
        <v>2363</v>
      </c>
      <c r="X417" s="39" t="s">
        <v>2363</v>
      </c>
      <c r="Y417" s="40">
        <f t="shared" si="123"/>
        <v>40364.896000000001</v>
      </c>
      <c r="Z417" s="40">
        <f t="shared" si="124"/>
        <v>847662.81599999999</v>
      </c>
      <c r="AA417" s="41" t="str">
        <f t="shared" si="125"/>
        <v>0.0022</v>
      </c>
      <c r="AB417" s="41">
        <f t="shared" si="126"/>
        <v>0</v>
      </c>
      <c r="AC417" s="41">
        <f t="shared" si="127"/>
        <v>0</v>
      </c>
      <c r="AD417" s="41">
        <f t="shared" si="128"/>
        <v>0</v>
      </c>
      <c r="AE417" s="41">
        <f t="shared" si="129"/>
        <v>0</v>
      </c>
      <c r="AF417" s="41">
        <f t="shared" si="130"/>
        <v>0</v>
      </c>
      <c r="AG417" s="41">
        <f t="shared" si="131"/>
        <v>0</v>
      </c>
      <c r="AH417" s="41">
        <f t="shared" si="132"/>
        <v>0</v>
      </c>
      <c r="AI417" s="41">
        <f t="shared" si="133"/>
        <v>0</v>
      </c>
      <c r="AJ417" s="41">
        <f t="shared" si="134"/>
        <v>346</v>
      </c>
      <c r="AK417" s="41">
        <f t="shared" si="135"/>
        <v>181</v>
      </c>
      <c r="AL417" s="42">
        <f t="shared" si="136"/>
        <v>4.8659052712328767</v>
      </c>
      <c r="AM417" s="42">
        <f t="shared" si="137"/>
        <v>880.72885409315074</v>
      </c>
      <c r="AN417" s="43">
        <f t="shared" si="122"/>
        <v>766933.02</v>
      </c>
      <c r="AO417" s="43"/>
      <c r="AP417" s="42">
        <f t="shared" si="138"/>
        <v>80729.795999999973</v>
      </c>
      <c r="AQ417" s="43">
        <v>6</v>
      </c>
      <c r="AR417" s="44">
        <f t="shared" si="139"/>
        <v>0.90476190004304735</v>
      </c>
      <c r="AS417" s="45">
        <f t="shared" si="140"/>
        <v>2152.7944533333334</v>
      </c>
      <c r="AU417" s="1">
        <v>726568.12</v>
      </c>
      <c r="AV417" s="50">
        <v>40364.9</v>
      </c>
    </row>
    <row r="418" spans="1:48" s="1" customFormat="1" ht="37.200000000000003" thickTop="1" thickBot="1" x14ac:dyDescent="0.55000000000000004">
      <c r="A418" s="33">
        <v>411</v>
      </c>
      <c r="B418" s="34" t="s">
        <v>465</v>
      </c>
      <c r="C418" s="34" t="s">
        <v>965</v>
      </c>
      <c r="D418" s="35" t="s">
        <v>920</v>
      </c>
      <c r="E418" s="35" t="s">
        <v>966</v>
      </c>
      <c r="F418" s="36" t="s">
        <v>1375</v>
      </c>
      <c r="G418" s="36" t="s">
        <v>1420</v>
      </c>
      <c r="H418" s="36" t="s">
        <v>1421</v>
      </c>
      <c r="I418" s="36" t="s">
        <v>1421</v>
      </c>
      <c r="J418" s="36" t="s">
        <v>1421</v>
      </c>
      <c r="K418" s="36">
        <v>375</v>
      </c>
      <c r="L418" s="36" t="s">
        <v>1422</v>
      </c>
      <c r="M418" s="49">
        <v>4</v>
      </c>
      <c r="N418" s="37" t="s">
        <v>1833</v>
      </c>
      <c r="O418" s="37"/>
      <c r="P418" s="36">
        <v>1</v>
      </c>
      <c r="Q418" s="36" t="s">
        <v>2032</v>
      </c>
      <c r="R418" s="36" t="s">
        <v>2318</v>
      </c>
      <c r="S418" s="36" t="s">
        <v>1880</v>
      </c>
      <c r="T418" s="36" t="s">
        <v>1883</v>
      </c>
      <c r="U418" s="38">
        <v>45676</v>
      </c>
      <c r="V418" s="39">
        <v>627543.6</v>
      </c>
      <c r="W418" s="39" t="s">
        <v>2363</v>
      </c>
      <c r="X418" s="39" t="s">
        <v>2363</v>
      </c>
      <c r="Y418" s="40">
        <f t="shared" si="123"/>
        <v>31377.18</v>
      </c>
      <c r="Z418" s="40">
        <f t="shared" si="124"/>
        <v>658920.78</v>
      </c>
      <c r="AA418" s="41" t="str">
        <f t="shared" si="125"/>
        <v>0.0018</v>
      </c>
      <c r="AB418" s="41">
        <f t="shared" si="126"/>
        <v>0</v>
      </c>
      <c r="AC418" s="41">
        <f t="shared" si="127"/>
        <v>0</v>
      </c>
      <c r="AD418" s="41">
        <f t="shared" si="128"/>
        <v>0</v>
      </c>
      <c r="AE418" s="41">
        <f t="shared" si="129"/>
        <v>0</v>
      </c>
      <c r="AF418" s="41">
        <f t="shared" si="130"/>
        <v>0</v>
      </c>
      <c r="AG418" s="41">
        <f t="shared" si="131"/>
        <v>0</v>
      </c>
      <c r="AH418" s="41">
        <f t="shared" si="132"/>
        <v>0</v>
      </c>
      <c r="AI418" s="41">
        <f t="shared" si="133"/>
        <v>0</v>
      </c>
      <c r="AJ418" s="41">
        <f t="shared" si="134"/>
        <v>346</v>
      </c>
      <c r="AK418" s="41">
        <f t="shared" si="135"/>
        <v>181</v>
      </c>
      <c r="AL418" s="42">
        <f t="shared" si="136"/>
        <v>3.0947355616438355</v>
      </c>
      <c r="AM418" s="42">
        <f t="shared" si="137"/>
        <v>560.14713665753425</v>
      </c>
      <c r="AN418" s="43">
        <f t="shared" si="122"/>
        <v>533412.19999999995</v>
      </c>
      <c r="AO418" s="43"/>
      <c r="AP418" s="42">
        <f t="shared" si="138"/>
        <v>125508.58000000007</v>
      </c>
      <c r="AQ418" s="43">
        <v>5</v>
      </c>
      <c r="AR418" s="44">
        <f t="shared" si="139"/>
        <v>0.80952402199244644</v>
      </c>
      <c r="AS418" s="45">
        <f t="shared" si="140"/>
        <v>1673.4495999999999</v>
      </c>
      <c r="AU418" s="1">
        <v>439280.6</v>
      </c>
      <c r="AV418" s="50">
        <v>94131.6</v>
      </c>
    </row>
    <row r="419" spans="1:48" s="1" customFormat="1" ht="37.200000000000003" thickTop="1" thickBot="1" x14ac:dyDescent="0.55000000000000004">
      <c r="A419" s="33">
        <v>412</v>
      </c>
      <c r="B419" s="34" t="s">
        <v>466</v>
      </c>
      <c r="C419" s="34" t="s">
        <v>965</v>
      </c>
      <c r="D419" s="35" t="s">
        <v>921</v>
      </c>
      <c r="E419" s="35" t="s">
        <v>966</v>
      </c>
      <c r="F419" s="36" t="s">
        <v>1376</v>
      </c>
      <c r="G419" s="36" t="s">
        <v>1420</v>
      </c>
      <c r="H419" s="36" t="s">
        <v>1421</v>
      </c>
      <c r="I419" s="36" t="s">
        <v>1421</v>
      </c>
      <c r="J419" s="36" t="s">
        <v>1421</v>
      </c>
      <c r="K419" s="36">
        <v>350</v>
      </c>
      <c r="L419" s="36" t="s">
        <v>1422</v>
      </c>
      <c r="M419" s="49">
        <v>4</v>
      </c>
      <c r="N419" s="37" t="s">
        <v>1834</v>
      </c>
      <c r="O419" s="37"/>
      <c r="P419" s="36">
        <v>1</v>
      </c>
      <c r="Q419" s="36" t="s">
        <v>1937</v>
      </c>
      <c r="R419" s="36" t="s">
        <v>2319</v>
      </c>
      <c r="S419" s="36" t="s">
        <v>1880</v>
      </c>
      <c r="T419" s="36" t="s">
        <v>1881</v>
      </c>
      <c r="U419" s="38">
        <v>45676</v>
      </c>
      <c r="V419" s="39">
        <v>624046</v>
      </c>
      <c r="W419" s="39" t="s">
        <v>2363</v>
      </c>
      <c r="X419" s="39" t="s">
        <v>2363</v>
      </c>
      <c r="Y419" s="40">
        <f t="shared" si="123"/>
        <v>31202.3</v>
      </c>
      <c r="Z419" s="40">
        <f t="shared" si="124"/>
        <v>655248.30000000005</v>
      </c>
      <c r="AA419" s="41" t="str">
        <f t="shared" si="125"/>
        <v>0.0018</v>
      </c>
      <c r="AB419" s="41">
        <f t="shared" si="126"/>
        <v>0</v>
      </c>
      <c r="AC419" s="41">
        <f t="shared" si="127"/>
        <v>0</v>
      </c>
      <c r="AD419" s="41">
        <f t="shared" si="128"/>
        <v>0</v>
      </c>
      <c r="AE419" s="41">
        <f t="shared" si="129"/>
        <v>0</v>
      </c>
      <c r="AF419" s="41">
        <f t="shared" si="130"/>
        <v>0</v>
      </c>
      <c r="AG419" s="41">
        <f t="shared" si="131"/>
        <v>0</v>
      </c>
      <c r="AH419" s="41">
        <f t="shared" si="132"/>
        <v>0</v>
      </c>
      <c r="AI419" s="41">
        <f t="shared" si="133"/>
        <v>0</v>
      </c>
      <c r="AJ419" s="41">
        <f t="shared" si="134"/>
        <v>346</v>
      </c>
      <c r="AK419" s="41">
        <f t="shared" si="135"/>
        <v>181</v>
      </c>
      <c r="AL419" s="42">
        <f t="shared" si="136"/>
        <v>3.0774871232876713</v>
      </c>
      <c r="AM419" s="42">
        <f t="shared" si="137"/>
        <v>557.02516931506852</v>
      </c>
      <c r="AN419" s="43">
        <f t="shared" si="122"/>
        <v>561641.4</v>
      </c>
      <c r="AO419" s="43"/>
      <c r="AP419" s="42">
        <f t="shared" si="138"/>
        <v>93606.900000000023</v>
      </c>
      <c r="AQ419" s="43">
        <v>5</v>
      </c>
      <c r="AR419" s="44">
        <f t="shared" si="139"/>
        <v>0.8571428571428571</v>
      </c>
      <c r="AS419" s="45">
        <f t="shared" si="140"/>
        <v>1782.9885714285715</v>
      </c>
      <c r="AU419" s="1">
        <v>468034.5</v>
      </c>
      <c r="AV419" s="50">
        <v>93606.9</v>
      </c>
    </row>
    <row r="420" spans="1:48" s="1" customFormat="1" ht="37.200000000000003" thickTop="1" thickBot="1" x14ac:dyDescent="0.55000000000000004">
      <c r="A420" s="33">
        <v>413</v>
      </c>
      <c r="B420" s="34" t="s">
        <v>467</v>
      </c>
      <c r="C420" s="34" t="s">
        <v>965</v>
      </c>
      <c r="D420" s="35" t="s">
        <v>922</v>
      </c>
      <c r="E420" s="35" t="s">
        <v>966</v>
      </c>
      <c r="F420" s="36" t="s">
        <v>1377</v>
      </c>
      <c r="G420" s="36" t="s">
        <v>1420</v>
      </c>
      <c r="H420" s="36" t="s">
        <v>1421</v>
      </c>
      <c r="I420" s="36" t="s">
        <v>1421</v>
      </c>
      <c r="J420" s="36" t="s">
        <v>1421</v>
      </c>
      <c r="K420" s="36">
        <v>375</v>
      </c>
      <c r="L420" s="36" t="s">
        <v>1422</v>
      </c>
      <c r="M420" s="49">
        <v>4</v>
      </c>
      <c r="N420" s="37" t="s">
        <v>1835</v>
      </c>
      <c r="O420" s="37"/>
      <c r="P420" s="36">
        <v>1</v>
      </c>
      <c r="Q420" s="36" t="s">
        <v>1935</v>
      </c>
      <c r="R420" s="36" t="s">
        <v>2320</v>
      </c>
      <c r="S420" s="36" t="s">
        <v>1880</v>
      </c>
      <c r="T420" s="36" t="s">
        <v>1881</v>
      </c>
      <c r="U420" s="38">
        <v>45676</v>
      </c>
      <c r="V420" s="39">
        <v>792068.8</v>
      </c>
      <c r="W420" s="39" t="s">
        <v>2363</v>
      </c>
      <c r="X420" s="39" t="s">
        <v>2363</v>
      </c>
      <c r="Y420" s="40">
        <f t="shared" si="123"/>
        <v>39603.440000000002</v>
      </c>
      <c r="Z420" s="40">
        <f t="shared" si="124"/>
        <v>831672.24</v>
      </c>
      <c r="AA420" s="41" t="str">
        <f t="shared" si="125"/>
        <v>0.0022</v>
      </c>
      <c r="AB420" s="41">
        <f t="shared" si="126"/>
        <v>0</v>
      </c>
      <c r="AC420" s="41">
        <f t="shared" si="127"/>
        <v>0</v>
      </c>
      <c r="AD420" s="41">
        <f t="shared" si="128"/>
        <v>0</v>
      </c>
      <c r="AE420" s="41">
        <f t="shared" si="129"/>
        <v>0</v>
      </c>
      <c r="AF420" s="41">
        <f t="shared" si="130"/>
        <v>0</v>
      </c>
      <c r="AG420" s="41">
        <f t="shared" si="131"/>
        <v>0</v>
      </c>
      <c r="AH420" s="41">
        <f t="shared" si="132"/>
        <v>0</v>
      </c>
      <c r="AI420" s="41">
        <f t="shared" si="133"/>
        <v>0</v>
      </c>
      <c r="AJ420" s="41">
        <f t="shared" si="134"/>
        <v>346</v>
      </c>
      <c r="AK420" s="41">
        <f t="shared" si="135"/>
        <v>181</v>
      </c>
      <c r="AL420" s="42">
        <f t="shared" si="136"/>
        <v>4.7741133150684938</v>
      </c>
      <c r="AM420" s="42">
        <f t="shared" si="137"/>
        <v>864.11451002739739</v>
      </c>
      <c r="AN420" s="43">
        <f t="shared" si="122"/>
        <v>712861.92000000016</v>
      </c>
      <c r="AO420" s="43"/>
      <c r="AP420" s="42">
        <f t="shared" si="138"/>
        <v>118810.31999999983</v>
      </c>
      <c r="AQ420" s="43">
        <v>5</v>
      </c>
      <c r="AR420" s="44">
        <f t="shared" si="139"/>
        <v>0.85714285714285732</v>
      </c>
      <c r="AS420" s="45">
        <f t="shared" si="140"/>
        <v>2112.1834666666668</v>
      </c>
      <c r="AU420" s="1">
        <v>594051.60000000009</v>
      </c>
      <c r="AV420" s="50">
        <v>118810.32</v>
      </c>
    </row>
    <row r="421" spans="1:48" s="1" customFormat="1" ht="37.200000000000003" thickTop="1" thickBot="1" x14ac:dyDescent="0.55000000000000004">
      <c r="A421" s="33">
        <v>414</v>
      </c>
      <c r="B421" s="34" t="s">
        <v>468</v>
      </c>
      <c r="C421" s="34" t="s">
        <v>965</v>
      </c>
      <c r="D421" s="35" t="s">
        <v>923</v>
      </c>
      <c r="E421" s="35" t="s">
        <v>966</v>
      </c>
      <c r="F421" s="36" t="s">
        <v>1378</v>
      </c>
      <c r="G421" s="36" t="s">
        <v>1420</v>
      </c>
      <c r="H421" s="36" t="s">
        <v>1421</v>
      </c>
      <c r="I421" s="36" t="s">
        <v>1421</v>
      </c>
      <c r="J421" s="36" t="s">
        <v>1421</v>
      </c>
      <c r="K421" s="36">
        <v>362.5</v>
      </c>
      <c r="L421" s="36" t="s">
        <v>1422</v>
      </c>
      <c r="M421" s="49">
        <v>4</v>
      </c>
      <c r="N421" s="37" t="s">
        <v>1836</v>
      </c>
      <c r="O421" s="37"/>
      <c r="P421" s="36">
        <v>1</v>
      </c>
      <c r="Q421" s="36" t="s">
        <v>1931</v>
      </c>
      <c r="R421" s="36" t="s">
        <v>2321</v>
      </c>
      <c r="S421" s="36" t="s">
        <v>1880</v>
      </c>
      <c r="T421" s="36" t="s">
        <v>1883</v>
      </c>
      <c r="U421" s="38">
        <v>45676</v>
      </c>
      <c r="V421" s="39">
        <v>888544.4</v>
      </c>
      <c r="W421" s="39" t="s">
        <v>2363</v>
      </c>
      <c r="X421" s="39" t="s">
        <v>2363</v>
      </c>
      <c r="Y421" s="40">
        <f t="shared" si="123"/>
        <v>44427.22</v>
      </c>
      <c r="Z421" s="40">
        <f t="shared" si="124"/>
        <v>932971.62</v>
      </c>
      <c r="AA421" s="41" t="str">
        <f t="shared" si="125"/>
        <v>0.0022</v>
      </c>
      <c r="AB421" s="41">
        <f t="shared" si="126"/>
        <v>0</v>
      </c>
      <c r="AC421" s="41">
        <f t="shared" si="127"/>
        <v>0</v>
      </c>
      <c r="AD421" s="41">
        <f t="shared" si="128"/>
        <v>0</v>
      </c>
      <c r="AE421" s="41">
        <f t="shared" si="129"/>
        <v>0</v>
      </c>
      <c r="AF421" s="41">
        <f t="shared" si="130"/>
        <v>0</v>
      </c>
      <c r="AG421" s="41">
        <f t="shared" si="131"/>
        <v>0</v>
      </c>
      <c r="AH421" s="41">
        <f t="shared" si="132"/>
        <v>0</v>
      </c>
      <c r="AI421" s="41">
        <f t="shared" si="133"/>
        <v>0</v>
      </c>
      <c r="AJ421" s="41">
        <f t="shared" si="134"/>
        <v>346</v>
      </c>
      <c r="AK421" s="41">
        <f t="shared" si="135"/>
        <v>181</v>
      </c>
      <c r="AL421" s="42">
        <f t="shared" si="136"/>
        <v>5.3556100821917809</v>
      </c>
      <c r="AM421" s="42">
        <f t="shared" si="137"/>
        <v>969.36542487671238</v>
      </c>
      <c r="AN421" s="43">
        <f t="shared" si="122"/>
        <v>621981</v>
      </c>
      <c r="AO421" s="43"/>
      <c r="AP421" s="42">
        <f t="shared" si="138"/>
        <v>310990.62</v>
      </c>
      <c r="AQ421" s="43">
        <v>4</v>
      </c>
      <c r="AR421" s="44">
        <f t="shared" si="139"/>
        <v>0.66666658091914954</v>
      </c>
      <c r="AS421" s="45">
        <f t="shared" si="140"/>
        <v>2451.1569655172416</v>
      </c>
      <c r="AU421" s="1">
        <v>621981</v>
      </c>
      <c r="AV421" s="50">
        <v>0</v>
      </c>
    </row>
    <row r="422" spans="1:48" s="1" customFormat="1" ht="37.200000000000003" thickTop="1" thickBot="1" x14ac:dyDescent="0.55000000000000004">
      <c r="A422" s="33">
        <v>415</v>
      </c>
      <c r="B422" s="34" t="s">
        <v>469</v>
      </c>
      <c r="C422" s="34" t="s">
        <v>965</v>
      </c>
      <c r="D422" s="35" t="s">
        <v>924</v>
      </c>
      <c r="E422" s="35" t="s">
        <v>966</v>
      </c>
      <c r="F422" s="36" t="s">
        <v>1379</v>
      </c>
      <c r="G422" s="36" t="s">
        <v>1420</v>
      </c>
      <c r="H422" s="36" t="s">
        <v>1421</v>
      </c>
      <c r="I422" s="36" t="s">
        <v>1421</v>
      </c>
      <c r="J422" s="36" t="s">
        <v>1421</v>
      </c>
      <c r="K422" s="36">
        <v>375</v>
      </c>
      <c r="L422" s="36" t="s">
        <v>1422</v>
      </c>
      <c r="M422" s="49">
        <v>4</v>
      </c>
      <c r="N422" s="37" t="s">
        <v>1837</v>
      </c>
      <c r="O422" s="37"/>
      <c r="P422" s="36">
        <v>1</v>
      </c>
      <c r="Q422" s="36" t="s">
        <v>1929</v>
      </c>
      <c r="R422" s="36" t="s">
        <v>2322</v>
      </c>
      <c r="S422" s="36" t="s">
        <v>1880</v>
      </c>
      <c r="T422" s="36" t="s">
        <v>1881</v>
      </c>
      <c r="U422" s="38">
        <v>45676</v>
      </c>
      <c r="V422" s="39">
        <v>795668.8</v>
      </c>
      <c r="W422" s="39" t="s">
        <v>2363</v>
      </c>
      <c r="X422" s="39" t="s">
        <v>2363</v>
      </c>
      <c r="Y422" s="40">
        <f t="shared" si="123"/>
        <v>39783.440000000002</v>
      </c>
      <c r="Z422" s="40">
        <f t="shared" si="124"/>
        <v>835452.24</v>
      </c>
      <c r="AA422" s="41" t="str">
        <f t="shared" si="125"/>
        <v>0.0022</v>
      </c>
      <c r="AB422" s="41">
        <f t="shared" si="126"/>
        <v>0</v>
      </c>
      <c r="AC422" s="41">
        <f t="shared" si="127"/>
        <v>0</v>
      </c>
      <c r="AD422" s="41">
        <f t="shared" si="128"/>
        <v>0</v>
      </c>
      <c r="AE422" s="41">
        <f t="shared" si="129"/>
        <v>0</v>
      </c>
      <c r="AF422" s="41">
        <f t="shared" si="130"/>
        <v>0</v>
      </c>
      <c r="AG422" s="41">
        <f t="shared" si="131"/>
        <v>0</v>
      </c>
      <c r="AH422" s="41">
        <f t="shared" si="132"/>
        <v>0</v>
      </c>
      <c r="AI422" s="41">
        <f t="shared" si="133"/>
        <v>0</v>
      </c>
      <c r="AJ422" s="41">
        <f t="shared" si="134"/>
        <v>346</v>
      </c>
      <c r="AK422" s="41">
        <f t="shared" si="135"/>
        <v>181</v>
      </c>
      <c r="AL422" s="42">
        <f t="shared" si="136"/>
        <v>4.7958119452054797</v>
      </c>
      <c r="AM422" s="42">
        <f t="shared" si="137"/>
        <v>868.04196208219184</v>
      </c>
      <c r="AN422" s="43">
        <f t="shared" si="122"/>
        <v>755885.3600000001</v>
      </c>
      <c r="AO422" s="43"/>
      <c r="AP422" s="42">
        <f t="shared" si="138"/>
        <v>79566.879999999888</v>
      </c>
      <c r="AQ422" s="43">
        <v>6</v>
      </c>
      <c r="AR422" s="44">
        <f t="shared" si="139"/>
        <v>0.90476190476190488</v>
      </c>
      <c r="AS422" s="45">
        <f t="shared" si="140"/>
        <v>2121.7834666666668</v>
      </c>
      <c r="AU422" s="1">
        <v>716101.92</v>
      </c>
      <c r="AV422" s="50">
        <v>39783.440000000002</v>
      </c>
    </row>
    <row r="423" spans="1:48" s="1" customFormat="1" ht="37.200000000000003" thickTop="1" thickBot="1" x14ac:dyDescent="0.55000000000000004">
      <c r="A423" s="33">
        <v>416</v>
      </c>
      <c r="B423" s="34" t="s">
        <v>470</v>
      </c>
      <c r="C423" s="34" t="s">
        <v>965</v>
      </c>
      <c r="D423" s="35" t="s">
        <v>925</v>
      </c>
      <c r="E423" s="35" t="s">
        <v>966</v>
      </c>
      <c r="F423" s="36" t="s">
        <v>1380</v>
      </c>
      <c r="G423" s="36" t="s">
        <v>1420</v>
      </c>
      <c r="H423" s="36" t="s">
        <v>1421</v>
      </c>
      <c r="I423" s="36" t="s">
        <v>1421</v>
      </c>
      <c r="J423" s="36" t="s">
        <v>1421</v>
      </c>
      <c r="K423" s="36">
        <v>350</v>
      </c>
      <c r="L423" s="36" t="s">
        <v>1422</v>
      </c>
      <c r="M423" s="49">
        <v>4</v>
      </c>
      <c r="N423" s="37" t="s">
        <v>1838</v>
      </c>
      <c r="O423" s="37"/>
      <c r="P423" s="36">
        <v>1</v>
      </c>
      <c r="Q423" s="36" t="s">
        <v>1931</v>
      </c>
      <c r="R423" s="36" t="s">
        <v>2323</v>
      </c>
      <c r="S423" s="36" t="s">
        <v>1880</v>
      </c>
      <c r="T423" s="36" t="s">
        <v>1881</v>
      </c>
      <c r="U423" s="38">
        <v>45679</v>
      </c>
      <c r="V423" s="39">
        <v>718768.8</v>
      </c>
      <c r="W423" s="39" t="s">
        <v>2363</v>
      </c>
      <c r="X423" s="39" t="s">
        <v>2363</v>
      </c>
      <c r="Y423" s="40">
        <f t="shared" si="123"/>
        <v>35938.44</v>
      </c>
      <c r="Z423" s="40">
        <f t="shared" si="124"/>
        <v>754707.24</v>
      </c>
      <c r="AA423" s="41" t="str">
        <f t="shared" si="125"/>
        <v>0.0022</v>
      </c>
      <c r="AB423" s="41">
        <f t="shared" si="126"/>
        <v>0</v>
      </c>
      <c r="AC423" s="41">
        <f t="shared" si="127"/>
        <v>0</v>
      </c>
      <c r="AD423" s="41">
        <f t="shared" si="128"/>
        <v>0</v>
      </c>
      <c r="AE423" s="41">
        <f t="shared" si="129"/>
        <v>0</v>
      </c>
      <c r="AF423" s="41">
        <f t="shared" si="130"/>
        <v>0</v>
      </c>
      <c r="AG423" s="41">
        <f t="shared" si="131"/>
        <v>0</v>
      </c>
      <c r="AH423" s="41">
        <f t="shared" si="132"/>
        <v>0</v>
      </c>
      <c r="AI423" s="41">
        <f t="shared" si="133"/>
        <v>0</v>
      </c>
      <c r="AJ423" s="41">
        <f t="shared" si="134"/>
        <v>343</v>
      </c>
      <c r="AK423" s="41">
        <f t="shared" si="135"/>
        <v>181</v>
      </c>
      <c r="AL423" s="42">
        <f t="shared" si="136"/>
        <v>4.332305095890411</v>
      </c>
      <c r="AM423" s="42">
        <f t="shared" si="137"/>
        <v>784.14722235616443</v>
      </c>
      <c r="AN423" s="43">
        <f t="shared" si="122"/>
        <v>646891.92000000016</v>
      </c>
      <c r="AO423" s="43"/>
      <c r="AP423" s="42">
        <f t="shared" si="138"/>
        <v>107815.31999999983</v>
      </c>
      <c r="AQ423" s="43">
        <v>5</v>
      </c>
      <c r="AR423" s="44">
        <f t="shared" si="139"/>
        <v>0.85714285714285732</v>
      </c>
      <c r="AS423" s="45">
        <f t="shared" si="140"/>
        <v>2053.6251428571431</v>
      </c>
      <c r="AU423" s="1">
        <v>539076.60000000009</v>
      </c>
      <c r="AV423" s="50">
        <v>107815.32</v>
      </c>
    </row>
    <row r="424" spans="1:48" s="1" customFormat="1" ht="37.200000000000003" thickTop="1" thickBot="1" x14ac:dyDescent="0.55000000000000004">
      <c r="A424" s="33">
        <v>417</v>
      </c>
      <c r="B424" s="34" t="s">
        <v>471</v>
      </c>
      <c r="C424" s="34" t="s">
        <v>965</v>
      </c>
      <c r="D424" s="35" t="s">
        <v>926</v>
      </c>
      <c r="E424" s="35" t="s">
        <v>966</v>
      </c>
      <c r="F424" s="36" t="s">
        <v>1381</v>
      </c>
      <c r="G424" s="36" t="s">
        <v>1420</v>
      </c>
      <c r="H424" s="36" t="s">
        <v>1421</v>
      </c>
      <c r="I424" s="36" t="s">
        <v>1421</v>
      </c>
      <c r="J424" s="36" t="s">
        <v>1421</v>
      </c>
      <c r="K424" s="36">
        <v>362.5</v>
      </c>
      <c r="L424" s="36" t="s">
        <v>1422</v>
      </c>
      <c r="M424" s="49">
        <v>4</v>
      </c>
      <c r="N424" s="37" t="s">
        <v>1839</v>
      </c>
      <c r="O424" s="37"/>
      <c r="P424" s="36">
        <v>1</v>
      </c>
      <c r="Q424" s="36" t="s">
        <v>1941</v>
      </c>
      <c r="R424" s="36" t="s">
        <v>2324</v>
      </c>
      <c r="S424" s="36" t="s">
        <v>1880</v>
      </c>
      <c r="T424" s="36" t="s">
        <v>1883</v>
      </c>
      <c r="U424" s="38">
        <v>45680</v>
      </c>
      <c r="V424" s="39">
        <v>622796</v>
      </c>
      <c r="W424" s="39" t="s">
        <v>2363</v>
      </c>
      <c r="X424" s="39" t="s">
        <v>2363</v>
      </c>
      <c r="Y424" s="40">
        <f t="shared" si="123"/>
        <v>31139.8</v>
      </c>
      <c r="Z424" s="40">
        <f t="shared" si="124"/>
        <v>653935.80000000005</v>
      </c>
      <c r="AA424" s="41" t="str">
        <f t="shared" si="125"/>
        <v>0.0018</v>
      </c>
      <c r="AB424" s="41">
        <f t="shared" si="126"/>
        <v>0</v>
      </c>
      <c r="AC424" s="41">
        <f t="shared" si="127"/>
        <v>0</v>
      </c>
      <c r="AD424" s="41">
        <f t="shared" si="128"/>
        <v>0</v>
      </c>
      <c r="AE424" s="41">
        <f t="shared" si="129"/>
        <v>0</v>
      </c>
      <c r="AF424" s="41">
        <f t="shared" si="130"/>
        <v>0</v>
      </c>
      <c r="AG424" s="41">
        <f t="shared" si="131"/>
        <v>0</v>
      </c>
      <c r="AH424" s="41">
        <f t="shared" si="132"/>
        <v>0</v>
      </c>
      <c r="AI424" s="41">
        <f t="shared" si="133"/>
        <v>0</v>
      </c>
      <c r="AJ424" s="41">
        <f t="shared" si="134"/>
        <v>342</v>
      </c>
      <c r="AK424" s="41">
        <f t="shared" si="135"/>
        <v>181</v>
      </c>
      <c r="AL424" s="42">
        <f t="shared" si="136"/>
        <v>3.0713227397260274</v>
      </c>
      <c r="AM424" s="42">
        <f t="shared" si="137"/>
        <v>555.90941589041097</v>
      </c>
      <c r="AN424" s="43">
        <f t="shared" si="122"/>
        <v>435957.2</v>
      </c>
      <c r="AO424" s="43"/>
      <c r="AP424" s="42">
        <f t="shared" si="138"/>
        <v>217978.60000000003</v>
      </c>
      <c r="AQ424" s="43">
        <v>4</v>
      </c>
      <c r="AR424" s="44">
        <f t="shared" si="139"/>
        <v>0.66666666666666663</v>
      </c>
      <c r="AS424" s="45">
        <f t="shared" si="140"/>
        <v>1718.0579310344829</v>
      </c>
      <c r="AU424" s="1">
        <v>435957.2</v>
      </c>
      <c r="AV424" s="50">
        <v>0</v>
      </c>
    </row>
    <row r="425" spans="1:48" s="1" customFormat="1" ht="37.200000000000003" thickTop="1" thickBot="1" x14ac:dyDescent="0.55000000000000004">
      <c r="A425" s="33">
        <v>418</v>
      </c>
      <c r="B425" s="34" t="s">
        <v>472</v>
      </c>
      <c r="C425" s="34" t="s">
        <v>965</v>
      </c>
      <c r="D425" s="35" t="s">
        <v>927</v>
      </c>
      <c r="E425" s="35" t="s">
        <v>966</v>
      </c>
      <c r="F425" s="36" t="s">
        <v>1382</v>
      </c>
      <c r="G425" s="36" t="s">
        <v>1420</v>
      </c>
      <c r="H425" s="36" t="s">
        <v>1421</v>
      </c>
      <c r="I425" s="36" t="s">
        <v>1421</v>
      </c>
      <c r="J425" s="36" t="s">
        <v>1421</v>
      </c>
      <c r="K425" s="36">
        <v>361.95</v>
      </c>
      <c r="L425" s="36" t="s">
        <v>1422</v>
      </c>
      <c r="M425" s="49">
        <v>4</v>
      </c>
      <c r="N425" s="37" t="s">
        <v>1840</v>
      </c>
      <c r="O425" s="37"/>
      <c r="P425" s="36">
        <v>1</v>
      </c>
      <c r="Q425" s="36" t="s">
        <v>1929</v>
      </c>
      <c r="R425" s="36" t="s">
        <v>2325</v>
      </c>
      <c r="S425" s="36" t="s">
        <v>1880</v>
      </c>
      <c r="T425" s="36" t="s">
        <v>1881</v>
      </c>
      <c r="U425" s="38">
        <v>45684</v>
      </c>
      <c r="V425" s="39">
        <v>888270.44</v>
      </c>
      <c r="W425" s="39" t="s">
        <v>2363</v>
      </c>
      <c r="X425" s="39" t="s">
        <v>2363</v>
      </c>
      <c r="Y425" s="40">
        <f t="shared" si="123"/>
        <v>44413.52199999999</v>
      </c>
      <c r="Z425" s="40">
        <f t="shared" si="124"/>
        <v>932683.96199999994</v>
      </c>
      <c r="AA425" s="41" t="str">
        <f t="shared" si="125"/>
        <v>0.0022</v>
      </c>
      <c r="AB425" s="41">
        <f t="shared" si="126"/>
        <v>0</v>
      </c>
      <c r="AC425" s="41">
        <f t="shared" si="127"/>
        <v>0</v>
      </c>
      <c r="AD425" s="41">
        <f t="shared" si="128"/>
        <v>0</v>
      </c>
      <c r="AE425" s="41">
        <f t="shared" si="129"/>
        <v>0</v>
      </c>
      <c r="AF425" s="41">
        <f t="shared" si="130"/>
        <v>0</v>
      </c>
      <c r="AG425" s="41">
        <f t="shared" si="131"/>
        <v>0</v>
      </c>
      <c r="AH425" s="41">
        <f t="shared" si="132"/>
        <v>0</v>
      </c>
      <c r="AI425" s="41">
        <f t="shared" si="133"/>
        <v>0</v>
      </c>
      <c r="AJ425" s="41">
        <f t="shared" si="134"/>
        <v>338</v>
      </c>
      <c r="AK425" s="41">
        <f t="shared" si="135"/>
        <v>181</v>
      </c>
      <c r="AL425" s="42">
        <f t="shared" si="136"/>
        <v>5.3539588164383565</v>
      </c>
      <c r="AM425" s="42">
        <f t="shared" si="137"/>
        <v>969.06654577534255</v>
      </c>
      <c r="AN425" s="43">
        <f t="shared" si="122"/>
        <v>843856.93</v>
      </c>
      <c r="AO425" s="43"/>
      <c r="AP425" s="42">
        <f t="shared" si="138"/>
        <v>88827.03199999989</v>
      </c>
      <c r="AQ425" s="43">
        <v>6</v>
      </c>
      <c r="AR425" s="44">
        <f t="shared" si="139"/>
        <v>0.9047619176279994</v>
      </c>
      <c r="AS425" s="45">
        <f t="shared" si="140"/>
        <v>2454.1247133581987</v>
      </c>
      <c r="AU425" s="1">
        <v>799443.41</v>
      </c>
      <c r="AV425" s="50">
        <v>44413.52</v>
      </c>
    </row>
    <row r="426" spans="1:48" s="1" customFormat="1" ht="37.200000000000003" thickTop="1" thickBot="1" x14ac:dyDescent="0.55000000000000004">
      <c r="A426" s="33">
        <v>419</v>
      </c>
      <c r="B426" s="34" t="s">
        <v>473</v>
      </c>
      <c r="C426" s="34" t="s">
        <v>965</v>
      </c>
      <c r="D426" s="35" t="s">
        <v>928</v>
      </c>
      <c r="E426" s="35" t="s">
        <v>966</v>
      </c>
      <c r="F426" s="36" t="s">
        <v>1383</v>
      </c>
      <c r="G426" s="36" t="s">
        <v>1420</v>
      </c>
      <c r="H426" s="36" t="s">
        <v>1421</v>
      </c>
      <c r="I426" s="36" t="s">
        <v>1421</v>
      </c>
      <c r="J426" s="36" t="s">
        <v>1421</v>
      </c>
      <c r="K426" s="36">
        <v>375</v>
      </c>
      <c r="L426" s="36" t="s">
        <v>1422</v>
      </c>
      <c r="M426" s="49">
        <v>4</v>
      </c>
      <c r="N426" s="37" t="s">
        <v>1841</v>
      </c>
      <c r="O426" s="37"/>
      <c r="P426" s="36">
        <v>1</v>
      </c>
      <c r="Q426" s="36" t="s">
        <v>1954</v>
      </c>
      <c r="R426" s="36" t="s">
        <v>2326</v>
      </c>
      <c r="S426" s="36" t="s">
        <v>1880</v>
      </c>
      <c r="T426" s="36" t="s">
        <v>1883</v>
      </c>
      <c r="U426" s="38">
        <v>45688</v>
      </c>
      <c r="V426" s="39">
        <v>856560</v>
      </c>
      <c r="W426" s="39" t="s">
        <v>2363</v>
      </c>
      <c r="X426" s="39" t="s">
        <v>2363</v>
      </c>
      <c r="Y426" s="40">
        <f t="shared" si="123"/>
        <v>42828</v>
      </c>
      <c r="Z426" s="40">
        <f t="shared" si="124"/>
        <v>899388</v>
      </c>
      <c r="AA426" s="41" t="str">
        <f t="shared" si="125"/>
        <v>0.0022</v>
      </c>
      <c r="AB426" s="41">
        <f t="shared" si="126"/>
        <v>0</v>
      </c>
      <c r="AC426" s="41">
        <f t="shared" si="127"/>
        <v>0</v>
      </c>
      <c r="AD426" s="41">
        <f t="shared" si="128"/>
        <v>0</v>
      </c>
      <c r="AE426" s="41">
        <f t="shared" si="129"/>
        <v>0</v>
      </c>
      <c r="AF426" s="41">
        <f t="shared" si="130"/>
        <v>0</v>
      </c>
      <c r="AG426" s="41">
        <f t="shared" si="131"/>
        <v>0</v>
      </c>
      <c r="AH426" s="41">
        <f t="shared" si="132"/>
        <v>0</v>
      </c>
      <c r="AI426" s="41">
        <f t="shared" si="133"/>
        <v>0</v>
      </c>
      <c r="AJ426" s="41">
        <f t="shared" si="134"/>
        <v>334</v>
      </c>
      <c r="AK426" s="41">
        <f t="shared" si="135"/>
        <v>181</v>
      </c>
      <c r="AL426" s="42">
        <f t="shared" si="136"/>
        <v>5.1628273972602736</v>
      </c>
      <c r="AM426" s="42">
        <f t="shared" si="137"/>
        <v>934.47175890410949</v>
      </c>
      <c r="AN426" s="43">
        <f t="shared" si="122"/>
        <v>728076</v>
      </c>
      <c r="AO426" s="43"/>
      <c r="AP426" s="42">
        <f t="shared" si="138"/>
        <v>171312</v>
      </c>
      <c r="AQ426" s="43">
        <v>5</v>
      </c>
      <c r="AR426" s="44">
        <f t="shared" si="139"/>
        <v>0.80952380952380953</v>
      </c>
      <c r="AS426" s="45">
        <f t="shared" si="140"/>
        <v>2284.16</v>
      </c>
      <c r="AU426" s="1">
        <v>599592</v>
      </c>
      <c r="AV426" s="50">
        <v>128484</v>
      </c>
    </row>
    <row r="427" spans="1:48" s="1" customFormat="1" ht="37.200000000000003" thickTop="1" thickBot="1" x14ac:dyDescent="0.55000000000000004">
      <c r="A427" s="33">
        <v>420</v>
      </c>
      <c r="B427" s="34" t="s">
        <v>474</v>
      </c>
      <c r="C427" s="34" t="s">
        <v>965</v>
      </c>
      <c r="D427" s="35" t="s">
        <v>929</v>
      </c>
      <c r="E427" s="35" t="s">
        <v>966</v>
      </c>
      <c r="F427" s="36" t="s">
        <v>1384</v>
      </c>
      <c r="G427" s="36" t="s">
        <v>1420</v>
      </c>
      <c r="H427" s="36" t="s">
        <v>1421</v>
      </c>
      <c r="I427" s="36" t="s">
        <v>1421</v>
      </c>
      <c r="J427" s="36" t="s">
        <v>1421</v>
      </c>
      <c r="K427" s="36">
        <v>362.5</v>
      </c>
      <c r="L427" s="36" t="s">
        <v>1422</v>
      </c>
      <c r="M427" s="49">
        <v>4</v>
      </c>
      <c r="N427" s="37" t="s">
        <v>1842</v>
      </c>
      <c r="O427" s="37"/>
      <c r="P427" s="36">
        <v>1</v>
      </c>
      <c r="Q427" s="36" t="s">
        <v>1941</v>
      </c>
      <c r="R427" s="36" t="s">
        <v>2327</v>
      </c>
      <c r="S427" s="36" t="s">
        <v>1880</v>
      </c>
      <c r="T427" s="36" t="s">
        <v>1883</v>
      </c>
      <c r="U427" s="38">
        <v>45688</v>
      </c>
      <c r="V427" s="39">
        <v>584525</v>
      </c>
      <c r="W427" s="39" t="s">
        <v>2363</v>
      </c>
      <c r="X427" s="39" t="s">
        <v>2363</v>
      </c>
      <c r="Y427" s="40">
        <f t="shared" si="123"/>
        <v>29226.25</v>
      </c>
      <c r="Z427" s="40">
        <f t="shared" si="124"/>
        <v>613751.25</v>
      </c>
      <c r="AA427" s="41" t="str">
        <f t="shared" si="125"/>
        <v>0.0018</v>
      </c>
      <c r="AB427" s="41">
        <f t="shared" si="126"/>
        <v>0</v>
      </c>
      <c r="AC427" s="41">
        <f t="shared" si="127"/>
        <v>0</v>
      </c>
      <c r="AD427" s="41">
        <f t="shared" si="128"/>
        <v>0</v>
      </c>
      <c r="AE427" s="41">
        <f t="shared" si="129"/>
        <v>0</v>
      </c>
      <c r="AF427" s="41">
        <f t="shared" si="130"/>
        <v>0</v>
      </c>
      <c r="AG427" s="41">
        <f t="shared" si="131"/>
        <v>0</v>
      </c>
      <c r="AH427" s="41">
        <f t="shared" si="132"/>
        <v>0</v>
      </c>
      <c r="AI427" s="41">
        <f t="shared" si="133"/>
        <v>0</v>
      </c>
      <c r="AJ427" s="41">
        <f t="shared" si="134"/>
        <v>334</v>
      </c>
      <c r="AK427" s="41">
        <f t="shared" si="135"/>
        <v>181</v>
      </c>
      <c r="AL427" s="42">
        <f t="shared" si="136"/>
        <v>2.8825890410958905</v>
      </c>
      <c r="AM427" s="42">
        <f t="shared" si="137"/>
        <v>521.74861643835618</v>
      </c>
      <c r="AN427" s="43">
        <f t="shared" si="122"/>
        <v>409167.5</v>
      </c>
      <c r="AO427" s="43"/>
      <c r="AP427" s="42">
        <f t="shared" si="138"/>
        <v>204583.75</v>
      </c>
      <c r="AQ427" s="43">
        <v>4</v>
      </c>
      <c r="AR427" s="44">
        <f t="shared" si="139"/>
        <v>0.66666666666666663</v>
      </c>
      <c r="AS427" s="45">
        <f t="shared" si="140"/>
        <v>1612.4827586206898</v>
      </c>
      <c r="AU427" s="1">
        <v>409167.5</v>
      </c>
      <c r="AV427" s="50">
        <v>0</v>
      </c>
    </row>
    <row r="428" spans="1:48" s="1" customFormat="1" ht="37.200000000000003" thickTop="1" thickBot="1" x14ac:dyDescent="0.55000000000000004">
      <c r="A428" s="33">
        <v>421</v>
      </c>
      <c r="B428" s="34" t="s">
        <v>475</v>
      </c>
      <c r="C428" s="34" t="s">
        <v>965</v>
      </c>
      <c r="D428" s="35" t="s">
        <v>930</v>
      </c>
      <c r="E428" s="35" t="s">
        <v>966</v>
      </c>
      <c r="F428" s="36" t="s">
        <v>1385</v>
      </c>
      <c r="G428" s="36" t="s">
        <v>1420</v>
      </c>
      <c r="H428" s="36" t="s">
        <v>1421</v>
      </c>
      <c r="I428" s="36" t="s">
        <v>1421</v>
      </c>
      <c r="J428" s="36" t="s">
        <v>1421</v>
      </c>
      <c r="K428" s="36">
        <v>375</v>
      </c>
      <c r="L428" s="36" t="s">
        <v>1422</v>
      </c>
      <c r="M428" s="49">
        <v>4</v>
      </c>
      <c r="N428" s="37" t="s">
        <v>1843</v>
      </c>
      <c r="O428" s="37"/>
      <c r="P428" s="36">
        <v>1</v>
      </c>
      <c r="Q428" s="36" t="s">
        <v>1943</v>
      </c>
      <c r="R428" s="36" t="s">
        <v>2328</v>
      </c>
      <c r="S428" s="36" t="s">
        <v>1880</v>
      </c>
      <c r="T428" s="36" t="s">
        <v>1881</v>
      </c>
      <c r="U428" s="38">
        <v>45688</v>
      </c>
      <c r="V428" s="39">
        <v>774338</v>
      </c>
      <c r="W428" s="39" t="s">
        <v>2363</v>
      </c>
      <c r="X428" s="39" t="s">
        <v>2363</v>
      </c>
      <c r="Y428" s="40">
        <f t="shared" si="123"/>
        <v>38716.9</v>
      </c>
      <c r="Z428" s="40">
        <f t="shared" si="124"/>
        <v>813054.9</v>
      </c>
      <c r="AA428" s="41" t="str">
        <f t="shared" si="125"/>
        <v>0.0022</v>
      </c>
      <c r="AB428" s="41">
        <f t="shared" si="126"/>
        <v>0</v>
      </c>
      <c r="AC428" s="41">
        <f t="shared" si="127"/>
        <v>0</v>
      </c>
      <c r="AD428" s="41">
        <f t="shared" si="128"/>
        <v>0</v>
      </c>
      <c r="AE428" s="41">
        <f t="shared" si="129"/>
        <v>0</v>
      </c>
      <c r="AF428" s="41">
        <f t="shared" si="130"/>
        <v>0</v>
      </c>
      <c r="AG428" s="41">
        <f t="shared" si="131"/>
        <v>0</v>
      </c>
      <c r="AH428" s="41">
        <f t="shared" si="132"/>
        <v>0</v>
      </c>
      <c r="AI428" s="41">
        <f t="shared" si="133"/>
        <v>0</v>
      </c>
      <c r="AJ428" s="41">
        <f t="shared" si="134"/>
        <v>334</v>
      </c>
      <c r="AK428" s="41">
        <f t="shared" si="135"/>
        <v>181</v>
      </c>
      <c r="AL428" s="42">
        <f t="shared" si="136"/>
        <v>4.6672427397260279</v>
      </c>
      <c r="AM428" s="42">
        <f t="shared" si="137"/>
        <v>844.77093589041101</v>
      </c>
      <c r="AN428" s="43">
        <f t="shared" si="122"/>
        <v>696904.2</v>
      </c>
      <c r="AO428" s="43"/>
      <c r="AP428" s="42">
        <f t="shared" si="138"/>
        <v>116150.70000000007</v>
      </c>
      <c r="AQ428" s="43">
        <v>5</v>
      </c>
      <c r="AR428" s="44">
        <f t="shared" si="139"/>
        <v>0.8571428571428571</v>
      </c>
      <c r="AS428" s="45">
        <f t="shared" si="140"/>
        <v>2064.9013333333332</v>
      </c>
      <c r="AU428" s="1">
        <v>696904.2</v>
      </c>
      <c r="AV428" s="50">
        <v>0</v>
      </c>
    </row>
    <row r="429" spans="1:48" s="1" customFormat="1" ht="37.200000000000003" thickTop="1" thickBot="1" x14ac:dyDescent="0.55000000000000004">
      <c r="A429" s="33">
        <v>422</v>
      </c>
      <c r="B429" s="34" t="s">
        <v>476</v>
      </c>
      <c r="C429" s="34" t="s">
        <v>965</v>
      </c>
      <c r="D429" s="35" t="s">
        <v>931</v>
      </c>
      <c r="E429" s="35" t="s">
        <v>966</v>
      </c>
      <c r="F429" s="36" t="s">
        <v>1386</v>
      </c>
      <c r="G429" s="36" t="s">
        <v>1420</v>
      </c>
      <c r="H429" s="36" t="s">
        <v>1421</v>
      </c>
      <c r="I429" s="36" t="s">
        <v>1421</v>
      </c>
      <c r="J429" s="36" t="s">
        <v>1421</v>
      </c>
      <c r="K429" s="36">
        <v>375</v>
      </c>
      <c r="L429" s="36" t="s">
        <v>1422</v>
      </c>
      <c r="M429" s="49">
        <v>4</v>
      </c>
      <c r="N429" s="37" t="s">
        <v>1844</v>
      </c>
      <c r="O429" s="37"/>
      <c r="P429" s="36">
        <v>1</v>
      </c>
      <c r="Q429" s="36" t="s">
        <v>1933</v>
      </c>
      <c r="R429" s="36" t="s">
        <v>2329</v>
      </c>
      <c r="S429" s="36" t="s">
        <v>1880</v>
      </c>
      <c r="T429" s="36" t="s">
        <v>2004</v>
      </c>
      <c r="U429" s="38">
        <v>45697</v>
      </c>
      <c r="V429" s="39">
        <v>784598</v>
      </c>
      <c r="W429" s="39" t="s">
        <v>2363</v>
      </c>
      <c r="X429" s="39" t="s">
        <v>2363</v>
      </c>
      <c r="Y429" s="40">
        <f t="shared" si="123"/>
        <v>39229.9</v>
      </c>
      <c r="Z429" s="40">
        <f t="shared" si="124"/>
        <v>823827.9</v>
      </c>
      <c r="AA429" s="41" t="str">
        <f t="shared" si="125"/>
        <v>0.0022</v>
      </c>
      <c r="AB429" s="41">
        <f t="shared" si="126"/>
        <v>0</v>
      </c>
      <c r="AC429" s="41">
        <f t="shared" si="127"/>
        <v>0</v>
      </c>
      <c r="AD429" s="41">
        <f t="shared" si="128"/>
        <v>0</v>
      </c>
      <c r="AE429" s="41">
        <f t="shared" si="129"/>
        <v>0</v>
      </c>
      <c r="AF429" s="41">
        <f t="shared" si="130"/>
        <v>0</v>
      </c>
      <c r="AG429" s="41">
        <f t="shared" si="131"/>
        <v>0</v>
      </c>
      <c r="AH429" s="41">
        <f t="shared" si="132"/>
        <v>0</v>
      </c>
      <c r="AI429" s="41">
        <f t="shared" si="133"/>
        <v>0</v>
      </c>
      <c r="AJ429" s="41">
        <f t="shared" si="134"/>
        <v>325</v>
      </c>
      <c r="AK429" s="41">
        <f t="shared" si="135"/>
        <v>181</v>
      </c>
      <c r="AL429" s="42">
        <f t="shared" si="136"/>
        <v>4.7290838356164384</v>
      </c>
      <c r="AM429" s="42">
        <f t="shared" si="137"/>
        <v>855.96417424657534</v>
      </c>
      <c r="AN429" s="43">
        <f t="shared" si="122"/>
        <v>706138.2</v>
      </c>
      <c r="AO429" s="43"/>
      <c r="AP429" s="42">
        <f t="shared" si="138"/>
        <v>117689.70000000007</v>
      </c>
      <c r="AQ429" s="43">
        <v>5</v>
      </c>
      <c r="AR429" s="44">
        <f t="shared" si="139"/>
        <v>0.8571428571428571</v>
      </c>
      <c r="AS429" s="45">
        <f t="shared" si="140"/>
        <v>2092.2613333333334</v>
      </c>
      <c r="AU429" s="1">
        <v>588448.5</v>
      </c>
      <c r="AV429" s="50">
        <v>117689.7</v>
      </c>
    </row>
    <row r="430" spans="1:48" s="1" customFormat="1" ht="37.200000000000003" thickTop="1" thickBot="1" x14ac:dyDescent="0.55000000000000004">
      <c r="A430" s="33">
        <v>423</v>
      </c>
      <c r="B430" s="34" t="s">
        <v>477</v>
      </c>
      <c r="C430" s="34" t="s">
        <v>965</v>
      </c>
      <c r="D430" s="35" t="s">
        <v>932</v>
      </c>
      <c r="E430" s="35" t="s">
        <v>966</v>
      </c>
      <c r="F430" s="36" t="s">
        <v>1387</v>
      </c>
      <c r="G430" s="36" t="s">
        <v>1420</v>
      </c>
      <c r="H430" s="36" t="s">
        <v>1421</v>
      </c>
      <c r="I430" s="36" t="s">
        <v>1421</v>
      </c>
      <c r="J430" s="36" t="s">
        <v>1421</v>
      </c>
      <c r="K430" s="36">
        <v>354.5</v>
      </c>
      <c r="L430" s="36" t="s">
        <v>1422</v>
      </c>
      <c r="M430" s="49">
        <v>4</v>
      </c>
      <c r="N430" s="37" t="s">
        <v>1845</v>
      </c>
      <c r="O430" s="37"/>
      <c r="P430" s="36">
        <v>1</v>
      </c>
      <c r="Q430" s="36" t="s">
        <v>1964</v>
      </c>
      <c r="R430" s="36" t="s">
        <v>2330</v>
      </c>
      <c r="S430" s="36" t="s">
        <v>1880</v>
      </c>
      <c r="T430" s="36" t="s">
        <v>1881</v>
      </c>
      <c r="U430" s="38">
        <v>45697</v>
      </c>
      <c r="V430" s="39">
        <v>873744.4</v>
      </c>
      <c r="W430" s="39" t="s">
        <v>2363</v>
      </c>
      <c r="X430" s="39" t="s">
        <v>2363</v>
      </c>
      <c r="Y430" s="40">
        <f t="shared" si="123"/>
        <v>43687.22</v>
      </c>
      <c r="Z430" s="40">
        <f t="shared" si="124"/>
        <v>917431.62</v>
      </c>
      <c r="AA430" s="41" t="str">
        <f t="shared" si="125"/>
        <v>0.0022</v>
      </c>
      <c r="AB430" s="41">
        <f t="shared" si="126"/>
        <v>0</v>
      </c>
      <c r="AC430" s="41">
        <f t="shared" si="127"/>
        <v>0</v>
      </c>
      <c r="AD430" s="41">
        <f t="shared" si="128"/>
        <v>0</v>
      </c>
      <c r="AE430" s="41">
        <f t="shared" si="129"/>
        <v>0</v>
      </c>
      <c r="AF430" s="41">
        <f t="shared" si="130"/>
        <v>0</v>
      </c>
      <c r="AG430" s="41">
        <f t="shared" si="131"/>
        <v>0</v>
      </c>
      <c r="AH430" s="41">
        <f t="shared" si="132"/>
        <v>0</v>
      </c>
      <c r="AI430" s="41">
        <f t="shared" si="133"/>
        <v>0</v>
      </c>
      <c r="AJ430" s="41">
        <f t="shared" si="134"/>
        <v>325</v>
      </c>
      <c r="AK430" s="41">
        <f t="shared" si="135"/>
        <v>181</v>
      </c>
      <c r="AL430" s="42">
        <f t="shared" si="136"/>
        <v>5.2664046027397262</v>
      </c>
      <c r="AM430" s="42">
        <f t="shared" si="137"/>
        <v>953.21923309589044</v>
      </c>
      <c r="AN430" s="43">
        <f t="shared" si="122"/>
        <v>830057.18</v>
      </c>
      <c r="AO430" s="43"/>
      <c r="AP430" s="42">
        <f t="shared" si="138"/>
        <v>87374.439999999944</v>
      </c>
      <c r="AQ430" s="43">
        <v>6</v>
      </c>
      <c r="AR430" s="44">
        <f t="shared" si="139"/>
        <v>0.90476190476190477</v>
      </c>
      <c r="AS430" s="45">
        <f t="shared" si="140"/>
        <v>2464.7232722143867</v>
      </c>
      <c r="AU430" s="1">
        <v>786369.96000000008</v>
      </c>
      <c r="AV430" s="50">
        <v>43687.22</v>
      </c>
    </row>
    <row r="431" spans="1:48" s="1" customFormat="1" ht="37.200000000000003" thickTop="1" thickBot="1" x14ac:dyDescent="0.55000000000000004">
      <c r="A431" s="33">
        <v>424</v>
      </c>
      <c r="B431" s="34" t="s">
        <v>478</v>
      </c>
      <c r="C431" s="34" t="s">
        <v>965</v>
      </c>
      <c r="D431" s="35" t="s">
        <v>933</v>
      </c>
      <c r="E431" s="35" t="s">
        <v>966</v>
      </c>
      <c r="F431" s="36" t="s">
        <v>1388</v>
      </c>
      <c r="G431" s="36" t="s">
        <v>1420</v>
      </c>
      <c r="H431" s="36" t="s">
        <v>1421</v>
      </c>
      <c r="I431" s="36" t="s">
        <v>1421</v>
      </c>
      <c r="J431" s="36" t="s">
        <v>1421</v>
      </c>
      <c r="K431" s="36">
        <v>350</v>
      </c>
      <c r="L431" s="36" t="s">
        <v>1422</v>
      </c>
      <c r="M431" s="49">
        <v>4</v>
      </c>
      <c r="N431" s="37" t="s">
        <v>1846</v>
      </c>
      <c r="O431" s="37"/>
      <c r="P431" s="36">
        <v>1</v>
      </c>
      <c r="Q431" s="36" t="s">
        <v>2039</v>
      </c>
      <c r="R431" s="36" t="s">
        <v>2331</v>
      </c>
      <c r="S431" s="36" t="s">
        <v>1880</v>
      </c>
      <c r="T431" s="36" t="s">
        <v>1881</v>
      </c>
      <c r="U431" s="38">
        <v>45697</v>
      </c>
      <c r="V431" s="39">
        <v>876296.8</v>
      </c>
      <c r="W431" s="39" t="s">
        <v>2363</v>
      </c>
      <c r="X431" s="39" t="s">
        <v>2363</v>
      </c>
      <c r="Y431" s="40">
        <f t="shared" si="123"/>
        <v>43814.84</v>
      </c>
      <c r="Z431" s="40">
        <f t="shared" si="124"/>
        <v>920111.64</v>
      </c>
      <c r="AA431" s="41" t="str">
        <f t="shared" si="125"/>
        <v>0.0022</v>
      </c>
      <c r="AB431" s="41">
        <f t="shared" si="126"/>
        <v>0</v>
      </c>
      <c r="AC431" s="41">
        <f t="shared" si="127"/>
        <v>0</v>
      </c>
      <c r="AD431" s="41">
        <f t="shared" si="128"/>
        <v>0</v>
      </c>
      <c r="AE431" s="41">
        <f t="shared" si="129"/>
        <v>0</v>
      </c>
      <c r="AF431" s="41">
        <f t="shared" si="130"/>
        <v>0</v>
      </c>
      <c r="AG431" s="41">
        <f t="shared" si="131"/>
        <v>0</v>
      </c>
      <c r="AH431" s="41">
        <f t="shared" si="132"/>
        <v>0</v>
      </c>
      <c r="AI431" s="41">
        <f t="shared" si="133"/>
        <v>0</v>
      </c>
      <c r="AJ431" s="41">
        <f t="shared" si="134"/>
        <v>325</v>
      </c>
      <c r="AK431" s="41">
        <f t="shared" si="135"/>
        <v>181</v>
      </c>
      <c r="AL431" s="42">
        <f t="shared" si="136"/>
        <v>5.28178893150685</v>
      </c>
      <c r="AM431" s="42">
        <f t="shared" si="137"/>
        <v>956.00379660273984</v>
      </c>
      <c r="AN431" s="43">
        <f t="shared" si="122"/>
        <v>832481.96</v>
      </c>
      <c r="AO431" s="43"/>
      <c r="AP431" s="42">
        <f t="shared" si="138"/>
        <v>87629.680000000051</v>
      </c>
      <c r="AQ431" s="43">
        <v>6</v>
      </c>
      <c r="AR431" s="44">
        <f t="shared" si="139"/>
        <v>0.90476190476190466</v>
      </c>
      <c r="AS431" s="45">
        <f t="shared" si="140"/>
        <v>2503.7051428571431</v>
      </c>
      <c r="AU431" s="1">
        <v>788667.12</v>
      </c>
      <c r="AV431" s="50">
        <v>43814.84</v>
      </c>
    </row>
    <row r="432" spans="1:48" s="1" customFormat="1" ht="37.200000000000003" thickTop="1" thickBot="1" x14ac:dyDescent="0.55000000000000004">
      <c r="A432" s="33">
        <v>425</v>
      </c>
      <c r="B432" s="34" t="s">
        <v>479</v>
      </c>
      <c r="C432" s="34" t="s">
        <v>965</v>
      </c>
      <c r="D432" s="35" t="s">
        <v>934</v>
      </c>
      <c r="E432" s="35" t="s">
        <v>966</v>
      </c>
      <c r="F432" s="36" t="s">
        <v>1389</v>
      </c>
      <c r="G432" s="36" t="s">
        <v>1420</v>
      </c>
      <c r="H432" s="36" t="s">
        <v>1421</v>
      </c>
      <c r="I432" s="36" t="s">
        <v>1421</v>
      </c>
      <c r="J432" s="36" t="s">
        <v>1421</v>
      </c>
      <c r="K432" s="36">
        <v>362.5</v>
      </c>
      <c r="L432" s="36" t="s">
        <v>1422</v>
      </c>
      <c r="M432" s="49">
        <v>4</v>
      </c>
      <c r="N432" s="37" t="s">
        <v>1847</v>
      </c>
      <c r="O432" s="37"/>
      <c r="P432" s="36">
        <v>1</v>
      </c>
      <c r="Q432" s="36" t="s">
        <v>1941</v>
      </c>
      <c r="R432" s="36" t="s">
        <v>2332</v>
      </c>
      <c r="S432" s="36" t="s">
        <v>1880</v>
      </c>
      <c r="T432" s="36" t="s">
        <v>1881</v>
      </c>
      <c r="U432" s="38">
        <v>45697</v>
      </c>
      <c r="V432" s="39">
        <v>622796</v>
      </c>
      <c r="W432" s="39" t="s">
        <v>2363</v>
      </c>
      <c r="X432" s="39" t="s">
        <v>2363</v>
      </c>
      <c r="Y432" s="40">
        <f t="shared" si="123"/>
        <v>31139.8</v>
      </c>
      <c r="Z432" s="40">
        <f t="shared" si="124"/>
        <v>653935.80000000005</v>
      </c>
      <c r="AA432" s="41" t="str">
        <f t="shared" si="125"/>
        <v>0.0018</v>
      </c>
      <c r="AB432" s="41">
        <f t="shared" si="126"/>
        <v>0</v>
      </c>
      <c r="AC432" s="41">
        <f t="shared" si="127"/>
        <v>0</v>
      </c>
      <c r="AD432" s="41">
        <f t="shared" si="128"/>
        <v>0</v>
      </c>
      <c r="AE432" s="41">
        <f t="shared" si="129"/>
        <v>0</v>
      </c>
      <c r="AF432" s="41">
        <f t="shared" si="130"/>
        <v>0</v>
      </c>
      <c r="AG432" s="41">
        <f t="shared" si="131"/>
        <v>0</v>
      </c>
      <c r="AH432" s="41">
        <f t="shared" si="132"/>
        <v>0</v>
      </c>
      <c r="AI432" s="41">
        <f t="shared" si="133"/>
        <v>0</v>
      </c>
      <c r="AJ432" s="41">
        <f t="shared" si="134"/>
        <v>325</v>
      </c>
      <c r="AK432" s="41">
        <f t="shared" si="135"/>
        <v>181</v>
      </c>
      <c r="AL432" s="42">
        <f t="shared" si="136"/>
        <v>3.0713227397260274</v>
      </c>
      <c r="AM432" s="42">
        <f t="shared" si="137"/>
        <v>555.90941589041097</v>
      </c>
      <c r="AN432" s="43">
        <f t="shared" si="122"/>
        <v>560516.4</v>
      </c>
      <c r="AO432" s="43"/>
      <c r="AP432" s="42">
        <f t="shared" si="138"/>
        <v>93419.400000000023</v>
      </c>
      <c r="AQ432" s="43">
        <v>5</v>
      </c>
      <c r="AR432" s="44">
        <f t="shared" si="139"/>
        <v>0.8571428571428571</v>
      </c>
      <c r="AS432" s="45">
        <f t="shared" si="140"/>
        <v>1718.0579310344829</v>
      </c>
      <c r="AU432" s="1">
        <v>467097</v>
      </c>
      <c r="AV432" s="50">
        <v>93419.4</v>
      </c>
    </row>
    <row r="433" spans="1:48" s="1" customFormat="1" ht="37.200000000000003" thickTop="1" thickBot="1" x14ac:dyDescent="0.55000000000000004">
      <c r="A433" s="33">
        <v>426</v>
      </c>
      <c r="B433" s="34" t="s">
        <v>480</v>
      </c>
      <c r="C433" s="34" t="s">
        <v>965</v>
      </c>
      <c r="D433" s="35" t="s">
        <v>935</v>
      </c>
      <c r="E433" s="35" t="s">
        <v>966</v>
      </c>
      <c r="F433" s="36" t="s">
        <v>1390</v>
      </c>
      <c r="G433" s="36" t="s">
        <v>1420</v>
      </c>
      <c r="H433" s="36" t="s">
        <v>1421</v>
      </c>
      <c r="I433" s="36" t="s">
        <v>1421</v>
      </c>
      <c r="J433" s="36" t="s">
        <v>1421</v>
      </c>
      <c r="K433" s="36">
        <v>375</v>
      </c>
      <c r="L433" s="36" t="s">
        <v>1422</v>
      </c>
      <c r="M433" s="49">
        <v>4</v>
      </c>
      <c r="N433" s="37" t="s">
        <v>1848</v>
      </c>
      <c r="O433" s="37"/>
      <c r="P433" s="36">
        <v>1</v>
      </c>
      <c r="Q433" s="36" t="s">
        <v>2032</v>
      </c>
      <c r="R433" s="36" t="s">
        <v>2333</v>
      </c>
      <c r="S433" s="36" t="s">
        <v>1880</v>
      </c>
      <c r="T433" s="36" t="s">
        <v>2004</v>
      </c>
      <c r="U433" s="38">
        <v>45697</v>
      </c>
      <c r="V433" s="39">
        <v>627543.6</v>
      </c>
      <c r="W433" s="39" t="s">
        <v>2363</v>
      </c>
      <c r="X433" s="39" t="s">
        <v>2363</v>
      </c>
      <c r="Y433" s="40">
        <f t="shared" si="123"/>
        <v>31377.18</v>
      </c>
      <c r="Z433" s="40">
        <f t="shared" si="124"/>
        <v>658920.78</v>
      </c>
      <c r="AA433" s="41" t="str">
        <f t="shared" si="125"/>
        <v>0.0018</v>
      </c>
      <c r="AB433" s="41">
        <f t="shared" si="126"/>
        <v>0</v>
      </c>
      <c r="AC433" s="41">
        <f t="shared" si="127"/>
        <v>0</v>
      </c>
      <c r="AD433" s="41">
        <f t="shared" si="128"/>
        <v>0</v>
      </c>
      <c r="AE433" s="41">
        <f t="shared" si="129"/>
        <v>0</v>
      </c>
      <c r="AF433" s="41">
        <f t="shared" si="130"/>
        <v>0</v>
      </c>
      <c r="AG433" s="41">
        <f t="shared" si="131"/>
        <v>0</v>
      </c>
      <c r="AH433" s="41">
        <f t="shared" si="132"/>
        <v>0</v>
      </c>
      <c r="AI433" s="41">
        <f t="shared" si="133"/>
        <v>0</v>
      </c>
      <c r="AJ433" s="41">
        <f t="shared" si="134"/>
        <v>325</v>
      </c>
      <c r="AK433" s="41">
        <f t="shared" si="135"/>
        <v>181</v>
      </c>
      <c r="AL433" s="42">
        <f t="shared" si="136"/>
        <v>3.0947355616438355</v>
      </c>
      <c r="AM433" s="42">
        <f t="shared" si="137"/>
        <v>560.14713665753425</v>
      </c>
      <c r="AN433" s="43">
        <f t="shared" si="122"/>
        <v>596166.56000000006</v>
      </c>
      <c r="AO433" s="43"/>
      <c r="AP433" s="42">
        <f t="shared" si="138"/>
        <v>62754.219999999972</v>
      </c>
      <c r="AQ433" s="43">
        <v>6</v>
      </c>
      <c r="AR433" s="44">
        <f t="shared" si="139"/>
        <v>0.90476211723054178</v>
      </c>
      <c r="AS433" s="45">
        <f t="shared" si="140"/>
        <v>1673.4495999999999</v>
      </c>
      <c r="AU433" s="1">
        <v>470657.76</v>
      </c>
      <c r="AV433" s="50">
        <v>125508.8</v>
      </c>
    </row>
    <row r="434" spans="1:48" s="1" customFormat="1" ht="37.200000000000003" thickTop="1" thickBot="1" x14ac:dyDescent="0.55000000000000004">
      <c r="A434" s="33">
        <v>427</v>
      </c>
      <c r="B434" s="34" t="s">
        <v>481</v>
      </c>
      <c r="C434" s="34" t="s">
        <v>965</v>
      </c>
      <c r="D434" s="35" t="s">
        <v>936</v>
      </c>
      <c r="E434" s="35" t="s">
        <v>966</v>
      </c>
      <c r="F434" s="36" t="s">
        <v>1391</v>
      </c>
      <c r="G434" s="36" t="s">
        <v>1420</v>
      </c>
      <c r="H434" s="36" t="s">
        <v>1421</v>
      </c>
      <c r="I434" s="36" t="s">
        <v>1421</v>
      </c>
      <c r="J434" s="36" t="s">
        <v>1421</v>
      </c>
      <c r="K434" s="36">
        <v>362.5</v>
      </c>
      <c r="L434" s="36" t="s">
        <v>1422</v>
      </c>
      <c r="M434" s="49">
        <v>4</v>
      </c>
      <c r="N434" s="37" t="s">
        <v>1849</v>
      </c>
      <c r="O434" s="37"/>
      <c r="P434" s="36">
        <v>1</v>
      </c>
      <c r="Q434" s="36" t="s">
        <v>1964</v>
      </c>
      <c r="R434" s="36" t="s">
        <v>2334</v>
      </c>
      <c r="S434" s="36" t="s">
        <v>1880</v>
      </c>
      <c r="T434" s="36" t="s">
        <v>1881</v>
      </c>
      <c r="U434" s="38">
        <v>45697</v>
      </c>
      <c r="V434" s="39">
        <v>622794.80000000005</v>
      </c>
      <c r="W434" s="39" t="s">
        <v>2363</v>
      </c>
      <c r="X434" s="39" t="s">
        <v>2363</v>
      </c>
      <c r="Y434" s="40">
        <f t="shared" si="123"/>
        <v>31139.74</v>
      </c>
      <c r="Z434" s="40">
        <f t="shared" si="124"/>
        <v>653934.54</v>
      </c>
      <c r="AA434" s="41" t="str">
        <f t="shared" si="125"/>
        <v>0.0018</v>
      </c>
      <c r="AB434" s="41">
        <f t="shared" si="126"/>
        <v>0</v>
      </c>
      <c r="AC434" s="41">
        <f t="shared" si="127"/>
        <v>0</v>
      </c>
      <c r="AD434" s="41">
        <f t="shared" si="128"/>
        <v>0</v>
      </c>
      <c r="AE434" s="41">
        <f t="shared" si="129"/>
        <v>0</v>
      </c>
      <c r="AF434" s="41">
        <f t="shared" si="130"/>
        <v>0</v>
      </c>
      <c r="AG434" s="41">
        <f t="shared" si="131"/>
        <v>0</v>
      </c>
      <c r="AH434" s="41">
        <f t="shared" si="132"/>
        <v>0</v>
      </c>
      <c r="AI434" s="41">
        <f t="shared" si="133"/>
        <v>0</v>
      </c>
      <c r="AJ434" s="41">
        <f t="shared" si="134"/>
        <v>325</v>
      </c>
      <c r="AK434" s="41">
        <f t="shared" si="135"/>
        <v>181</v>
      </c>
      <c r="AL434" s="42">
        <f t="shared" si="136"/>
        <v>3.071316821917808</v>
      </c>
      <c r="AM434" s="42">
        <f t="shared" si="137"/>
        <v>555.90834476712325</v>
      </c>
      <c r="AN434" s="43">
        <f t="shared" si="122"/>
        <v>591655.06000000006</v>
      </c>
      <c r="AO434" s="43"/>
      <c r="AP434" s="42">
        <f t="shared" si="138"/>
        <v>62279.479999999981</v>
      </c>
      <c r="AQ434" s="43">
        <v>6</v>
      </c>
      <c r="AR434" s="44">
        <f t="shared" si="139"/>
        <v>0.90476190476190477</v>
      </c>
      <c r="AS434" s="45">
        <f t="shared" si="140"/>
        <v>1718.0546206896554</v>
      </c>
      <c r="AU434" s="1">
        <v>560515.32000000007</v>
      </c>
      <c r="AV434" s="50">
        <v>31139.74</v>
      </c>
    </row>
    <row r="435" spans="1:48" s="1" customFormat="1" ht="37.200000000000003" thickTop="1" thickBot="1" x14ac:dyDescent="0.55000000000000004">
      <c r="A435" s="33">
        <v>428</v>
      </c>
      <c r="B435" s="34" t="s">
        <v>482</v>
      </c>
      <c r="C435" s="34" t="s">
        <v>965</v>
      </c>
      <c r="D435" s="35" t="s">
        <v>937</v>
      </c>
      <c r="E435" s="35" t="s">
        <v>966</v>
      </c>
      <c r="F435" s="36" t="s">
        <v>1392</v>
      </c>
      <c r="G435" s="36" t="s">
        <v>1420</v>
      </c>
      <c r="H435" s="36" t="s">
        <v>1421</v>
      </c>
      <c r="I435" s="36" t="s">
        <v>1421</v>
      </c>
      <c r="J435" s="36" t="s">
        <v>1421</v>
      </c>
      <c r="K435" s="36">
        <v>357.01</v>
      </c>
      <c r="L435" s="36" t="s">
        <v>1422</v>
      </c>
      <c r="M435" s="49">
        <v>4</v>
      </c>
      <c r="N435" s="37" t="s">
        <v>1850</v>
      </c>
      <c r="O435" s="37"/>
      <c r="P435" s="36">
        <v>1</v>
      </c>
      <c r="Q435" s="36" t="s">
        <v>1956</v>
      </c>
      <c r="R435" s="36" t="s">
        <v>2335</v>
      </c>
      <c r="S435" s="36" t="s">
        <v>1880</v>
      </c>
      <c r="T435" s="36" t="s">
        <v>1883</v>
      </c>
      <c r="U435" s="38">
        <v>45700</v>
      </c>
      <c r="V435" s="39">
        <v>821397.49</v>
      </c>
      <c r="W435" s="39" t="s">
        <v>2363</v>
      </c>
      <c r="X435" s="39" t="s">
        <v>2363</v>
      </c>
      <c r="Y435" s="40">
        <f t="shared" si="123"/>
        <v>41069.874500000005</v>
      </c>
      <c r="Z435" s="40">
        <f t="shared" si="124"/>
        <v>862467.36450000003</v>
      </c>
      <c r="AA435" s="41" t="str">
        <f t="shared" si="125"/>
        <v>0.0022</v>
      </c>
      <c r="AB435" s="41">
        <f t="shared" si="126"/>
        <v>0</v>
      </c>
      <c r="AC435" s="41">
        <f t="shared" si="127"/>
        <v>0</v>
      </c>
      <c r="AD435" s="41">
        <f t="shared" si="128"/>
        <v>0</v>
      </c>
      <c r="AE435" s="41">
        <f t="shared" si="129"/>
        <v>0</v>
      </c>
      <c r="AF435" s="41">
        <f t="shared" si="130"/>
        <v>0</v>
      </c>
      <c r="AG435" s="41">
        <f t="shared" si="131"/>
        <v>0</v>
      </c>
      <c r="AH435" s="41">
        <f t="shared" si="132"/>
        <v>0</v>
      </c>
      <c r="AI435" s="41">
        <f t="shared" si="133"/>
        <v>0</v>
      </c>
      <c r="AJ435" s="41">
        <f t="shared" si="134"/>
        <v>322</v>
      </c>
      <c r="AK435" s="41">
        <f t="shared" si="135"/>
        <v>181</v>
      </c>
      <c r="AL435" s="42">
        <f t="shared" si="136"/>
        <v>4.9508889808219179</v>
      </c>
      <c r="AM435" s="42">
        <f t="shared" si="137"/>
        <v>896.11090552876715</v>
      </c>
      <c r="AN435" s="43">
        <f t="shared" si="122"/>
        <v>698187.69000000006</v>
      </c>
      <c r="AO435" s="43"/>
      <c r="AP435" s="42">
        <f t="shared" si="138"/>
        <v>164279.67449999996</v>
      </c>
      <c r="AQ435" s="43">
        <v>5</v>
      </c>
      <c r="AR435" s="44">
        <f t="shared" si="139"/>
        <v>0.80952360487838504</v>
      </c>
      <c r="AS435" s="45">
        <f t="shared" si="140"/>
        <v>2300.7688580151816</v>
      </c>
      <c r="AU435" s="1">
        <v>574978.14</v>
      </c>
      <c r="AV435" s="50">
        <v>123209.55</v>
      </c>
    </row>
    <row r="436" spans="1:48" s="1" customFormat="1" ht="37.200000000000003" thickTop="1" thickBot="1" x14ac:dyDescent="0.55000000000000004">
      <c r="A436" s="33">
        <v>429</v>
      </c>
      <c r="B436" s="34" t="s">
        <v>483</v>
      </c>
      <c r="C436" s="34" t="s">
        <v>965</v>
      </c>
      <c r="D436" s="35" t="s">
        <v>938</v>
      </c>
      <c r="E436" s="35" t="s">
        <v>966</v>
      </c>
      <c r="F436" s="36" t="s">
        <v>1393</v>
      </c>
      <c r="G436" s="36" t="s">
        <v>1420</v>
      </c>
      <c r="H436" s="36" t="s">
        <v>1421</v>
      </c>
      <c r="I436" s="36" t="s">
        <v>1421</v>
      </c>
      <c r="J436" s="36" t="s">
        <v>1421</v>
      </c>
      <c r="K436" s="36">
        <v>325</v>
      </c>
      <c r="L436" s="36" t="s">
        <v>1422</v>
      </c>
      <c r="M436" s="49">
        <v>4</v>
      </c>
      <c r="N436" s="37" t="s">
        <v>1851</v>
      </c>
      <c r="O436" s="37"/>
      <c r="P436" s="36">
        <v>1</v>
      </c>
      <c r="Q436" s="36" t="s">
        <v>1937</v>
      </c>
      <c r="R436" s="36" t="s">
        <v>2336</v>
      </c>
      <c r="S436" s="36" t="s">
        <v>1880</v>
      </c>
      <c r="T436" s="36" t="s">
        <v>1883</v>
      </c>
      <c r="U436" s="38">
        <v>45700</v>
      </c>
      <c r="V436" s="39">
        <v>620544.80000000005</v>
      </c>
      <c r="W436" s="39" t="s">
        <v>2363</v>
      </c>
      <c r="X436" s="39" t="s">
        <v>2363</v>
      </c>
      <c r="Y436" s="40">
        <f t="shared" si="123"/>
        <v>31027.24</v>
      </c>
      <c r="Z436" s="40">
        <f t="shared" si="124"/>
        <v>651572.04</v>
      </c>
      <c r="AA436" s="41" t="str">
        <f t="shared" si="125"/>
        <v>0.0018</v>
      </c>
      <c r="AB436" s="41">
        <f t="shared" si="126"/>
        <v>0</v>
      </c>
      <c r="AC436" s="41">
        <f t="shared" si="127"/>
        <v>0</v>
      </c>
      <c r="AD436" s="41">
        <f t="shared" si="128"/>
        <v>0</v>
      </c>
      <c r="AE436" s="41">
        <f t="shared" si="129"/>
        <v>0</v>
      </c>
      <c r="AF436" s="41">
        <f t="shared" si="130"/>
        <v>0</v>
      </c>
      <c r="AG436" s="41">
        <f t="shared" si="131"/>
        <v>0</v>
      </c>
      <c r="AH436" s="41">
        <f t="shared" si="132"/>
        <v>0</v>
      </c>
      <c r="AI436" s="41">
        <f t="shared" si="133"/>
        <v>0</v>
      </c>
      <c r="AJ436" s="41">
        <f t="shared" si="134"/>
        <v>322</v>
      </c>
      <c r="AK436" s="41">
        <f t="shared" si="135"/>
        <v>181</v>
      </c>
      <c r="AL436" s="42">
        <f t="shared" si="136"/>
        <v>3.0602209315068492</v>
      </c>
      <c r="AM436" s="42">
        <f t="shared" si="137"/>
        <v>553.89998860273965</v>
      </c>
      <c r="AN436" s="43">
        <f t="shared" si="122"/>
        <v>434381.4</v>
      </c>
      <c r="AO436" s="43"/>
      <c r="AP436" s="42">
        <f t="shared" si="138"/>
        <v>217190.64</v>
      </c>
      <c r="AQ436" s="43">
        <v>4</v>
      </c>
      <c r="AR436" s="44">
        <f t="shared" si="139"/>
        <v>0.66666672805665506</v>
      </c>
      <c r="AS436" s="45">
        <f t="shared" si="140"/>
        <v>1909.3686153846156</v>
      </c>
      <c r="AU436" s="1">
        <v>434381.4</v>
      </c>
      <c r="AV436" s="50">
        <v>0</v>
      </c>
    </row>
    <row r="437" spans="1:48" s="1" customFormat="1" ht="37.200000000000003" thickTop="1" thickBot="1" x14ac:dyDescent="0.55000000000000004">
      <c r="A437" s="33">
        <v>430</v>
      </c>
      <c r="B437" s="34" t="s">
        <v>484</v>
      </c>
      <c r="C437" s="34" t="s">
        <v>965</v>
      </c>
      <c r="D437" s="35" t="s">
        <v>939</v>
      </c>
      <c r="E437" s="35" t="s">
        <v>966</v>
      </c>
      <c r="F437" s="36" t="s">
        <v>1394</v>
      </c>
      <c r="G437" s="36" t="s">
        <v>1420</v>
      </c>
      <c r="H437" s="36" t="s">
        <v>1421</v>
      </c>
      <c r="I437" s="36" t="s">
        <v>1421</v>
      </c>
      <c r="J437" s="36" t="s">
        <v>1421</v>
      </c>
      <c r="K437" s="36">
        <v>358.7</v>
      </c>
      <c r="L437" s="36" t="s">
        <v>1422</v>
      </c>
      <c r="M437" s="49">
        <v>4</v>
      </c>
      <c r="N437" s="37" t="s">
        <v>1852</v>
      </c>
      <c r="O437" s="37"/>
      <c r="P437" s="36">
        <v>1</v>
      </c>
      <c r="Q437" s="36" t="s">
        <v>1943</v>
      </c>
      <c r="R437" s="36" t="s">
        <v>2337</v>
      </c>
      <c r="S437" s="36" t="s">
        <v>1880</v>
      </c>
      <c r="T437" s="36" t="s">
        <v>1881</v>
      </c>
      <c r="U437" s="38">
        <v>45700</v>
      </c>
      <c r="V437" s="39">
        <v>623176.43000000005</v>
      </c>
      <c r="W437" s="39" t="s">
        <v>2363</v>
      </c>
      <c r="X437" s="39" t="s">
        <v>2363</v>
      </c>
      <c r="Y437" s="40">
        <f t="shared" si="123"/>
        <v>31158.821500000005</v>
      </c>
      <c r="Z437" s="40">
        <f t="shared" si="124"/>
        <v>654335.25150000001</v>
      </c>
      <c r="AA437" s="41" t="str">
        <f t="shared" si="125"/>
        <v>0.0018</v>
      </c>
      <c r="AB437" s="41">
        <f t="shared" si="126"/>
        <v>0</v>
      </c>
      <c r="AC437" s="41">
        <f t="shared" si="127"/>
        <v>0</v>
      </c>
      <c r="AD437" s="41">
        <f t="shared" si="128"/>
        <v>0</v>
      </c>
      <c r="AE437" s="41">
        <f t="shared" si="129"/>
        <v>0</v>
      </c>
      <c r="AF437" s="41">
        <f t="shared" si="130"/>
        <v>0</v>
      </c>
      <c r="AG437" s="41">
        <f t="shared" si="131"/>
        <v>0</v>
      </c>
      <c r="AH437" s="41">
        <f t="shared" si="132"/>
        <v>0</v>
      </c>
      <c r="AI437" s="41">
        <f t="shared" si="133"/>
        <v>0</v>
      </c>
      <c r="AJ437" s="41">
        <f t="shared" si="134"/>
        <v>322</v>
      </c>
      <c r="AK437" s="41">
        <f t="shared" si="135"/>
        <v>181</v>
      </c>
      <c r="AL437" s="42">
        <f t="shared" si="136"/>
        <v>3.0731988328767126</v>
      </c>
      <c r="AM437" s="42">
        <f t="shared" si="137"/>
        <v>556.24898875068493</v>
      </c>
      <c r="AN437" s="43">
        <f t="shared" si="122"/>
        <v>592017.63</v>
      </c>
      <c r="AO437" s="43"/>
      <c r="AP437" s="42">
        <f t="shared" si="138"/>
        <v>62317.621500000008</v>
      </c>
      <c r="AQ437" s="43">
        <v>6</v>
      </c>
      <c r="AR437" s="44">
        <f t="shared" si="139"/>
        <v>0.90476193761967905</v>
      </c>
      <c r="AS437" s="45">
        <f t="shared" si="140"/>
        <v>1737.3192918873713</v>
      </c>
      <c r="AU437" s="1">
        <v>560858.81000000006</v>
      </c>
      <c r="AV437" s="50">
        <v>31158.82</v>
      </c>
    </row>
    <row r="438" spans="1:48" s="1" customFormat="1" ht="37.200000000000003" thickTop="1" thickBot="1" x14ac:dyDescent="0.55000000000000004">
      <c r="A438" s="33">
        <v>431</v>
      </c>
      <c r="B438" s="34" t="s">
        <v>485</v>
      </c>
      <c r="C438" s="34" t="s">
        <v>965</v>
      </c>
      <c r="D438" s="35" t="s">
        <v>940</v>
      </c>
      <c r="E438" s="35" t="s">
        <v>966</v>
      </c>
      <c r="F438" s="36" t="s">
        <v>1395</v>
      </c>
      <c r="G438" s="36" t="s">
        <v>1420</v>
      </c>
      <c r="H438" s="36" t="s">
        <v>1421</v>
      </c>
      <c r="I438" s="36" t="s">
        <v>1421</v>
      </c>
      <c r="J438" s="36" t="s">
        <v>1421</v>
      </c>
      <c r="K438" s="36">
        <v>375</v>
      </c>
      <c r="L438" s="36" t="s">
        <v>1422</v>
      </c>
      <c r="M438" s="49">
        <v>4</v>
      </c>
      <c r="N438" s="37" t="s">
        <v>1853</v>
      </c>
      <c r="O438" s="37"/>
      <c r="P438" s="36">
        <v>1</v>
      </c>
      <c r="Q438" s="36" t="s">
        <v>1954</v>
      </c>
      <c r="R438" s="36" t="s">
        <v>2338</v>
      </c>
      <c r="S438" s="36" t="s">
        <v>1880</v>
      </c>
      <c r="T438" s="36" t="s">
        <v>1883</v>
      </c>
      <c r="U438" s="38">
        <v>45704</v>
      </c>
      <c r="V438" s="39">
        <v>856560</v>
      </c>
      <c r="W438" s="39" t="s">
        <v>2363</v>
      </c>
      <c r="X438" s="39" t="s">
        <v>2363</v>
      </c>
      <c r="Y438" s="40">
        <f t="shared" si="123"/>
        <v>42828</v>
      </c>
      <c r="Z438" s="40">
        <f t="shared" si="124"/>
        <v>899388</v>
      </c>
      <c r="AA438" s="41" t="str">
        <f t="shared" si="125"/>
        <v>0.0022</v>
      </c>
      <c r="AB438" s="41">
        <f t="shared" si="126"/>
        <v>0</v>
      </c>
      <c r="AC438" s="41">
        <f t="shared" si="127"/>
        <v>0</v>
      </c>
      <c r="AD438" s="41">
        <f t="shared" si="128"/>
        <v>0</v>
      </c>
      <c r="AE438" s="41">
        <f t="shared" si="129"/>
        <v>0</v>
      </c>
      <c r="AF438" s="41">
        <f t="shared" si="130"/>
        <v>0</v>
      </c>
      <c r="AG438" s="41">
        <f t="shared" si="131"/>
        <v>0</v>
      </c>
      <c r="AH438" s="41">
        <f t="shared" si="132"/>
        <v>0</v>
      </c>
      <c r="AI438" s="41">
        <f t="shared" si="133"/>
        <v>0</v>
      </c>
      <c r="AJ438" s="41">
        <f t="shared" si="134"/>
        <v>318</v>
      </c>
      <c r="AK438" s="41">
        <f t="shared" si="135"/>
        <v>181</v>
      </c>
      <c r="AL438" s="42">
        <f t="shared" si="136"/>
        <v>5.1628273972602736</v>
      </c>
      <c r="AM438" s="42">
        <f t="shared" si="137"/>
        <v>934.47175890410949</v>
      </c>
      <c r="AN438" s="43">
        <f t="shared" si="122"/>
        <v>728076</v>
      </c>
      <c r="AO438" s="43"/>
      <c r="AP438" s="42">
        <f t="shared" si="138"/>
        <v>171312</v>
      </c>
      <c r="AQ438" s="43">
        <v>5</v>
      </c>
      <c r="AR438" s="44">
        <f t="shared" si="139"/>
        <v>0.80952380952380953</v>
      </c>
      <c r="AS438" s="45">
        <f t="shared" si="140"/>
        <v>2284.16</v>
      </c>
      <c r="AU438" s="1">
        <v>599592</v>
      </c>
      <c r="AV438" s="50">
        <v>128484</v>
      </c>
    </row>
    <row r="439" spans="1:48" s="1" customFormat="1" ht="37.200000000000003" thickTop="1" thickBot="1" x14ac:dyDescent="0.55000000000000004">
      <c r="A439" s="33">
        <v>432</v>
      </c>
      <c r="B439" s="34" t="s">
        <v>486</v>
      </c>
      <c r="C439" s="34" t="s">
        <v>965</v>
      </c>
      <c r="D439" s="35" t="s">
        <v>941</v>
      </c>
      <c r="E439" s="35" t="s">
        <v>966</v>
      </c>
      <c r="F439" s="36" t="s">
        <v>1396</v>
      </c>
      <c r="G439" s="36" t="s">
        <v>1420</v>
      </c>
      <c r="H439" s="36" t="s">
        <v>1421</v>
      </c>
      <c r="I439" s="36" t="s">
        <v>1421</v>
      </c>
      <c r="J439" s="36" t="s">
        <v>1421</v>
      </c>
      <c r="K439" s="36">
        <v>350.04</v>
      </c>
      <c r="L439" s="36" t="s">
        <v>1422</v>
      </c>
      <c r="M439" s="49">
        <v>4</v>
      </c>
      <c r="N439" s="37" t="s">
        <v>1854</v>
      </c>
      <c r="O439" s="37"/>
      <c r="P439" s="36">
        <v>1</v>
      </c>
      <c r="Q439" s="36" t="s">
        <v>1972</v>
      </c>
      <c r="R439" s="36" t="s">
        <v>2339</v>
      </c>
      <c r="S439" s="36" t="s">
        <v>1880</v>
      </c>
      <c r="T439" s="36" t="s">
        <v>1883</v>
      </c>
      <c r="U439" s="38">
        <v>45708</v>
      </c>
      <c r="V439" s="39">
        <v>664492</v>
      </c>
      <c r="W439" s="39" t="s">
        <v>2363</v>
      </c>
      <c r="X439" s="39" t="s">
        <v>2363</v>
      </c>
      <c r="Y439" s="40">
        <f t="shared" si="123"/>
        <v>33224.6</v>
      </c>
      <c r="Z439" s="40">
        <f t="shared" si="124"/>
        <v>697716.6</v>
      </c>
      <c r="AA439" s="41" t="str">
        <f t="shared" si="125"/>
        <v>0.0018</v>
      </c>
      <c r="AB439" s="41">
        <f t="shared" si="126"/>
        <v>0</v>
      </c>
      <c r="AC439" s="41">
        <f t="shared" si="127"/>
        <v>0</v>
      </c>
      <c r="AD439" s="41">
        <f t="shared" si="128"/>
        <v>0</v>
      </c>
      <c r="AE439" s="41">
        <f t="shared" si="129"/>
        <v>0</v>
      </c>
      <c r="AF439" s="41">
        <f t="shared" si="130"/>
        <v>0</v>
      </c>
      <c r="AG439" s="41">
        <f t="shared" si="131"/>
        <v>0</v>
      </c>
      <c r="AH439" s="41">
        <f t="shared" si="132"/>
        <v>0</v>
      </c>
      <c r="AI439" s="41">
        <f t="shared" si="133"/>
        <v>0</v>
      </c>
      <c r="AJ439" s="41">
        <f t="shared" si="134"/>
        <v>314</v>
      </c>
      <c r="AK439" s="41">
        <f t="shared" si="135"/>
        <v>181</v>
      </c>
      <c r="AL439" s="42">
        <f t="shared" si="136"/>
        <v>3.2769468493150682</v>
      </c>
      <c r="AM439" s="42">
        <f t="shared" si="137"/>
        <v>593.12737972602736</v>
      </c>
      <c r="AN439" s="43">
        <f t="shared" si="122"/>
        <v>631267.4</v>
      </c>
      <c r="AO439" s="43"/>
      <c r="AP439" s="42">
        <f t="shared" si="138"/>
        <v>66449.199999999953</v>
      </c>
      <c r="AQ439" s="43">
        <v>6</v>
      </c>
      <c r="AR439" s="44">
        <f t="shared" si="139"/>
        <v>0.90476190476190488</v>
      </c>
      <c r="AS439" s="45">
        <f t="shared" si="140"/>
        <v>1898.331619243515</v>
      </c>
      <c r="AU439" s="1">
        <v>598042.80000000005</v>
      </c>
      <c r="AV439" s="50">
        <v>33224.6</v>
      </c>
    </row>
    <row r="440" spans="1:48" s="1" customFormat="1" ht="37.200000000000003" thickTop="1" thickBot="1" x14ac:dyDescent="0.55000000000000004">
      <c r="A440" s="33">
        <v>433</v>
      </c>
      <c r="B440" s="34" t="s">
        <v>487</v>
      </c>
      <c r="C440" s="34" t="s">
        <v>965</v>
      </c>
      <c r="D440" s="35" t="s">
        <v>942</v>
      </c>
      <c r="E440" s="35" t="s">
        <v>966</v>
      </c>
      <c r="F440" s="36" t="s">
        <v>1397</v>
      </c>
      <c r="G440" s="36" t="s">
        <v>1420</v>
      </c>
      <c r="H440" s="36" t="s">
        <v>1421</v>
      </c>
      <c r="I440" s="36" t="s">
        <v>1421</v>
      </c>
      <c r="J440" s="36" t="s">
        <v>1421</v>
      </c>
      <c r="K440" s="36">
        <v>324.99</v>
      </c>
      <c r="L440" s="36" t="s">
        <v>1422</v>
      </c>
      <c r="M440" s="49">
        <v>4</v>
      </c>
      <c r="N440" s="37" t="s">
        <v>1855</v>
      </c>
      <c r="O440" s="37"/>
      <c r="P440" s="36">
        <v>1</v>
      </c>
      <c r="Q440" s="36" t="s">
        <v>1933</v>
      </c>
      <c r="R440" s="36" t="s">
        <v>2340</v>
      </c>
      <c r="S440" s="36" t="s">
        <v>1880</v>
      </c>
      <c r="T440" s="36" t="s">
        <v>1881</v>
      </c>
      <c r="U440" s="38">
        <v>45713</v>
      </c>
      <c r="V440" s="39">
        <v>795243.93</v>
      </c>
      <c r="W440" s="39" t="s">
        <v>2363</v>
      </c>
      <c r="X440" s="39" t="s">
        <v>2363</v>
      </c>
      <c r="Y440" s="40">
        <f t="shared" si="123"/>
        <v>39762.196500000005</v>
      </c>
      <c r="Z440" s="40">
        <f t="shared" si="124"/>
        <v>835006.12650000001</v>
      </c>
      <c r="AA440" s="41" t="str">
        <f t="shared" si="125"/>
        <v>0.0022</v>
      </c>
      <c r="AB440" s="41">
        <f t="shared" si="126"/>
        <v>0</v>
      </c>
      <c r="AC440" s="41">
        <f t="shared" si="127"/>
        <v>0</v>
      </c>
      <c r="AD440" s="41">
        <f t="shared" si="128"/>
        <v>0</v>
      </c>
      <c r="AE440" s="41">
        <f t="shared" si="129"/>
        <v>0</v>
      </c>
      <c r="AF440" s="41">
        <f t="shared" si="130"/>
        <v>0</v>
      </c>
      <c r="AG440" s="41">
        <f t="shared" si="131"/>
        <v>0</v>
      </c>
      <c r="AH440" s="41">
        <f t="shared" si="132"/>
        <v>0</v>
      </c>
      <c r="AI440" s="41">
        <f t="shared" si="133"/>
        <v>0</v>
      </c>
      <c r="AJ440" s="41">
        <f t="shared" si="134"/>
        <v>309</v>
      </c>
      <c r="AK440" s="41">
        <f t="shared" si="135"/>
        <v>181</v>
      </c>
      <c r="AL440" s="42">
        <f t="shared" si="136"/>
        <v>4.7932510849315078</v>
      </c>
      <c r="AM440" s="42">
        <f t="shared" si="137"/>
        <v>867.57844637260291</v>
      </c>
      <c r="AN440" s="43">
        <f t="shared" si="122"/>
        <v>715719.55</v>
      </c>
      <c r="AO440" s="43"/>
      <c r="AP440" s="42">
        <f t="shared" si="138"/>
        <v>119286.57649999997</v>
      </c>
      <c r="AQ440" s="43">
        <v>5</v>
      </c>
      <c r="AR440" s="44">
        <f t="shared" si="139"/>
        <v>0.85714287271160527</v>
      </c>
      <c r="AS440" s="45">
        <f t="shared" si="140"/>
        <v>2446.9796916828209</v>
      </c>
      <c r="AU440" s="1">
        <v>596432.96000000008</v>
      </c>
      <c r="AV440" s="50">
        <v>119286.59</v>
      </c>
    </row>
    <row r="441" spans="1:48" s="1" customFormat="1" ht="37.200000000000003" thickTop="1" thickBot="1" x14ac:dyDescent="0.55000000000000004">
      <c r="A441" s="33">
        <v>434</v>
      </c>
      <c r="B441" s="34" t="s">
        <v>488</v>
      </c>
      <c r="C441" s="34" t="s">
        <v>965</v>
      </c>
      <c r="D441" s="35" t="s">
        <v>943</v>
      </c>
      <c r="E441" s="35" t="s">
        <v>966</v>
      </c>
      <c r="F441" s="36" t="s">
        <v>1398</v>
      </c>
      <c r="G441" s="36" t="s">
        <v>1420</v>
      </c>
      <c r="H441" s="36" t="s">
        <v>1421</v>
      </c>
      <c r="I441" s="36" t="s">
        <v>1421</v>
      </c>
      <c r="J441" s="36" t="s">
        <v>1421</v>
      </c>
      <c r="K441" s="36">
        <v>366.78</v>
      </c>
      <c r="L441" s="36" t="s">
        <v>1422</v>
      </c>
      <c r="M441" s="49">
        <v>4</v>
      </c>
      <c r="N441" s="37" t="s">
        <v>1856</v>
      </c>
      <c r="O441" s="37"/>
      <c r="P441" s="36">
        <v>1</v>
      </c>
      <c r="Q441" s="36" t="s">
        <v>1931</v>
      </c>
      <c r="R441" s="36" t="s">
        <v>2341</v>
      </c>
      <c r="S441" s="36" t="s">
        <v>1880</v>
      </c>
      <c r="T441" s="36" t="s">
        <v>1883</v>
      </c>
      <c r="U441" s="38">
        <v>45726</v>
      </c>
      <c r="V441" s="39">
        <v>791641.2</v>
      </c>
      <c r="W441" s="39" t="s">
        <v>2363</v>
      </c>
      <c r="X441" s="39" t="s">
        <v>2363</v>
      </c>
      <c r="Y441" s="40">
        <f t="shared" si="123"/>
        <v>39582.06</v>
      </c>
      <c r="Z441" s="40">
        <f t="shared" si="124"/>
        <v>831223.26</v>
      </c>
      <c r="AA441" s="41" t="str">
        <f t="shared" si="125"/>
        <v>0.0022</v>
      </c>
      <c r="AB441" s="41">
        <f t="shared" si="126"/>
        <v>0</v>
      </c>
      <c r="AC441" s="41">
        <f t="shared" si="127"/>
        <v>0</v>
      </c>
      <c r="AD441" s="41">
        <f t="shared" si="128"/>
        <v>0</v>
      </c>
      <c r="AE441" s="41">
        <f t="shared" si="129"/>
        <v>0</v>
      </c>
      <c r="AF441" s="41">
        <f t="shared" si="130"/>
        <v>0</v>
      </c>
      <c r="AG441" s="41">
        <f t="shared" si="131"/>
        <v>0</v>
      </c>
      <c r="AH441" s="41">
        <f t="shared" si="132"/>
        <v>0</v>
      </c>
      <c r="AI441" s="41">
        <f t="shared" si="133"/>
        <v>0</v>
      </c>
      <c r="AJ441" s="41">
        <f t="shared" si="134"/>
        <v>296</v>
      </c>
      <c r="AK441" s="41">
        <f t="shared" si="135"/>
        <v>181</v>
      </c>
      <c r="AL441" s="42">
        <f t="shared" si="136"/>
        <v>4.7715360000000002</v>
      </c>
      <c r="AM441" s="42">
        <f t="shared" si="137"/>
        <v>863.64801599999998</v>
      </c>
      <c r="AN441" s="43">
        <f t="shared" si="122"/>
        <v>554148.80000000005</v>
      </c>
      <c r="AO441" s="43"/>
      <c r="AP441" s="42">
        <f t="shared" si="138"/>
        <v>277074.45999999996</v>
      </c>
      <c r="AQ441" s="43">
        <v>4</v>
      </c>
      <c r="AR441" s="44">
        <f t="shared" si="139"/>
        <v>0.66666661854481801</v>
      </c>
      <c r="AS441" s="45">
        <f t="shared" si="140"/>
        <v>2158.35432684443</v>
      </c>
      <c r="AU441" s="1">
        <v>554148.80000000005</v>
      </c>
      <c r="AV441" s="50">
        <v>0</v>
      </c>
    </row>
    <row r="442" spans="1:48" s="1" customFormat="1" ht="37.200000000000003" thickTop="1" thickBot="1" x14ac:dyDescent="0.55000000000000004">
      <c r="A442" s="33">
        <v>435</v>
      </c>
      <c r="B442" s="34" t="s">
        <v>489</v>
      </c>
      <c r="C442" s="34" t="s">
        <v>965</v>
      </c>
      <c r="D442" s="35" t="s">
        <v>944</v>
      </c>
      <c r="E442" s="35" t="s">
        <v>966</v>
      </c>
      <c r="F442" s="36" t="s">
        <v>1399</v>
      </c>
      <c r="G442" s="36" t="s">
        <v>1420</v>
      </c>
      <c r="H442" s="36" t="s">
        <v>1421</v>
      </c>
      <c r="I442" s="36" t="s">
        <v>1421</v>
      </c>
      <c r="J442" s="36" t="s">
        <v>1421</v>
      </c>
      <c r="K442" s="36">
        <v>375</v>
      </c>
      <c r="L442" s="36" t="s">
        <v>1422</v>
      </c>
      <c r="M442" s="49">
        <v>4</v>
      </c>
      <c r="N442" s="37" t="s">
        <v>1857</v>
      </c>
      <c r="O442" s="37"/>
      <c r="P442" s="36">
        <v>1</v>
      </c>
      <c r="Q442" s="36" t="s">
        <v>1931</v>
      </c>
      <c r="R442" s="36" t="s">
        <v>2342</v>
      </c>
      <c r="S442" s="36" t="s">
        <v>1880</v>
      </c>
      <c r="T442" s="36" t="s">
        <v>1883</v>
      </c>
      <c r="U442" s="38">
        <v>45726</v>
      </c>
      <c r="V442" s="39">
        <v>589339</v>
      </c>
      <c r="W442" s="39" t="s">
        <v>2363</v>
      </c>
      <c r="X442" s="39" t="s">
        <v>2363</v>
      </c>
      <c r="Y442" s="40">
        <f t="shared" si="123"/>
        <v>29466.95</v>
      </c>
      <c r="Z442" s="40">
        <f t="shared" si="124"/>
        <v>618805.94999999995</v>
      </c>
      <c r="AA442" s="41" t="str">
        <f t="shared" si="125"/>
        <v>0.0018</v>
      </c>
      <c r="AB442" s="41">
        <f t="shared" si="126"/>
        <v>0</v>
      </c>
      <c r="AC442" s="41">
        <f t="shared" si="127"/>
        <v>0</v>
      </c>
      <c r="AD442" s="41">
        <f t="shared" si="128"/>
        <v>0</v>
      </c>
      <c r="AE442" s="41">
        <f t="shared" si="129"/>
        <v>0</v>
      </c>
      <c r="AF442" s="41">
        <f t="shared" si="130"/>
        <v>0</v>
      </c>
      <c r="AG442" s="41">
        <f t="shared" si="131"/>
        <v>0</v>
      </c>
      <c r="AH442" s="41">
        <f t="shared" si="132"/>
        <v>0</v>
      </c>
      <c r="AI442" s="41">
        <f t="shared" si="133"/>
        <v>0</v>
      </c>
      <c r="AJ442" s="41">
        <f t="shared" si="134"/>
        <v>296</v>
      </c>
      <c r="AK442" s="41">
        <f t="shared" si="135"/>
        <v>181</v>
      </c>
      <c r="AL442" s="42">
        <f t="shared" si="136"/>
        <v>2.906329315068493</v>
      </c>
      <c r="AM442" s="42">
        <f t="shared" si="137"/>
        <v>526.04560602739718</v>
      </c>
      <c r="AN442" s="43">
        <f t="shared" si="122"/>
        <v>412537.3</v>
      </c>
      <c r="AO442" s="43"/>
      <c r="AP442" s="42">
        <f t="shared" si="138"/>
        <v>206268.64999999997</v>
      </c>
      <c r="AQ442" s="43">
        <v>4</v>
      </c>
      <c r="AR442" s="44">
        <f t="shared" si="139"/>
        <v>0.66666666666666674</v>
      </c>
      <c r="AS442" s="45">
        <f t="shared" si="140"/>
        <v>1571.5706666666667</v>
      </c>
      <c r="AU442" s="1">
        <v>412537.3</v>
      </c>
      <c r="AV442" s="50">
        <v>0</v>
      </c>
    </row>
    <row r="443" spans="1:48" s="1" customFormat="1" ht="37.200000000000003" thickTop="1" thickBot="1" x14ac:dyDescent="0.55000000000000004">
      <c r="A443" s="33">
        <v>436</v>
      </c>
      <c r="B443" s="34" t="s">
        <v>490</v>
      </c>
      <c r="C443" s="34" t="s">
        <v>965</v>
      </c>
      <c r="D443" s="35" t="s">
        <v>945</v>
      </c>
      <c r="E443" s="35" t="s">
        <v>966</v>
      </c>
      <c r="F443" s="36" t="s">
        <v>1400</v>
      </c>
      <c r="G443" s="36" t="s">
        <v>1420</v>
      </c>
      <c r="H443" s="36" t="s">
        <v>1421</v>
      </c>
      <c r="I443" s="36" t="s">
        <v>1421</v>
      </c>
      <c r="J443" s="36" t="s">
        <v>1421</v>
      </c>
      <c r="K443" s="36">
        <v>362.28</v>
      </c>
      <c r="L443" s="36" t="s">
        <v>1422</v>
      </c>
      <c r="M443" s="49">
        <v>4</v>
      </c>
      <c r="N443" s="37" t="s">
        <v>1858</v>
      </c>
      <c r="O443" s="37"/>
      <c r="P443" s="36">
        <v>2</v>
      </c>
      <c r="Q443" s="36" t="s">
        <v>1972</v>
      </c>
      <c r="R443" s="36" t="s">
        <v>2343</v>
      </c>
      <c r="S443" s="36" t="s">
        <v>1880</v>
      </c>
      <c r="T443" s="36" t="s">
        <v>1881</v>
      </c>
      <c r="U443" s="38">
        <v>45728</v>
      </c>
      <c r="V443" s="39">
        <v>884834.5</v>
      </c>
      <c r="W443" s="39" t="s">
        <v>2363</v>
      </c>
      <c r="X443" s="39" t="s">
        <v>2363</v>
      </c>
      <c r="Y443" s="40">
        <f t="shared" si="123"/>
        <v>44241.724999999999</v>
      </c>
      <c r="Z443" s="40">
        <f t="shared" si="124"/>
        <v>929076.22499999998</v>
      </c>
      <c r="AA443" s="41" t="str">
        <f t="shared" si="125"/>
        <v>0.0022</v>
      </c>
      <c r="AB443" s="41">
        <f t="shared" si="126"/>
        <v>0</v>
      </c>
      <c r="AC443" s="41">
        <f t="shared" si="127"/>
        <v>0</v>
      </c>
      <c r="AD443" s="41">
        <f t="shared" si="128"/>
        <v>0</v>
      </c>
      <c r="AE443" s="41">
        <f t="shared" si="129"/>
        <v>0</v>
      </c>
      <c r="AF443" s="41">
        <f t="shared" si="130"/>
        <v>0</v>
      </c>
      <c r="AG443" s="41">
        <f t="shared" si="131"/>
        <v>0</v>
      </c>
      <c r="AH443" s="41">
        <f t="shared" si="132"/>
        <v>0</v>
      </c>
      <c r="AI443" s="41">
        <f t="shared" si="133"/>
        <v>0</v>
      </c>
      <c r="AJ443" s="41">
        <f t="shared" si="134"/>
        <v>294</v>
      </c>
      <c r="AK443" s="41">
        <f t="shared" si="135"/>
        <v>181</v>
      </c>
      <c r="AL443" s="42">
        <f t="shared" si="136"/>
        <v>5.3332490410958906</v>
      </c>
      <c r="AM443" s="42">
        <f t="shared" si="137"/>
        <v>965.31807643835623</v>
      </c>
      <c r="AN443" s="43">
        <f t="shared" si="122"/>
        <v>663625.87999999989</v>
      </c>
      <c r="AO443" s="43"/>
      <c r="AP443" s="42">
        <f t="shared" si="138"/>
        <v>265450.34500000009</v>
      </c>
      <c r="AQ443" s="43">
        <v>4</v>
      </c>
      <c r="AR443" s="44">
        <f t="shared" si="139"/>
        <v>0.71428571966740395</v>
      </c>
      <c r="AS443" s="45">
        <f t="shared" si="140"/>
        <v>2442.4050458209122</v>
      </c>
      <c r="AU443" s="1">
        <v>530900.69999999995</v>
      </c>
      <c r="AV443" s="50">
        <v>132725.18</v>
      </c>
    </row>
    <row r="444" spans="1:48" s="1" customFormat="1" ht="37.200000000000003" thickTop="1" thickBot="1" x14ac:dyDescent="0.55000000000000004">
      <c r="A444" s="33">
        <v>437</v>
      </c>
      <c r="B444" s="34" t="s">
        <v>491</v>
      </c>
      <c r="C444" s="34" t="s">
        <v>965</v>
      </c>
      <c r="D444" s="35" t="s">
        <v>946</v>
      </c>
      <c r="E444" s="35" t="s">
        <v>966</v>
      </c>
      <c r="F444" s="36" t="s">
        <v>1401</v>
      </c>
      <c r="G444" s="36" t="s">
        <v>1420</v>
      </c>
      <c r="H444" s="36" t="s">
        <v>1421</v>
      </c>
      <c r="I444" s="36" t="s">
        <v>1421</v>
      </c>
      <c r="J444" s="36" t="s">
        <v>1421</v>
      </c>
      <c r="K444" s="36">
        <v>357.44</v>
      </c>
      <c r="L444" s="36" t="s">
        <v>1422</v>
      </c>
      <c r="M444" s="49">
        <v>4</v>
      </c>
      <c r="N444" s="37" t="s">
        <v>1859</v>
      </c>
      <c r="O444" s="37"/>
      <c r="P444" s="36">
        <v>2</v>
      </c>
      <c r="Q444" s="36" t="s">
        <v>1964</v>
      </c>
      <c r="R444" s="36" t="s">
        <v>2344</v>
      </c>
      <c r="S444" s="36" t="s">
        <v>1880</v>
      </c>
      <c r="T444" s="36" t="s">
        <v>1881</v>
      </c>
      <c r="U444" s="38">
        <v>45735</v>
      </c>
      <c r="V444" s="39">
        <v>875215.52</v>
      </c>
      <c r="W444" s="39" t="s">
        <v>2363</v>
      </c>
      <c r="X444" s="39" t="s">
        <v>2363</v>
      </c>
      <c r="Y444" s="40">
        <f t="shared" si="123"/>
        <v>43760.775999999998</v>
      </c>
      <c r="Z444" s="40">
        <f t="shared" si="124"/>
        <v>918976.29599999997</v>
      </c>
      <c r="AA444" s="41" t="str">
        <f t="shared" si="125"/>
        <v>0.0022</v>
      </c>
      <c r="AB444" s="41">
        <f t="shared" si="126"/>
        <v>0</v>
      </c>
      <c r="AC444" s="41">
        <f t="shared" si="127"/>
        <v>0</v>
      </c>
      <c r="AD444" s="41">
        <f t="shared" si="128"/>
        <v>0</v>
      </c>
      <c r="AE444" s="41">
        <f t="shared" si="129"/>
        <v>0</v>
      </c>
      <c r="AF444" s="41">
        <f t="shared" si="130"/>
        <v>0</v>
      </c>
      <c r="AG444" s="41">
        <f t="shared" si="131"/>
        <v>0</v>
      </c>
      <c r="AH444" s="41">
        <f t="shared" si="132"/>
        <v>0</v>
      </c>
      <c r="AI444" s="41">
        <f t="shared" si="133"/>
        <v>0</v>
      </c>
      <c r="AJ444" s="41">
        <f t="shared" si="134"/>
        <v>287</v>
      </c>
      <c r="AK444" s="41">
        <f t="shared" si="135"/>
        <v>181</v>
      </c>
      <c r="AL444" s="42">
        <f t="shared" si="136"/>
        <v>5.2752716273972613</v>
      </c>
      <c r="AM444" s="42">
        <f t="shared" si="137"/>
        <v>954.82416455890427</v>
      </c>
      <c r="AN444" s="43">
        <f t="shared" si="122"/>
        <v>656411.63</v>
      </c>
      <c r="AO444" s="43"/>
      <c r="AP444" s="42">
        <f t="shared" si="138"/>
        <v>262564.66599999997</v>
      </c>
      <c r="AQ444" s="43">
        <v>4</v>
      </c>
      <c r="AR444" s="44">
        <f t="shared" si="139"/>
        <v>0.71428570340404085</v>
      </c>
      <c r="AS444" s="45">
        <f t="shared" si="140"/>
        <v>2448.5662488809312</v>
      </c>
      <c r="AU444" s="1">
        <v>525129.30000000005</v>
      </c>
      <c r="AV444" s="50">
        <v>131282.32999999999</v>
      </c>
    </row>
    <row r="445" spans="1:48" s="1" customFormat="1" ht="37.200000000000003" thickTop="1" thickBot="1" x14ac:dyDescent="0.55000000000000004">
      <c r="A445" s="33">
        <v>438</v>
      </c>
      <c r="B445" s="34" t="s">
        <v>492</v>
      </c>
      <c r="C445" s="34" t="s">
        <v>965</v>
      </c>
      <c r="D445" s="35" t="s">
        <v>947</v>
      </c>
      <c r="E445" s="35" t="s">
        <v>966</v>
      </c>
      <c r="F445" s="36" t="s">
        <v>1402</v>
      </c>
      <c r="G445" s="36" t="s">
        <v>1420</v>
      </c>
      <c r="H445" s="36" t="s">
        <v>1421</v>
      </c>
      <c r="I445" s="36" t="s">
        <v>1421</v>
      </c>
      <c r="J445" s="36" t="s">
        <v>1421</v>
      </c>
      <c r="K445" s="36">
        <v>385.9</v>
      </c>
      <c r="L445" s="36" t="s">
        <v>1422</v>
      </c>
      <c r="M445" s="49">
        <v>4</v>
      </c>
      <c r="N445" s="37" t="s">
        <v>1860</v>
      </c>
      <c r="O445" s="37"/>
      <c r="P445" s="36">
        <v>1</v>
      </c>
      <c r="Q445" s="36" t="s">
        <v>2032</v>
      </c>
      <c r="R445" s="36" t="s">
        <v>2345</v>
      </c>
      <c r="S445" s="36" t="s">
        <v>1880</v>
      </c>
      <c r="T445" s="36" t="s">
        <v>1901</v>
      </c>
      <c r="U445" s="38">
        <v>45736</v>
      </c>
      <c r="V445" s="39">
        <v>889444.44</v>
      </c>
      <c r="W445" s="39" t="s">
        <v>2363</v>
      </c>
      <c r="X445" s="39" t="s">
        <v>2363</v>
      </c>
      <c r="Y445" s="40">
        <f t="shared" si="123"/>
        <v>44472.221999999994</v>
      </c>
      <c r="Z445" s="40">
        <f t="shared" si="124"/>
        <v>933916.66199999989</v>
      </c>
      <c r="AA445" s="41" t="str">
        <f t="shared" si="125"/>
        <v>0.0022</v>
      </c>
      <c r="AB445" s="41">
        <f t="shared" si="126"/>
        <v>0</v>
      </c>
      <c r="AC445" s="41">
        <f t="shared" si="127"/>
        <v>0</v>
      </c>
      <c r="AD445" s="41">
        <f t="shared" si="128"/>
        <v>0</v>
      </c>
      <c r="AE445" s="41">
        <f t="shared" si="129"/>
        <v>0</v>
      </c>
      <c r="AF445" s="41">
        <f t="shared" si="130"/>
        <v>0</v>
      </c>
      <c r="AG445" s="41">
        <f t="shared" si="131"/>
        <v>0</v>
      </c>
      <c r="AH445" s="41">
        <f t="shared" si="132"/>
        <v>0</v>
      </c>
      <c r="AI445" s="41">
        <f t="shared" si="133"/>
        <v>0</v>
      </c>
      <c r="AJ445" s="41">
        <f t="shared" si="134"/>
        <v>286</v>
      </c>
      <c r="AK445" s="41">
        <f t="shared" si="135"/>
        <v>181</v>
      </c>
      <c r="AL445" s="42">
        <f t="shared" si="136"/>
        <v>5.361034980821918</v>
      </c>
      <c r="AM445" s="42">
        <f t="shared" si="137"/>
        <v>970.3473315287672</v>
      </c>
      <c r="AN445" s="43">
        <f t="shared" si="122"/>
        <v>844972.07000000007</v>
      </c>
      <c r="AO445" s="43"/>
      <c r="AP445" s="42">
        <f t="shared" si="138"/>
        <v>88944.59199999983</v>
      </c>
      <c r="AQ445" s="43">
        <v>4</v>
      </c>
      <c r="AR445" s="44">
        <f t="shared" si="139"/>
        <v>0.90476174628952077</v>
      </c>
      <c r="AS445" s="45">
        <f t="shared" si="140"/>
        <v>2304.8573205493649</v>
      </c>
      <c r="AU445" s="1">
        <v>533666.67000000004</v>
      </c>
      <c r="AV445" s="50">
        <v>311305.40000000002</v>
      </c>
    </row>
    <row r="446" spans="1:48" s="1" customFormat="1" ht="37.200000000000003" thickTop="1" thickBot="1" x14ac:dyDescent="0.55000000000000004">
      <c r="A446" s="33">
        <v>439</v>
      </c>
      <c r="B446" s="34" t="s">
        <v>493</v>
      </c>
      <c r="C446" s="34" t="s">
        <v>965</v>
      </c>
      <c r="D446" s="35" t="s">
        <v>948</v>
      </c>
      <c r="E446" s="35" t="s">
        <v>966</v>
      </c>
      <c r="F446" s="36" t="s">
        <v>1403</v>
      </c>
      <c r="G446" s="36" t="s">
        <v>1420</v>
      </c>
      <c r="H446" s="36" t="s">
        <v>1421</v>
      </c>
      <c r="I446" s="36" t="s">
        <v>1421</v>
      </c>
      <c r="J446" s="36" t="s">
        <v>1421</v>
      </c>
      <c r="K446" s="36">
        <v>422.77</v>
      </c>
      <c r="L446" s="36" t="s">
        <v>1422</v>
      </c>
      <c r="M446" s="49">
        <v>4</v>
      </c>
      <c r="N446" s="37" t="s">
        <v>1861</v>
      </c>
      <c r="O446" s="37"/>
      <c r="P446" s="36">
        <v>2</v>
      </c>
      <c r="Q446" s="36" t="s">
        <v>2032</v>
      </c>
      <c r="R446" s="36" t="s">
        <v>2346</v>
      </c>
      <c r="S446" s="36" t="s">
        <v>1880</v>
      </c>
      <c r="T446" s="36" t="s">
        <v>1881</v>
      </c>
      <c r="U446" s="38">
        <v>45739</v>
      </c>
      <c r="V446" s="39">
        <v>915079.54</v>
      </c>
      <c r="W446" s="39" t="s">
        <v>2363</v>
      </c>
      <c r="X446" s="39" t="s">
        <v>2363</v>
      </c>
      <c r="Y446" s="40">
        <f t="shared" si="123"/>
        <v>45753.976999999999</v>
      </c>
      <c r="Z446" s="40">
        <f t="shared" si="124"/>
        <v>960833.51699999999</v>
      </c>
      <c r="AA446" s="41" t="str">
        <f t="shared" si="125"/>
        <v>0.0022</v>
      </c>
      <c r="AB446" s="41">
        <f t="shared" si="126"/>
        <v>0</v>
      </c>
      <c r="AC446" s="41">
        <f t="shared" si="127"/>
        <v>0</v>
      </c>
      <c r="AD446" s="41">
        <f t="shared" si="128"/>
        <v>0</v>
      </c>
      <c r="AE446" s="41">
        <f t="shared" si="129"/>
        <v>0</v>
      </c>
      <c r="AF446" s="41">
        <f t="shared" si="130"/>
        <v>0</v>
      </c>
      <c r="AG446" s="41">
        <f t="shared" si="131"/>
        <v>0</v>
      </c>
      <c r="AH446" s="41">
        <f t="shared" si="132"/>
        <v>0</v>
      </c>
      <c r="AI446" s="41">
        <f t="shared" si="133"/>
        <v>0</v>
      </c>
      <c r="AJ446" s="41">
        <f t="shared" si="134"/>
        <v>283</v>
      </c>
      <c r="AK446" s="41">
        <f t="shared" si="135"/>
        <v>181</v>
      </c>
      <c r="AL446" s="42">
        <f t="shared" si="136"/>
        <v>5.5155479123287678</v>
      </c>
      <c r="AM446" s="42">
        <f t="shared" si="137"/>
        <v>998.31417213150701</v>
      </c>
      <c r="AN446" s="43">
        <f t="shared" si="122"/>
        <v>686309.66999999993</v>
      </c>
      <c r="AO446" s="43"/>
      <c r="AP446" s="42">
        <f t="shared" si="138"/>
        <v>274523.84700000007</v>
      </c>
      <c r="AQ446" s="43">
        <v>4</v>
      </c>
      <c r="AR446" s="44">
        <f t="shared" si="139"/>
        <v>0.71428572989715966</v>
      </c>
      <c r="AS446" s="45">
        <f t="shared" si="140"/>
        <v>2164.4855122170447</v>
      </c>
      <c r="AU446" s="1">
        <v>549047.73</v>
      </c>
      <c r="AV446" s="50">
        <v>137261.94</v>
      </c>
    </row>
    <row r="447" spans="1:48" s="1" customFormat="1" ht="37.200000000000003" thickTop="1" thickBot="1" x14ac:dyDescent="0.55000000000000004">
      <c r="A447" s="33">
        <v>440</v>
      </c>
      <c r="B447" s="34" t="s">
        <v>494</v>
      </c>
      <c r="C447" s="34" t="s">
        <v>965</v>
      </c>
      <c r="D447" s="35" t="s">
        <v>949</v>
      </c>
      <c r="E447" s="35" t="s">
        <v>966</v>
      </c>
      <c r="F447" s="36" t="s">
        <v>1404</v>
      </c>
      <c r="G447" s="36" t="s">
        <v>1420</v>
      </c>
      <c r="H447" s="36" t="s">
        <v>1421</v>
      </c>
      <c r="I447" s="36" t="s">
        <v>1421</v>
      </c>
      <c r="J447" s="36" t="s">
        <v>1421</v>
      </c>
      <c r="K447" s="36">
        <v>350</v>
      </c>
      <c r="L447" s="36" t="s">
        <v>1422</v>
      </c>
      <c r="M447" s="49">
        <v>4</v>
      </c>
      <c r="N447" s="37" t="s">
        <v>1862</v>
      </c>
      <c r="O447" s="37"/>
      <c r="P447" s="36">
        <v>1</v>
      </c>
      <c r="Q447" s="36" t="s">
        <v>1939</v>
      </c>
      <c r="R447" s="36" t="s">
        <v>2347</v>
      </c>
      <c r="S447" s="36" t="s">
        <v>1880</v>
      </c>
      <c r="T447" s="36" t="s">
        <v>1881</v>
      </c>
      <c r="U447" s="38">
        <v>45743</v>
      </c>
      <c r="V447" s="39">
        <v>873874</v>
      </c>
      <c r="W447" s="39" t="s">
        <v>2363</v>
      </c>
      <c r="X447" s="39" t="s">
        <v>2363</v>
      </c>
      <c r="Y447" s="40">
        <f t="shared" si="123"/>
        <v>43693.7</v>
      </c>
      <c r="Z447" s="40">
        <f t="shared" si="124"/>
        <v>917567.7</v>
      </c>
      <c r="AA447" s="41" t="str">
        <f t="shared" si="125"/>
        <v>0.0022</v>
      </c>
      <c r="AB447" s="41">
        <f t="shared" si="126"/>
        <v>0</v>
      </c>
      <c r="AC447" s="41">
        <f t="shared" si="127"/>
        <v>0</v>
      </c>
      <c r="AD447" s="41">
        <f t="shared" si="128"/>
        <v>0</v>
      </c>
      <c r="AE447" s="41">
        <f t="shared" si="129"/>
        <v>0</v>
      </c>
      <c r="AF447" s="41">
        <f t="shared" si="130"/>
        <v>0</v>
      </c>
      <c r="AG447" s="41">
        <f t="shared" si="131"/>
        <v>0</v>
      </c>
      <c r="AH447" s="41">
        <f t="shared" si="132"/>
        <v>0</v>
      </c>
      <c r="AI447" s="41">
        <f t="shared" si="133"/>
        <v>0</v>
      </c>
      <c r="AJ447" s="41">
        <f t="shared" si="134"/>
        <v>279</v>
      </c>
      <c r="AK447" s="41">
        <f t="shared" si="135"/>
        <v>181</v>
      </c>
      <c r="AL447" s="42">
        <f t="shared" si="136"/>
        <v>5.2671857534246582</v>
      </c>
      <c r="AM447" s="42">
        <f t="shared" si="137"/>
        <v>953.36062136986311</v>
      </c>
      <c r="AN447" s="43">
        <f t="shared" si="122"/>
        <v>655405.49999999988</v>
      </c>
      <c r="AO447" s="43"/>
      <c r="AP447" s="42">
        <f t="shared" si="138"/>
        <v>262162.20000000007</v>
      </c>
      <c r="AQ447" s="43">
        <v>4</v>
      </c>
      <c r="AR447" s="44">
        <f t="shared" si="139"/>
        <v>0.71428571428571419</v>
      </c>
      <c r="AS447" s="45">
        <f t="shared" si="140"/>
        <v>2496.7828571428572</v>
      </c>
      <c r="AU447" s="1">
        <v>524324.39999999991</v>
      </c>
      <c r="AV447" s="50">
        <v>131081.1</v>
      </c>
    </row>
    <row r="448" spans="1:48" s="1" customFormat="1" ht="37.200000000000003" thickTop="1" thickBot="1" x14ac:dyDescent="0.55000000000000004">
      <c r="A448" s="33">
        <v>441</v>
      </c>
      <c r="B448" s="34" t="s">
        <v>495</v>
      </c>
      <c r="C448" s="34" t="s">
        <v>965</v>
      </c>
      <c r="D448" s="35" t="s">
        <v>950</v>
      </c>
      <c r="E448" s="35" t="s">
        <v>966</v>
      </c>
      <c r="F448" s="36" t="s">
        <v>1405</v>
      </c>
      <c r="G448" s="36" t="s">
        <v>1420</v>
      </c>
      <c r="H448" s="36" t="s">
        <v>1421</v>
      </c>
      <c r="I448" s="36" t="s">
        <v>1421</v>
      </c>
      <c r="J448" s="36" t="s">
        <v>1421</v>
      </c>
      <c r="K448" s="36">
        <v>362.5</v>
      </c>
      <c r="L448" s="36" t="s">
        <v>1422</v>
      </c>
      <c r="M448" s="49">
        <v>4</v>
      </c>
      <c r="N448" s="37" t="s">
        <v>1863</v>
      </c>
      <c r="O448" s="37"/>
      <c r="P448" s="36">
        <v>2</v>
      </c>
      <c r="Q448" s="36" t="s">
        <v>1941</v>
      </c>
      <c r="R448" s="36" t="s">
        <v>2348</v>
      </c>
      <c r="S448" s="36" t="s">
        <v>1880</v>
      </c>
      <c r="T448" s="36" t="s">
        <v>1883</v>
      </c>
      <c r="U448" s="38">
        <v>45762</v>
      </c>
      <c r="V448" s="39">
        <v>622796</v>
      </c>
      <c r="W448" s="39" t="s">
        <v>2363</v>
      </c>
      <c r="X448" s="39" t="s">
        <v>2363</v>
      </c>
      <c r="Y448" s="40">
        <f t="shared" si="123"/>
        <v>31139.8</v>
      </c>
      <c r="Z448" s="40">
        <f t="shared" si="124"/>
        <v>653935.80000000005</v>
      </c>
      <c r="AA448" s="41" t="str">
        <f t="shared" si="125"/>
        <v>0.0018</v>
      </c>
      <c r="AB448" s="41">
        <f t="shared" si="126"/>
        <v>0</v>
      </c>
      <c r="AC448" s="41">
        <f t="shared" si="127"/>
        <v>0</v>
      </c>
      <c r="AD448" s="41">
        <f t="shared" si="128"/>
        <v>0</v>
      </c>
      <c r="AE448" s="41">
        <f t="shared" si="129"/>
        <v>0</v>
      </c>
      <c r="AF448" s="41">
        <f t="shared" si="130"/>
        <v>0</v>
      </c>
      <c r="AG448" s="41">
        <f t="shared" si="131"/>
        <v>0</v>
      </c>
      <c r="AH448" s="41">
        <f t="shared" si="132"/>
        <v>0</v>
      </c>
      <c r="AI448" s="41">
        <f t="shared" si="133"/>
        <v>0</v>
      </c>
      <c r="AJ448" s="41">
        <f t="shared" si="134"/>
        <v>260</v>
      </c>
      <c r="AK448" s="41">
        <f t="shared" si="135"/>
        <v>181</v>
      </c>
      <c r="AL448" s="42">
        <f t="shared" si="136"/>
        <v>3.0713227397260274</v>
      </c>
      <c r="AM448" s="42">
        <f t="shared" si="137"/>
        <v>555.90941589041097</v>
      </c>
      <c r="AN448" s="43">
        <f t="shared" si="122"/>
        <v>529376.6</v>
      </c>
      <c r="AO448" s="43"/>
      <c r="AP448" s="42">
        <f t="shared" si="138"/>
        <v>124559.20000000007</v>
      </c>
      <c r="AQ448" s="43">
        <v>5</v>
      </c>
      <c r="AR448" s="44">
        <f t="shared" si="139"/>
        <v>0.80952380952380942</v>
      </c>
      <c r="AS448" s="45">
        <f t="shared" si="140"/>
        <v>1718.0579310344829</v>
      </c>
      <c r="AU448" s="1">
        <v>435957.2</v>
      </c>
      <c r="AV448" s="50">
        <v>93419.4</v>
      </c>
    </row>
    <row r="449" spans="1:48" s="1" customFormat="1" ht="37.200000000000003" thickTop="1" thickBot="1" x14ac:dyDescent="0.55000000000000004">
      <c r="A449" s="33">
        <v>442</v>
      </c>
      <c r="B449" s="34" t="s">
        <v>496</v>
      </c>
      <c r="C449" s="34" t="s">
        <v>965</v>
      </c>
      <c r="D449" s="35" t="s">
        <v>951</v>
      </c>
      <c r="E449" s="35" t="s">
        <v>966</v>
      </c>
      <c r="F449" s="36" t="s">
        <v>1406</v>
      </c>
      <c r="G449" s="36" t="s">
        <v>1420</v>
      </c>
      <c r="H449" s="36" t="s">
        <v>1421</v>
      </c>
      <c r="I449" s="36" t="s">
        <v>1421</v>
      </c>
      <c r="J449" s="36" t="s">
        <v>1421</v>
      </c>
      <c r="K449" s="36">
        <v>349.89</v>
      </c>
      <c r="L449" s="36" t="s">
        <v>1422</v>
      </c>
      <c r="M449" s="49">
        <v>4</v>
      </c>
      <c r="N449" s="37" t="s">
        <v>1864</v>
      </c>
      <c r="O449" s="37"/>
      <c r="P449" s="36">
        <v>1</v>
      </c>
      <c r="Q449" s="36" t="s">
        <v>1972</v>
      </c>
      <c r="R449" s="36" t="s">
        <v>2349</v>
      </c>
      <c r="S449" s="36" t="s">
        <v>1880</v>
      </c>
      <c r="T449" s="36" t="s">
        <v>1881</v>
      </c>
      <c r="U449" s="38">
        <v>45763</v>
      </c>
      <c r="V449" s="39">
        <v>623989</v>
      </c>
      <c r="W449" s="39" t="s">
        <v>2363</v>
      </c>
      <c r="X449" s="39" t="s">
        <v>2363</v>
      </c>
      <c r="Y449" s="40">
        <f t="shared" si="123"/>
        <v>31199.45</v>
      </c>
      <c r="Z449" s="40">
        <f t="shared" si="124"/>
        <v>655188.44999999995</v>
      </c>
      <c r="AA449" s="41" t="str">
        <f t="shared" si="125"/>
        <v>0.0018</v>
      </c>
      <c r="AB449" s="41">
        <f t="shared" si="126"/>
        <v>0</v>
      </c>
      <c r="AC449" s="41">
        <f t="shared" si="127"/>
        <v>0</v>
      </c>
      <c r="AD449" s="41">
        <f t="shared" si="128"/>
        <v>0</v>
      </c>
      <c r="AE449" s="41">
        <f t="shared" si="129"/>
        <v>0</v>
      </c>
      <c r="AF449" s="41">
        <f t="shared" si="130"/>
        <v>0</v>
      </c>
      <c r="AG449" s="41">
        <f t="shared" si="131"/>
        <v>0</v>
      </c>
      <c r="AH449" s="41">
        <f t="shared" si="132"/>
        <v>0</v>
      </c>
      <c r="AI449" s="41">
        <f t="shared" si="133"/>
        <v>0</v>
      </c>
      <c r="AJ449" s="41">
        <f t="shared" si="134"/>
        <v>259</v>
      </c>
      <c r="AK449" s="41">
        <f t="shared" si="135"/>
        <v>181</v>
      </c>
      <c r="AL449" s="42">
        <f t="shared" si="136"/>
        <v>3.0772060273972603</v>
      </c>
      <c r="AM449" s="42">
        <f t="shared" si="137"/>
        <v>556.97429095890413</v>
      </c>
      <c r="AN449" s="43">
        <f t="shared" si="122"/>
        <v>499191.2</v>
      </c>
      <c r="AO449" s="43"/>
      <c r="AP449" s="42">
        <f t="shared" si="138"/>
        <v>155997.24999999994</v>
      </c>
      <c r="AQ449" s="43">
        <v>4</v>
      </c>
      <c r="AR449" s="44">
        <f t="shared" si="139"/>
        <v>0.76190476190476197</v>
      </c>
      <c r="AS449" s="45">
        <f t="shared" si="140"/>
        <v>1783.3862070936582</v>
      </c>
      <c r="AU449" s="1">
        <v>499191.2</v>
      </c>
      <c r="AV449" s="50">
        <v>0</v>
      </c>
    </row>
    <row r="450" spans="1:48" s="1" customFormat="1" ht="37.200000000000003" thickTop="1" thickBot="1" x14ac:dyDescent="0.55000000000000004">
      <c r="A450" s="33">
        <v>443</v>
      </c>
      <c r="B450" s="34" t="s">
        <v>497</v>
      </c>
      <c r="C450" s="34" t="s">
        <v>965</v>
      </c>
      <c r="D450" s="35" t="s">
        <v>952</v>
      </c>
      <c r="E450" s="35" t="s">
        <v>966</v>
      </c>
      <c r="F450" s="36" t="s">
        <v>1407</v>
      </c>
      <c r="G450" s="36" t="s">
        <v>1420</v>
      </c>
      <c r="H450" s="36" t="s">
        <v>1421</v>
      </c>
      <c r="I450" s="36" t="s">
        <v>1421</v>
      </c>
      <c r="J450" s="36" t="s">
        <v>1421</v>
      </c>
      <c r="K450" s="36">
        <v>368.61</v>
      </c>
      <c r="L450" s="36" t="s">
        <v>1422</v>
      </c>
      <c r="M450" s="49">
        <v>4</v>
      </c>
      <c r="N450" s="37" t="s">
        <v>1865</v>
      </c>
      <c r="O450" s="37"/>
      <c r="P450" s="36">
        <v>1</v>
      </c>
      <c r="Q450" s="36" t="s">
        <v>1943</v>
      </c>
      <c r="R450" s="36" t="s">
        <v>2350</v>
      </c>
      <c r="S450" s="36" t="s">
        <v>1880</v>
      </c>
      <c r="T450" s="36" t="s">
        <v>1883</v>
      </c>
      <c r="U450" s="38">
        <v>45774</v>
      </c>
      <c r="V450" s="39">
        <v>666575</v>
      </c>
      <c r="W450" s="39" t="s">
        <v>2363</v>
      </c>
      <c r="X450" s="39" t="s">
        <v>2363</v>
      </c>
      <c r="Y450" s="40">
        <f t="shared" si="123"/>
        <v>33328.75</v>
      </c>
      <c r="Z450" s="40">
        <f t="shared" si="124"/>
        <v>699903.75</v>
      </c>
      <c r="AA450" s="41" t="str">
        <f t="shared" si="125"/>
        <v>0.0018</v>
      </c>
      <c r="AB450" s="41">
        <f t="shared" si="126"/>
        <v>0</v>
      </c>
      <c r="AC450" s="41">
        <f t="shared" si="127"/>
        <v>0</v>
      </c>
      <c r="AD450" s="41">
        <f t="shared" si="128"/>
        <v>0</v>
      </c>
      <c r="AE450" s="41">
        <f t="shared" si="129"/>
        <v>0</v>
      </c>
      <c r="AF450" s="41">
        <f t="shared" si="130"/>
        <v>0</v>
      </c>
      <c r="AG450" s="41">
        <f t="shared" si="131"/>
        <v>0</v>
      </c>
      <c r="AH450" s="41">
        <f t="shared" si="132"/>
        <v>0</v>
      </c>
      <c r="AI450" s="41">
        <f t="shared" si="133"/>
        <v>0</v>
      </c>
      <c r="AJ450" s="41">
        <f t="shared" si="134"/>
        <v>248</v>
      </c>
      <c r="AK450" s="41">
        <f t="shared" si="135"/>
        <v>181</v>
      </c>
      <c r="AL450" s="42">
        <f t="shared" si="136"/>
        <v>3.287219178082192</v>
      </c>
      <c r="AM450" s="42">
        <f t="shared" si="137"/>
        <v>594.9866712328768</v>
      </c>
      <c r="AN450" s="43">
        <f t="shared" si="122"/>
        <v>566588.75</v>
      </c>
      <c r="AO450" s="43"/>
      <c r="AP450" s="42">
        <f t="shared" si="138"/>
        <v>133315</v>
      </c>
      <c r="AQ450" s="43">
        <v>5</v>
      </c>
      <c r="AR450" s="44">
        <f t="shared" si="139"/>
        <v>0.80952380952380953</v>
      </c>
      <c r="AS450" s="45">
        <f t="shared" si="140"/>
        <v>1808.3475760288652</v>
      </c>
      <c r="AU450" s="1">
        <v>466602.5</v>
      </c>
      <c r="AV450" s="50">
        <v>99986.25</v>
      </c>
    </row>
    <row r="451" spans="1:48" s="1" customFormat="1" ht="37.200000000000003" thickTop="1" thickBot="1" x14ac:dyDescent="0.55000000000000004">
      <c r="A451" s="33">
        <v>444</v>
      </c>
      <c r="B451" s="34" t="s">
        <v>498</v>
      </c>
      <c r="C451" s="34" t="s">
        <v>965</v>
      </c>
      <c r="D451" s="35" t="s">
        <v>953</v>
      </c>
      <c r="E451" s="35" t="s">
        <v>966</v>
      </c>
      <c r="F451" s="36" t="s">
        <v>1408</v>
      </c>
      <c r="G451" s="36" t="s">
        <v>1420</v>
      </c>
      <c r="H451" s="36" t="s">
        <v>1421</v>
      </c>
      <c r="I451" s="36" t="s">
        <v>1421</v>
      </c>
      <c r="J451" s="36" t="s">
        <v>1421</v>
      </c>
      <c r="K451" s="36">
        <v>375</v>
      </c>
      <c r="L451" s="36" t="s">
        <v>1422</v>
      </c>
      <c r="M451" s="49">
        <v>4</v>
      </c>
      <c r="N451" s="37" t="s">
        <v>1866</v>
      </c>
      <c r="O451" s="37"/>
      <c r="P451" s="36">
        <v>1</v>
      </c>
      <c r="Q451" s="36" t="s">
        <v>1931</v>
      </c>
      <c r="R451" s="36" t="s">
        <v>2351</v>
      </c>
      <c r="S451" s="36" t="s">
        <v>1880</v>
      </c>
      <c r="T451" s="36" t="s">
        <v>1881</v>
      </c>
      <c r="U451" s="38">
        <v>45791</v>
      </c>
      <c r="V451" s="39">
        <v>605543</v>
      </c>
      <c r="W451" s="39" t="s">
        <v>2363</v>
      </c>
      <c r="X451" s="39" t="s">
        <v>2363</v>
      </c>
      <c r="Y451" s="40">
        <f t="shared" si="123"/>
        <v>30277.15</v>
      </c>
      <c r="Z451" s="40">
        <f t="shared" si="124"/>
        <v>635820.15</v>
      </c>
      <c r="AA451" s="41" t="str">
        <f t="shared" si="125"/>
        <v>0.0018</v>
      </c>
      <c r="AB451" s="41">
        <f t="shared" si="126"/>
        <v>0</v>
      </c>
      <c r="AC451" s="41">
        <f t="shared" si="127"/>
        <v>0</v>
      </c>
      <c r="AD451" s="41">
        <f t="shared" si="128"/>
        <v>0</v>
      </c>
      <c r="AE451" s="41">
        <f t="shared" si="129"/>
        <v>0</v>
      </c>
      <c r="AF451" s="41">
        <f t="shared" si="130"/>
        <v>0</v>
      </c>
      <c r="AG451" s="41">
        <f t="shared" si="131"/>
        <v>0</v>
      </c>
      <c r="AH451" s="41">
        <f t="shared" si="132"/>
        <v>0</v>
      </c>
      <c r="AI451" s="41">
        <f t="shared" si="133"/>
        <v>0</v>
      </c>
      <c r="AJ451" s="41">
        <f t="shared" si="134"/>
        <v>231</v>
      </c>
      <c r="AK451" s="41">
        <f t="shared" si="135"/>
        <v>181</v>
      </c>
      <c r="AL451" s="42">
        <f t="shared" si="136"/>
        <v>2.9862394520547944</v>
      </c>
      <c r="AM451" s="42">
        <f t="shared" si="137"/>
        <v>540.50934082191782</v>
      </c>
      <c r="AN451" s="43">
        <f t="shared" si="122"/>
        <v>242217.2</v>
      </c>
      <c r="AO451" s="43"/>
      <c r="AP451" s="42">
        <f t="shared" si="138"/>
        <v>393602.95</v>
      </c>
      <c r="AQ451" s="43">
        <v>2</v>
      </c>
      <c r="AR451" s="44">
        <f t="shared" si="139"/>
        <v>0.38095238095238093</v>
      </c>
      <c r="AS451" s="45">
        <f t="shared" si="140"/>
        <v>1614.7813333333334</v>
      </c>
      <c r="AU451" s="1">
        <v>242217.2</v>
      </c>
      <c r="AV451" s="50">
        <v>0</v>
      </c>
    </row>
    <row r="452" spans="1:48" s="1" customFormat="1" ht="37.200000000000003" thickTop="1" thickBot="1" x14ac:dyDescent="0.55000000000000004">
      <c r="A452" s="33">
        <v>445</v>
      </c>
      <c r="B452" s="34" t="s">
        <v>499</v>
      </c>
      <c r="C452" s="34" t="s">
        <v>965</v>
      </c>
      <c r="D452" s="35" t="s">
        <v>954</v>
      </c>
      <c r="E452" s="35" t="s">
        <v>966</v>
      </c>
      <c r="F452" s="36" t="s">
        <v>1409</v>
      </c>
      <c r="G452" s="36" t="s">
        <v>1420</v>
      </c>
      <c r="H452" s="36" t="s">
        <v>1421</v>
      </c>
      <c r="I452" s="36" t="s">
        <v>1421</v>
      </c>
      <c r="J452" s="36" t="s">
        <v>1421</v>
      </c>
      <c r="K452" s="36">
        <v>362.5</v>
      </c>
      <c r="L452" s="36" t="s">
        <v>1422</v>
      </c>
      <c r="M452" s="49">
        <v>4</v>
      </c>
      <c r="N452" s="37" t="s">
        <v>1867</v>
      </c>
      <c r="O452" s="37"/>
      <c r="P452" s="36">
        <v>1</v>
      </c>
      <c r="Q452" s="36" t="s">
        <v>1941</v>
      </c>
      <c r="R452" s="36" t="s">
        <v>2352</v>
      </c>
      <c r="S452" s="36" t="s">
        <v>1880</v>
      </c>
      <c r="T452" s="36" t="s">
        <v>1883</v>
      </c>
      <c r="U452" s="38">
        <v>45804</v>
      </c>
      <c r="V452" s="39">
        <v>584525</v>
      </c>
      <c r="W452" s="39" t="s">
        <v>2363</v>
      </c>
      <c r="X452" s="39" t="s">
        <v>2363</v>
      </c>
      <c r="Y452" s="40">
        <f t="shared" si="123"/>
        <v>29226.25</v>
      </c>
      <c r="Z452" s="40">
        <f t="shared" si="124"/>
        <v>613751.25</v>
      </c>
      <c r="AA452" s="41" t="str">
        <f t="shared" si="125"/>
        <v>0.0018</v>
      </c>
      <c r="AB452" s="41">
        <f t="shared" si="126"/>
        <v>0</v>
      </c>
      <c r="AC452" s="41">
        <f t="shared" si="127"/>
        <v>0</v>
      </c>
      <c r="AD452" s="41">
        <f t="shared" si="128"/>
        <v>0</v>
      </c>
      <c r="AE452" s="41">
        <f t="shared" si="129"/>
        <v>0</v>
      </c>
      <c r="AF452" s="41">
        <f t="shared" si="130"/>
        <v>0</v>
      </c>
      <c r="AG452" s="41">
        <f t="shared" si="131"/>
        <v>0</v>
      </c>
      <c r="AH452" s="41">
        <f t="shared" si="132"/>
        <v>0</v>
      </c>
      <c r="AI452" s="41">
        <f t="shared" si="133"/>
        <v>0</v>
      </c>
      <c r="AJ452" s="41">
        <f t="shared" si="134"/>
        <v>218</v>
      </c>
      <c r="AK452" s="41">
        <f t="shared" si="135"/>
        <v>181</v>
      </c>
      <c r="AL452" s="42">
        <f t="shared" si="136"/>
        <v>2.8825890410958905</v>
      </c>
      <c r="AM452" s="42">
        <f t="shared" si="137"/>
        <v>521.74861643835618</v>
      </c>
      <c r="AN452" s="43">
        <f t="shared" si="122"/>
        <v>409167.5</v>
      </c>
      <c r="AO452" s="43"/>
      <c r="AP452" s="42">
        <f t="shared" si="138"/>
        <v>204583.75</v>
      </c>
      <c r="AQ452" s="43">
        <v>4</v>
      </c>
      <c r="AR452" s="44">
        <f t="shared" si="139"/>
        <v>0.66666666666666663</v>
      </c>
      <c r="AS452" s="45">
        <f t="shared" si="140"/>
        <v>1612.4827586206898</v>
      </c>
      <c r="AU452" s="1">
        <v>409167.5</v>
      </c>
      <c r="AV452" s="50">
        <v>0</v>
      </c>
    </row>
    <row r="453" spans="1:48" s="1" customFormat="1" ht="37.200000000000003" thickTop="1" thickBot="1" x14ac:dyDescent="0.55000000000000004">
      <c r="A453" s="33">
        <v>446</v>
      </c>
      <c r="B453" s="34" t="s">
        <v>500</v>
      </c>
      <c r="C453" s="34" t="s">
        <v>965</v>
      </c>
      <c r="D453" s="35" t="s">
        <v>955</v>
      </c>
      <c r="E453" s="35" t="s">
        <v>966</v>
      </c>
      <c r="F453" s="36" t="s">
        <v>1410</v>
      </c>
      <c r="G453" s="36" t="s">
        <v>1420</v>
      </c>
      <c r="H453" s="36" t="s">
        <v>1421</v>
      </c>
      <c r="I453" s="36" t="s">
        <v>1421</v>
      </c>
      <c r="J453" s="36" t="s">
        <v>1421</v>
      </c>
      <c r="K453" s="36">
        <v>350</v>
      </c>
      <c r="L453" s="36" t="s">
        <v>1422</v>
      </c>
      <c r="M453" s="49">
        <v>4</v>
      </c>
      <c r="N453" s="37" t="s">
        <v>1868</v>
      </c>
      <c r="O453" s="37"/>
      <c r="P453" s="36">
        <v>1</v>
      </c>
      <c r="Q453" s="36" t="s">
        <v>1933</v>
      </c>
      <c r="R453" s="36" t="s">
        <v>2353</v>
      </c>
      <c r="S453" s="36" t="s">
        <v>1880</v>
      </c>
      <c r="T453" s="36" t="s">
        <v>1901</v>
      </c>
      <c r="U453" s="38">
        <v>45866</v>
      </c>
      <c r="V453" s="39">
        <v>770474</v>
      </c>
      <c r="W453" s="39" t="s">
        <v>2363</v>
      </c>
      <c r="X453" s="39" t="s">
        <v>2363</v>
      </c>
      <c r="Y453" s="40">
        <f t="shared" si="123"/>
        <v>38523.699999999997</v>
      </c>
      <c r="Z453" s="40">
        <f t="shared" si="124"/>
        <v>808997.7</v>
      </c>
      <c r="AA453" s="41" t="str">
        <f t="shared" si="125"/>
        <v>0.0022</v>
      </c>
      <c r="AB453" s="41">
        <f t="shared" si="126"/>
        <v>0</v>
      </c>
      <c r="AC453" s="41">
        <f t="shared" si="127"/>
        <v>0</v>
      </c>
      <c r="AD453" s="41">
        <f t="shared" si="128"/>
        <v>0</v>
      </c>
      <c r="AE453" s="41">
        <f t="shared" si="129"/>
        <v>0</v>
      </c>
      <c r="AF453" s="41">
        <f t="shared" si="130"/>
        <v>0</v>
      </c>
      <c r="AG453" s="41">
        <f t="shared" si="131"/>
        <v>0</v>
      </c>
      <c r="AH453" s="41">
        <f t="shared" si="132"/>
        <v>0</v>
      </c>
      <c r="AI453" s="41">
        <f t="shared" si="133"/>
        <v>0</v>
      </c>
      <c r="AJ453" s="41">
        <f t="shared" si="134"/>
        <v>156</v>
      </c>
      <c r="AK453" s="41">
        <f t="shared" si="135"/>
        <v>181</v>
      </c>
      <c r="AL453" s="42">
        <f t="shared" si="136"/>
        <v>4.643952876712329</v>
      </c>
      <c r="AM453" s="42">
        <f t="shared" si="137"/>
        <v>840.55547068493161</v>
      </c>
      <c r="AN453" s="43">
        <f t="shared" si="122"/>
        <v>693426.6</v>
      </c>
      <c r="AO453" s="43"/>
      <c r="AP453" s="42">
        <f t="shared" si="138"/>
        <v>115571.09999999998</v>
      </c>
      <c r="AQ453" s="43">
        <v>5</v>
      </c>
      <c r="AR453" s="44">
        <f t="shared" si="139"/>
        <v>0.85714285714285721</v>
      </c>
      <c r="AS453" s="45">
        <f t="shared" si="140"/>
        <v>2201.3542857142857</v>
      </c>
      <c r="AU453" s="1">
        <v>577855.5</v>
      </c>
      <c r="AV453" s="50">
        <v>115571.1</v>
      </c>
    </row>
    <row r="454" spans="1:48" s="1" customFormat="1" ht="37.200000000000003" thickTop="1" thickBot="1" x14ac:dyDescent="0.55000000000000004">
      <c r="A454" s="33">
        <v>447</v>
      </c>
      <c r="B454" s="34" t="s">
        <v>501</v>
      </c>
      <c r="C454" s="34" t="s">
        <v>965</v>
      </c>
      <c r="D454" s="35" t="s">
        <v>956</v>
      </c>
      <c r="E454" s="35" t="s">
        <v>966</v>
      </c>
      <c r="F454" s="36" t="s">
        <v>1411</v>
      </c>
      <c r="G454" s="36" t="s">
        <v>1420</v>
      </c>
      <c r="H454" s="36" t="s">
        <v>1421</v>
      </c>
      <c r="I454" s="36" t="s">
        <v>1421</v>
      </c>
      <c r="J454" s="36" t="s">
        <v>1421</v>
      </c>
      <c r="K454" s="36">
        <v>413.98</v>
      </c>
      <c r="L454" s="36" t="s">
        <v>1422</v>
      </c>
      <c r="M454" s="49">
        <v>4</v>
      </c>
      <c r="N454" s="37" t="s">
        <v>1869</v>
      </c>
      <c r="O454" s="37"/>
      <c r="P454" s="36">
        <v>2</v>
      </c>
      <c r="Q454" s="36" t="s">
        <v>1937</v>
      </c>
      <c r="R454" s="36" t="s">
        <v>2354</v>
      </c>
      <c r="S454" s="36" t="s">
        <v>1880</v>
      </c>
      <c r="T454" s="36" t="s">
        <v>1991</v>
      </c>
      <c r="U454" s="38">
        <v>45872</v>
      </c>
      <c r="V454" s="39">
        <v>880271.01</v>
      </c>
      <c r="W454" s="39" t="s">
        <v>2363</v>
      </c>
      <c r="X454" s="39" t="s">
        <v>2363</v>
      </c>
      <c r="Y454" s="40">
        <f t="shared" si="123"/>
        <v>44013.550499999998</v>
      </c>
      <c r="Z454" s="40">
        <f t="shared" si="124"/>
        <v>924284.56050000002</v>
      </c>
      <c r="AA454" s="41" t="str">
        <f t="shared" si="125"/>
        <v>0.0022</v>
      </c>
      <c r="AB454" s="41">
        <f t="shared" si="126"/>
        <v>0</v>
      </c>
      <c r="AC454" s="41">
        <f t="shared" si="127"/>
        <v>0</v>
      </c>
      <c r="AD454" s="41">
        <f t="shared" si="128"/>
        <v>0</v>
      </c>
      <c r="AE454" s="41">
        <f t="shared" si="129"/>
        <v>0</v>
      </c>
      <c r="AF454" s="41">
        <f t="shared" si="130"/>
        <v>0</v>
      </c>
      <c r="AG454" s="41">
        <f t="shared" si="131"/>
        <v>0</v>
      </c>
      <c r="AH454" s="41">
        <f t="shared" si="132"/>
        <v>0</v>
      </c>
      <c r="AI454" s="41">
        <f t="shared" si="133"/>
        <v>0</v>
      </c>
      <c r="AJ454" s="41">
        <f t="shared" si="134"/>
        <v>150</v>
      </c>
      <c r="AK454" s="41">
        <f t="shared" si="135"/>
        <v>181</v>
      </c>
      <c r="AL454" s="42">
        <f t="shared" si="136"/>
        <v>5.3057430739726028</v>
      </c>
      <c r="AM454" s="42">
        <f t="shared" si="137"/>
        <v>960.33949638904107</v>
      </c>
      <c r="AN454" s="43">
        <f t="shared" si="122"/>
        <v>616189.69999999995</v>
      </c>
      <c r="AO454" s="43"/>
      <c r="AP454" s="42">
        <f t="shared" si="138"/>
        <v>308094.86050000007</v>
      </c>
      <c r="AQ454" s="43">
        <v>4</v>
      </c>
      <c r="AR454" s="44">
        <f t="shared" si="139"/>
        <v>0.66666665909324141</v>
      </c>
      <c r="AS454" s="45">
        <f t="shared" si="140"/>
        <v>2126.3612010242041</v>
      </c>
      <c r="AU454" s="1">
        <v>440135.5</v>
      </c>
      <c r="AV454" s="50">
        <v>176054.2</v>
      </c>
    </row>
    <row r="455" spans="1:48" s="1" customFormat="1" ht="37.200000000000003" thickTop="1" thickBot="1" x14ac:dyDescent="0.55000000000000004">
      <c r="A455" s="33">
        <v>448</v>
      </c>
      <c r="B455" s="34" t="s">
        <v>502</v>
      </c>
      <c r="C455" s="34" t="s">
        <v>965</v>
      </c>
      <c r="D455" s="35" t="s">
        <v>957</v>
      </c>
      <c r="E455" s="35" t="s">
        <v>966</v>
      </c>
      <c r="F455" s="36" t="s">
        <v>1412</v>
      </c>
      <c r="G455" s="36" t="s">
        <v>1420</v>
      </c>
      <c r="H455" s="36" t="s">
        <v>1421</v>
      </c>
      <c r="I455" s="36" t="s">
        <v>1421</v>
      </c>
      <c r="J455" s="36" t="s">
        <v>1421</v>
      </c>
      <c r="K455" s="36">
        <v>350</v>
      </c>
      <c r="L455" s="36" t="s">
        <v>1422</v>
      </c>
      <c r="M455" s="49">
        <v>4</v>
      </c>
      <c r="N455" s="37" t="s">
        <v>1870</v>
      </c>
      <c r="O455" s="37"/>
      <c r="P455" s="36">
        <v>1</v>
      </c>
      <c r="Q455" s="36" t="s">
        <v>1941</v>
      </c>
      <c r="R455" s="36" t="s">
        <v>2355</v>
      </c>
      <c r="S455" s="36" t="s">
        <v>1880</v>
      </c>
      <c r="T455" s="36" t="s">
        <v>1901</v>
      </c>
      <c r="U455" s="38">
        <v>45876</v>
      </c>
      <c r="V455" s="39">
        <v>670476</v>
      </c>
      <c r="W455" s="39" t="s">
        <v>2363</v>
      </c>
      <c r="X455" s="39" t="s">
        <v>2363</v>
      </c>
      <c r="Y455" s="40">
        <f t="shared" si="123"/>
        <v>33523.800000000003</v>
      </c>
      <c r="Z455" s="40">
        <f t="shared" si="124"/>
        <v>703999.8</v>
      </c>
      <c r="AA455" s="41" t="str">
        <f t="shared" si="125"/>
        <v>0.0018</v>
      </c>
      <c r="AB455" s="41">
        <f t="shared" si="126"/>
        <v>0</v>
      </c>
      <c r="AC455" s="41">
        <f t="shared" si="127"/>
        <v>0</v>
      </c>
      <c r="AD455" s="41">
        <f t="shared" si="128"/>
        <v>0</v>
      </c>
      <c r="AE455" s="41">
        <f t="shared" si="129"/>
        <v>0</v>
      </c>
      <c r="AF455" s="41">
        <f t="shared" si="130"/>
        <v>0</v>
      </c>
      <c r="AG455" s="41">
        <f t="shared" si="131"/>
        <v>0</v>
      </c>
      <c r="AH455" s="41">
        <f t="shared" si="132"/>
        <v>0</v>
      </c>
      <c r="AI455" s="41">
        <f t="shared" si="133"/>
        <v>0</v>
      </c>
      <c r="AJ455" s="41">
        <f t="shared" si="134"/>
        <v>146</v>
      </c>
      <c r="AK455" s="41">
        <f t="shared" si="135"/>
        <v>181</v>
      </c>
      <c r="AL455" s="42">
        <f t="shared" si="136"/>
        <v>3.3064569863013697</v>
      </c>
      <c r="AM455" s="42">
        <f t="shared" si="137"/>
        <v>598.46871452054791</v>
      </c>
      <c r="AN455" s="43">
        <f t="shared" si="122"/>
        <v>502857.00000000006</v>
      </c>
      <c r="AO455" s="43"/>
      <c r="AP455" s="42">
        <f t="shared" si="138"/>
        <v>201142.8</v>
      </c>
      <c r="AQ455" s="43">
        <v>4</v>
      </c>
      <c r="AR455" s="44">
        <f t="shared" si="139"/>
        <v>0.7142857142857143</v>
      </c>
      <c r="AS455" s="45">
        <f t="shared" si="140"/>
        <v>1915.6457142857143</v>
      </c>
      <c r="AU455" s="1">
        <v>502857.00000000006</v>
      </c>
      <c r="AV455" s="50">
        <v>0</v>
      </c>
    </row>
    <row r="456" spans="1:48" s="67" customFormat="1" ht="37.200000000000003" thickTop="1" thickBot="1" x14ac:dyDescent="0.55000000000000004">
      <c r="A456" s="54">
        <v>449</v>
      </c>
      <c r="B456" s="55" t="s">
        <v>503</v>
      </c>
      <c r="C456" s="55" t="s">
        <v>965</v>
      </c>
      <c r="D456" s="56" t="s">
        <v>958</v>
      </c>
      <c r="E456" s="56" t="s">
        <v>966</v>
      </c>
      <c r="F456" s="57" t="s">
        <v>1413</v>
      </c>
      <c r="G456" s="57" t="s">
        <v>1420</v>
      </c>
      <c r="H456" s="57" t="s">
        <v>1421</v>
      </c>
      <c r="I456" s="57" t="s">
        <v>1421</v>
      </c>
      <c r="J456" s="57" t="s">
        <v>1421</v>
      </c>
      <c r="K456" s="57">
        <v>350</v>
      </c>
      <c r="L456" s="57" t="s">
        <v>1422</v>
      </c>
      <c r="M456" s="58">
        <v>4</v>
      </c>
      <c r="N456" s="59" t="s">
        <v>1871</v>
      </c>
      <c r="O456" s="59"/>
      <c r="P456" s="57">
        <v>1</v>
      </c>
      <c r="Q456" s="57" t="s">
        <v>1937</v>
      </c>
      <c r="R456" s="57" t="s">
        <v>2356</v>
      </c>
      <c r="S456" s="57" t="s">
        <v>1880</v>
      </c>
      <c r="T456" s="57" t="s">
        <v>2071</v>
      </c>
      <c r="U456" s="60">
        <v>45883</v>
      </c>
      <c r="V456" s="61">
        <v>349205</v>
      </c>
      <c r="W456" s="61" t="s">
        <v>2363</v>
      </c>
      <c r="X456" s="61" t="s">
        <v>2363</v>
      </c>
      <c r="Y456" s="62">
        <f t="shared" si="123"/>
        <v>17460.25</v>
      </c>
      <c r="Z456" s="62">
        <f t="shared" si="124"/>
        <v>366665.25</v>
      </c>
      <c r="AA456" s="63" t="str">
        <f t="shared" si="125"/>
        <v>0.0012</v>
      </c>
      <c r="AB456" s="63">
        <f t="shared" si="126"/>
        <v>0</v>
      </c>
      <c r="AC456" s="63">
        <f t="shared" si="127"/>
        <v>0</v>
      </c>
      <c r="AD456" s="63">
        <f t="shared" si="128"/>
        <v>0</v>
      </c>
      <c r="AE456" s="63">
        <f t="shared" si="129"/>
        <v>0</v>
      </c>
      <c r="AF456" s="63">
        <f t="shared" si="130"/>
        <v>0</v>
      </c>
      <c r="AG456" s="63">
        <f t="shared" si="131"/>
        <v>0</v>
      </c>
      <c r="AH456" s="63">
        <f t="shared" si="132"/>
        <v>0</v>
      </c>
      <c r="AI456" s="63">
        <f t="shared" si="133"/>
        <v>0</v>
      </c>
      <c r="AJ456" s="63">
        <f t="shared" si="134"/>
        <v>139</v>
      </c>
      <c r="AK456" s="63">
        <f t="shared" si="135"/>
        <v>181</v>
      </c>
      <c r="AL456" s="64">
        <f t="shared" si="136"/>
        <v>1.1480712328767122</v>
      </c>
      <c r="AM456" s="64">
        <f t="shared" si="137"/>
        <v>207.80089315068491</v>
      </c>
      <c r="AN456" s="64">
        <v>0</v>
      </c>
      <c r="AO456" s="64"/>
      <c r="AP456" s="64">
        <f t="shared" si="138"/>
        <v>366665.25</v>
      </c>
      <c r="AQ456" s="64">
        <v>4</v>
      </c>
      <c r="AR456" s="65">
        <f t="shared" si="139"/>
        <v>0</v>
      </c>
      <c r="AS456" s="66">
        <f t="shared" si="140"/>
        <v>997.7285714285714</v>
      </c>
      <c r="AU456" s="67">
        <v>0</v>
      </c>
      <c r="AV456" s="68">
        <v>0</v>
      </c>
    </row>
    <row r="457" spans="1:48" s="1" customFormat="1" ht="37.200000000000003" thickTop="1" thickBot="1" x14ac:dyDescent="0.55000000000000004">
      <c r="A457" s="33">
        <v>450</v>
      </c>
      <c r="B457" s="34" t="s">
        <v>504</v>
      </c>
      <c r="C457" s="34" t="s">
        <v>965</v>
      </c>
      <c r="D457" s="35" t="s">
        <v>959</v>
      </c>
      <c r="E457" s="35" t="s">
        <v>966</v>
      </c>
      <c r="F457" s="36" t="s">
        <v>1414</v>
      </c>
      <c r="G457" s="36" t="s">
        <v>1420</v>
      </c>
      <c r="H457" s="36" t="s">
        <v>1421</v>
      </c>
      <c r="I457" s="36" t="s">
        <v>1421</v>
      </c>
      <c r="J457" s="36" t="s">
        <v>1421</v>
      </c>
      <c r="K457" s="36">
        <v>375</v>
      </c>
      <c r="L457" s="36" t="s">
        <v>1422</v>
      </c>
      <c r="M457" s="49">
        <v>4</v>
      </c>
      <c r="N457" s="37" t="s">
        <v>1872</v>
      </c>
      <c r="O457" s="37"/>
      <c r="P457" s="36">
        <v>1</v>
      </c>
      <c r="Q457" s="36" t="s">
        <v>1929</v>
      </c>
      <c r="R457" s="36" t="s">
        <v>2357</v>
      </c>
      <c r="S457" s="36" t="s">
        <v>1880</v>
      </c>
      <c r="T457" s="36" t="s">
        <v>1883</v>
      </c>
      <c r="U457" s="38">
        <v>45894</v>
      </c>
      <c r="V457" s="39">
        <v>894794.4</v>
      </c>
      <c r="W457" s="39" t="s">
        <v>2363</v>
      </c>
      <c r="X457" s="39" t="s">
        <v>2363</v>
      </c>
      <c r="Y457" s="40">
        <f t="shared" si="123"/>
        <v>44739.72</v>
      </c>
      <c r="Z457" s="40">
        <f t="shared" si="124"/>
        <v>939534.12</v>
      </c>
      <c r="AA457" s="41" t="str">
        <f t="shared" si="125"/>
        <v>0.0022</v>
      </c>
      <c r="AB457" s="41">
        <f t="shared" si="126"/>
        <v>0</v>
      </c>
      <c r="AC457" s="41">
        <f t="shared" si="127"/>
        <v>0</v>
      </c>
      <c r="AD457" s="41">
        <f t="shared" si="128"/>
        <v>0</v>
      </c>
      <c r="AE457" s="41">
        <f t="shared" si="129"/>
        <v>0</v>
      </c>
      <c r="AF457" s="41">
        <f t="shared" si="130"/>
        <v>0</v>
      </c>
      <c r="AG457" s="41">
        <f t="shared" si="131"/>
        <v>0</v>
      </c>
      <c r="AH457" s="41">
        <f t="shared" si="132"/>
        <v>0</v>
      </c>
      <c r="AI457" s="41">
        <f t="shared" si="133"/>
        <v>0</v>
      </c>
      <c r="AJ457" s="41">
        <f t="shared" si="134"/>
        <v>128</v>
      </c>
      <c r="AK457" s="41">
        <f t="shared" si="135"/>
        <v>181</v>
      </c>
      <c r="AL457" s="42">
        <f t="shared" si="136"/>
        <v>5.3932813150684931</v>
      </c>
      <c r="AM457" s="42">
        <f t="shared" si="137"/>
        <v>976.18391802739723</v>
      </c>
      <c r="AN457" s="43">
        <f t="shared" ref="AN457:AN462" si="141">AV457+AU457</f>
        <v>760575.18</v>
      </c>
      <c r="AO457" s="43"/>
      <c r="AP457" s="42">
        <f t="shared" si="138"/>
        <v>178958.93999999994</v>
      </c>
      <c r="AQ457" s="43">
        <v>5</v>
      </c>
      <c r="AR457" s="44">
        <f t="shared" si="139"/>
        <v>0.80952374566237151</v>
      </c>
      <c r="AS457" s="45">
        <f t="shared" si="140"/>
        <v>2386.1183999999998</v>
      </c>
      <c r="AU457" s="1">
        <v>626356.08000000007</v>
      </c>
      <c r="AV457" s="50">
        <v>134219.1</v>
      </c>
    </row>
    <row r="458" spans="1:48" s="1" customFormat="1" ht="37.200000000000003" thickTop="1" thickBot="1" x14ac:dyDescent="0.55000000000000004">
      <c r="A458" s="33">
        <v>451</v>
      </c>
      <c r="B458" s="34" t="s">
        <v>505</v>
      </c>
      <c r="C458" s="34" t="s">
        <v>965</v>
      </c>
      <c r="D458" s="35" t="s">
        <v>960</v>
      </c>
      <c r="E458" s="35" t="s">
        <v>966</v>
      </c>
      <c r="F458" s="36" t="s">
        <v>1415</v>
      </c>
      <c r="G458" s="36" t="s">
        <v>1420</v>
      </c>
      <c r="H458" s="36" t="s">
        <v>1421</v>
      </c>
      <c r="I458" s="36" t="s">
        <v>1421</v>
      </c>
      <c r="J458" s="36" t="s">
        <v>1421</v>
      </c>
      <c r="K458" s="36">
        <v>350</v>
      </c>
      <c r="L458" s="36" t="s">
        <v>1422</v>
      </c>
      <c r="M458" s="49">
        <v>4</v>
      </c>
      <c r="N458" s="37" t="s">
        <v>1873</v>
      </c>
      <c r="O458" s="37"/>
      <c r="P458" s="36">
        <v>2</v>
      </c>
      <c r="Q458" s="36" t="s">
        <v>1878</v>
      </c>
      <c r="R458" s="36" t="s">
        <v>2358</v>
      </c>
      <c r="S458" s="36" t="s">
        <v>1880</v>
      </c>
      <c r="T458" s="36" t="s">
        <v>1883</v>
      </c>
      <c r="U458" s="38">
        <v>45895</v>
      </c>
      <c r="V458" s="39">
        <v>936670</v>
      </c>
      <c r="W458" s="39" t="s">
        <v>2363</v>
      </c>
      <c r="X458" s="39" t="s">
        <v>2363</v>
      </c>
      <c r="Y458" s="40">
        <f t="shared" si="123"/>
        <v>46833.5</v>
      </c>
      <c r="Z458" s="40">
        <f t="shared" si="124"/>
        <v>983503.5</v>
      </c>
      <c r="AA458" s="41" t="str">
        <f t="shared" si="125"/>
        <v>0.0022</v>
      </c>
      <c r="AB458" s="41">
        <f t="shared" si="126"/>
        <v>0</v>
      </c>
      <c r="AC458" s="41">
        <f t="shared" si="127"/>
        <v>0</v>
      </c>
      <c r="AD458" s="41">
        <f t="shared" si="128"/>
        <v>0</v>
      </c>
      <c r="AE458" s="41">
        <f t="shared" si="129"/>
        <v>0</v>
      </c>
      <c r="AF458" s="41">
        <f t="shared" si="130"/>
        <v>0</v>
      </c>
      <c r="AG458" s="41">
        <f t="shared" si="131"/>
        <v>0</v>
      </c>
      <c r="AH458" s="41">
        <f t="shared" si="132"/>
        <v>0</v>
      </c>
      <c r="AI458" s="41">
        <f t="shared" si="133"/>
        <v>0</v>
      </c>
      <c r="AJ458" s="41">
        <f t="shared" si="134"/>
        <v>127</v>
      </c>
      <c r="AK458" s="41">
        <f t="shared" si="135"/>
        <v>181</v>
      </c>
      <c r="AL458" s="42">
        <f t="shared" si="136"/>
        <v>5.6456821917808222</v>
      </c>
      <c r="AM458" s="42">
        <f t="shared" si="137"/>
        <v>1021.8684767123289</v>
      </c>
      <c r="AN458" s="43">
        <f t="shared" si="141"/>
        <v>796169.5</v>
      </c>
      <c r="AO458" s="43"/>
      <c r="AP458" s="42">
        <f t="shared" si="138"/>
        <v>187334</v>
      </c>
      <c r="AQ458" s="43">
        <v>5</v>
      </c>
      <c r="AR458" s="44">
        <f t="shared" si="139"/>
        <v>0.80952380952380953</v>
      </c>
      <c r="AS458" s="45">
        <f t="shared" si="140"/>
        <v>2676.2</v>
      </c>
      <c r="AU458" s="1">
        <v>655669</v>
      </c>
      <c r="AV458" s="50">
        <v>140500.5</v>
      </c>
    </row>
    <row r="459" spans="1:48" s="1" customFormat="1" ht="37.200000000000003" thickTop="1" thickBot="1" x14ac:dyDescent="0.55000000000000004">
      <c r="A459" s="33">
        <v>452</v>
      </c>
      <c r="B459" s="34" t="s">
        <v>506</v>
      </c>
      <c r="C459" s="34" t="s">
        <v>965</v>
      </c>
      <c r="D459" s="35" t="s">
        <v>961</v>
      </c>
      <c r="E459" s="35" t="s">
        <v>966</v>
      </c>
      <c r="F459" s="36" t="s">
        <v>1416</v>
      </c>
      <c r="G459" s="36" t="s">
        <v>1420</v>
      </c>
      <c r="H459" s="36" t="s">
        <v>1421</v>
      </c>
      <c r="I459" s="36" t="s">
        <v>1421</v>
      </c>
      <c r="J459" s="36" t="s">
        <v>1421</v>
      </c>
      <c r="K459" s="36">
        <v>350</v>
      </c>
      <c r="L459" s="36" t="s">
        <v>1422</v>
      </c>
      <c r="M459" s="49">
        <v>4</v>
      </c>
      <c r="N459" s="37" t="s">
        <v>1874</v>
      </c>
      <c r="O459" s="37"/>
      <c r="P459" s="36">
        <v>1</v>
      </c>
      <c r="Q459" s="36" t="s">
        <v>2039</v>
      </c>
      <c r="R459" s="36" t="s">
        <v>2359</v>
      </c>
      <c r="S459" s="36" t="s">
        <v>1880</v>
      </c>
      <c r="T459" s="36" t="s">
        <v>1881</v>
      </c>
      <c r="U459" s="38">
        <v>45958</v>
      </c>
      <c r="V459" s="39">
        <v>711474</v>
      </c>
      <c r="W459" s="39" t="s">
        <v>2363</v>
      </c>
      <c r="X459" s="39" t="s">
        <v>2363</v>
      </c>
      <c r="Y459" s="40">
        <f t="shared" si="123"/>
        <v>35573.699999999997</v>
      </c>
      <c r="Z459" s="40">
        <f t="shared" si="124"/>
        <v>747047.7</v>
      </c>
      <c r="AA459" s="41" t="str">
        <f t="shared" si="125"/>
        <v>0.0022</v>
      </c>
      <c r="AB459" s="41">
        <f t="shared" si="126"/>
        <v>0</v>
      </c>
      <c r="AC459" s="41">
        <f t="shared" si="127"/>
        <v>0</v>
      </c>
      <c r="AD459" s="41">
        <f t="shared" si="128"/>
        <v>0</v>
      </c>
      <c r="AE459" s="41">
        <f t="shared" si="129"/>
        <v>0</v>
      </c>
      <c r="AF459" s="41">
        <f t="shared" si="130"/>
        <v>0</v>
      </c>
      <c r="AG459" s="41">
        <f t="shared" si="131"/>
        <v>0</v>
      </c>
      <c r="AH459" s="41">
        <f t="shared" si="132"/>
        <v>0</v>
      </c>
      <c r="AI459" s="41">
        <f t="shared" si="133"/>
        <v>0</v>
      </c>
      <c r="AJ459" s="41">
        <f t="shared" si="134"/>
        <v>64</v>
      </c>
      <c r="AK459" s="41">
        <f t="shared" si="135"/>
        <v>181</v>
      </c>
      <c r="AL459" s="42">
        <f t="shared" si="136"/>
        <v>4.288336438356164</v>
      </c>
      <c r="AM459" s="42">
        <f t="shared" si="137"/>
        <v>776.18889534246568</v>
      </c>
      <c r="AN459" s="43">
        <f t="shared" si="141"/>
        <v>604752.9</v>
      </c>
      <c r="AO459" s="43"/>
      <c r="AP459" s="42">
        <f t="shared" si="138"/>
        <v>142294.79999999993</v>
      </c>
      <c r="AQ459" s="43">
        <v>5</v>
      </c>
      <c r="AR459" s="44">
        <f t="shared" si="139"/>
        <v>0.80952380952380965</v>
      </c>
      <c r="AS459" s="45">
        <f t="shared" si="140"/>
        <v>2032.7828571428572</v>
      </c>
      <c r="AU459" s="1">
        <v>498031.8</v>
      </c>
      <c r="AV459" s="50">
        <v>106721.1</v>
      </c>
    </row>
    <row r="460" spans="1:48" s="1" customFormat="1" ht="37.200000000000003" thickTop="1" thickBot="1" x14ac:dyDescent="0.55000000000000004">
      <c r="A460" s="33">
        <v>453</v>
      </c>
      <c r="B460" s="34" t="s">
        <v>507</v>
      </c>
      <c r="C460" s="34" t="s">
        <v>965</v>
      </c>
      <c r="D460" s="35" t="s">
        <v>962</v>
      </c>
      <c r="E460" s="35" t="s">
        <v>966</v>
      </c>
      <c r="F460" s="36" t="s">
        <v>1417</v>
      </c>
      <c r="G460" s="36" t="s">
        <v>1420</v>
      </c>
      <c r="H460" s="36" t="s">
        <v>1421</v>
      </c>
      <c r="I460" s="36" t="s">
        <v>1421</v>
      </c>
      <c r="J460" s="36" t="s">
        <v>1421</v>
      </c>
      <c r="K460" s="36">
        <v>358.7</v>
      </c>
      <c r="L460" s="36" t="s">
        <v>1422</v>
      </c>
      <c r="M460" s="49">
        <v>4</v>
      </c>
      <c r="N460" s="37" t="s">
        <v>1875</v>
      </c>
      <c r="O460" s="37"/>
      <c r="P460" s="36">
        <v>1</v>
      </c>
      <c r="Q460" s="36" t="s">
        <v>1943</v>
      </c>
      <c r="R460" s="36" t="s">
        <v>2360</v>
      </c>
      <c r="S460" s="36" t="s">
        <v>1880</v>
      </c>
      <c r="T460" s="36" t="s">
        <v>1883</v>
      </c>
      <c r="U460" s="38">
        <v>45967</v>
      </c>
      <c r="V460" s="39">
        <v>623175.23</v>
      </c>
      <c r="W460" s="39" t="s">
        <v>2363</v>
      </c>
      <c r="X460" s="39" t="s">
        <v>2363</v>
      </c>
      <c r="Y460" s="40">
        <f t="shared" si="123"/>
        <v>31158.761500000001</v>
      </c>
      <c r="Z460" s="40">
        <f t="shared" si="124"/>
        <v>654333.9915</v>
      </c>
      <c r="AA460" s="41" t="str">
        <f t="shared" si="125"/>
        <v>0.0018</v>
      </c>
      <c r="AB460" s="41">
        <f t="shared" si="126"/>
        <v>0</v>
      </c>
      <c r="AC460" s="41">
        <f t="shared" si="127"/>
        <v>0</v>
      </c>
      <c r="AD460" s="41">
        <f t="shared" si="128"/>
        <v>0</v>
      </c>
      <c r="AE460" s="41">
        <f t="shared" si="129"/>
        <v>0</v>
      </c>
      <c r="AF460" s="41">
        <f t="shared" si="130"/>
        <v>0</v>
      </c>
      <c r="AG460" s="41">
        <f t="shared" si="131"/>
        <v>0</v>
      </c>
      <c r="AH460" s="41">
        <f t="shared" si="132"/>
        <v>0</v>
      </c>
      <c r="AI460" s="41">
        <f t="shared" si="133"/>
        <v>0</v>
      </c>
      <c r="AJ460" s="41">
        <f t="shared" si="134"/>
        <v>55</v>
      </c>
      <c r="AK460" s="41">
        <f t="shared" si="135"/>
        <v>181</v>
      </c>
      <c r="AL460" s="42">
        <f t="shared" si="136"/>
        <v>3.0731929150684931</v>
      </c>
      <c r="AM460" s="42">
        <f t="shared" si="137"/>
        <v>556.24791762739721</v>
      </c>
      <c r="AN460" s="43">
        <f t="shared" si="141"/>
        <v>529698.75</v>
      </c>
      <c r="AO460" s="43"/>
      <c r="AP460" s="42">
        <f t="shared" si="138"/>
        <v>124635.2415</v>
      </c>
      <c r="AQ460" s="43">
        <v>5</v>
      </c>
      <c r="AR460" s="44">
        <f t="shared" si="139"/>
        <v>0.80952351074672846</v>
      </c>
      <c r="AS460" s="45">
        <f t="shared" si="140"/>
        <v>1737.315946473376</v>
      </c>
      <c r="AU460" s="1">
        <v>436222.5</v>
      </c>
      <c r="AV460" s="50">
        <v>93476.25</v>
      </c>
    </row>
    <row r="461" spans="1:48" s="1" customFormat="1" ht="37.200000000000003" thickTop="1" thickBot="1" x14ac:dyDescent="0.55000000000000004">
      <c r="A461" s="33">
        <v>454</v>
      </c>
      <c r="B461" s="34" t="s">
        <v>508</v>
      </c>
      <c r="C461" s="34" t="s">
        <v>965</v>
      </c>
      <c r="D461" s="35" t="s">
        <v>963</v>
      </c>
      <c r="E461" s="35" t="s">
        <v>966</v>
      </c>
      <c r="F461" s="36" t="s">
        <v>1418</v>
      </c>
      <c r="G461" s="36" t="s">
        <v>1420</v>
      </c>
      <c r="H461" s="36" t="s">
        <v>1421</v>
      </c>
      <c r="I461" s="36" t="s">
        <v>1421</v>
      </c>
      <c r="J461" s="36" t="s">
        <v>1421</v>
      </c>
      <c r="K461" s="36">
        <v>350</v>
      </c>
      <c r="L461" s="36" t="s">
        <v>1422</v>
      </c>
      <c r="M461" s="49">
        <v>4</v>
      </c>
      <c r="N461" s="37" t="s">
        <v>1876</v>
      </c>
      <c r="O461" s="37"/>
      <c r="P461" s="36">
        <v>2</v>
      </c>
      <c r="Q461" s="36" t="s">
        <v>1995</v>
      </c>
      <c r="R461" s="36" t="s">
        <v>2361</v>
      </c>
      <c r="S461" s="36" t="s">
        <v>1880</v>
      </c>
      <c r="T461" s="36" t="s">
        <v>1881</v>
      </c>
      <c r="U461" s="38">
        <v>45987</v>
      </c>
      <c r="V461" s="39">
        <v>651770</v>
      </c>
      <c r="W461" s="39" t="s">
        <v>2363</v>
      </c>
      <c r="X461" s="39" t="s">
        <v>2363</v>
      </c>
      <c r="Y461" s="40">
        <f t="shared" ref="Y461:Y462" si="142">V461*5/100</f>
        <v>32588.5</v>
      </c>
      <c r="Z461" s="40">
        <f t="shared" ref="Z461:Z462" si="143">V461+Y461</f>
        <v>684358.5</v>
      </c>
      <c r="AA461" s="41" t="str">
        <f t="shared" ref="AA461:AA462" si="144">IF(V461&lt;=500000,"0.0012",IF(AND(V461&gt;500000,V461&lt;=699999),"0.0018",IF(AND(V461&gt;=700000,V461&lt;=999999),"0.0022",IF(AND(V461&gt;=1000000,V461&lt;1500000),"0.0026","0.003"))))</f>
        <v>0.0018</v>
      </c>
      <c r="AB461" s="41">
        <f t="shared" ref="AB461:AB462" si="145">+IF($AB$7&gt;U461,$AB$7-U461,0)</f>
        <v>0</v>
      </c>
      <c r="AC461" s="41">
        <f t="shared" ref="AC461:AC462" si="146">+IF($AC$7&gt;U461,$AC$7-U461-AB461,0)</f>
        <v>0</v>
      </c>
      <c r="AD461" s="41">
        <f t="shared" ref="AD461:AD462" si="147">+IF($AD$7&gt;U461,$AD$7-U461-AB461-AC461,0)</f>
        <v>0</v>
      </c>
      <c r="AE461" s="41">
        <f t="shared" ref="AE461:AE462" si="148">+IF($AE$7&gt;U461,$AE$7-U461-AB461-AD461-AC461,0)</f>
        <v>0</v>
      </c>
      <c r="AF461" s="41">
        <f t="shared" ref="AF461:AF462" si="149">+IF($AF$7&gt;U461,$AF$7-U461-AB461-AC461-AD461-AE461,0)</f>
        <v>0</v>
      </c>
      <c r="AG461" s="41">
        <f t="shared" ref="AG461:AG462" si="150">+IF($AG$7&gt;U461,$AG$7-U461-AB461-AC461-AD461-AE461-AF461,0)</f>
        <v>0</v>
      </c>
      <c r="AH461" s="41">
        <f t="shared" ref="AH461:AH462" si="151">+IF($AH$7&gt;U461,$AH$7-U461-AB461-AC461-AD461-AE461-AF461-AG461,0)</f>
        <v>0</v>
      </c>
      <c r="AI461" s="41">
        <f t="shared" ref="AI461:AI462" si="152">+IF($AI$7&gt;U461,$AI$7-U461-AB461-AC461-AD461-AE461-AF461-AG461-AH461,0)</f>
        <v>0</v>
      </c>
      <c r="AJ461" s="41">
        <f t="shared" ref="AJ461:AJ462" si="153">+IF($AJ$7&gt;U461,$AJ$7-U461-AB461-AC461-AD461-AE461-AF461-AG461-AH461-AI461,0)</f>
        <v>35</v>
      </c>
      <c r="AK461" s="41">
        <f t="shared" ref="AK461:AK462" si="154">+IF($AK$7&gt;U461,$AK$7-U461-AB461-AC461-AD461-AE461-AF461-AG461-AH461-AI461-AJ461,0)</f>
        <v>181</v>
      </c>
      <c r="AL461" s="42">
        <f t="shared" ref="AL461:AL462" si="155">IF(AK461&gt;0,+V461*AA461/365,0)</f>
        <v>3.2142082191780821</v>
      </c>
      <c r="AM461" s="42">
        <f t="shared" ref="AM461:AM462" si="156">+AL461*AK461</f>
        <v>581.77168767123283</v>
      </c>
      <c r="AN461" s="43">
        <f t="shared" si="141"/>
        <v>554004.5</v>
      </c>
      <c r="AO461" s="43"/>
      <c r="AP461" s="42">
        <f t="shared" ref="AP461:AP462" si="157">Z461-AN461</f>
        <v>130354</v>
      </c>
      <c r="AQ461" s="43">
        <v>5</v>
      </c>
      <c r="AR461" s="44">
        <f t="shared" ref="AR461:AR462" si="158">AN461/Z461</f>
        <v>0.80952380952380953</v>
      </c>
      <c r="AS461" s="45">
        <f t="shared" ref="AS461:AS462" si="159">V461/K461</f>
        <v>1862.2</v>
      </c>
      <c r="AU461" s="1">
        <v>456239</v>
      </c>
      <c r="AV461" s="50">
        <v>97765.5</v>
      </c>
    </row>
    <row r="462" spans="1:48" s="1" customFormat="1" ht="37.200000000000003" thickTop="1" thickBot="1" x14ac:dyDescent="0.55000000000000004">
      <c r="A462" s="33">
        <v>455</v>
      </c>
      <c r="B462" s="34" t="s">
        <v>509</v>
      </c>
      <c r="C462" s="34" t="s">
        <v>965</v>
      </c>
      <c r="D462" s="35" t="s">
        <v>964</v>
      </c>
      <c r="E462" s="35" t="s">
        <v>966</v>
      </c>
      <c r="F462" s="36" t="s">
        <v>1419</v>
      </c>
      <c r="G462" s="36" t="s">
        <v>1420</v>
      </c>
      <c r="H462" s="36" t="s">
        <v>1421</v>
      </c>
      <c r="I462" s="36" t="s">
        <v>1421</v>
      </c>
      <c r="J462" s="36" t="s">
        <v>1421</v>
      </c>
      <c r="K462" s="36">
        <v>400</v>
      </c>
      <c r="L462" s="36" t="s">
        <v>1422</v>
      </c>
      <c r="M462" s="49">
        <v>4</v>
      </c>
      <c r="N462" s="37" t="s">
        <v>1877</v>
      </c>
      <c r="O462" s="37"/>
      <c r="P462" s="36">
        <v>1</v>
      </c>
      <c r="Q462" s="36" t="s">
        <v>1954</v>
      </c>
      <c r="R462" s="36" t="s">
        <v>2362</v>
      </c>
      <c r="S462" s="36" t="s">
        <v>1880</v>
      </c>
      <c r="T462" s="36" t="s">
        <v>1883</v>
      </c>
      <c r="U462" s="38">
        <v>46002</v>
      </c>
      <c r="V462" s="39">
        <v>835767</v>
      </c>
      <c r="W462" s="39" t="s">
        <v>2363</v>
      </c>
      <c r="X462" s="39" t="s">
        <v>2363</v>
      </c>
      <c r="Y462" s="40">
        <f t="shared" si="142"/>
        <v>41788.35</v>
      </c>
      <c r="Z462" s="40">
        <f t="shared" si="143"/>
        <v>877555.35</v>
      </c>
      <c r="AA462" s="41" t="str">
        <f t="shared" si="144"/>
        <v>0.0022</v>
      </c>
      <c r="AB462" s="41">
        <f t="shared" si="145"/>
        <v>0</v>
      </c>
      <c r="AC462" s="41">
        <f t="shared" si="146"/>
        <v>0</v>
      </c>
      <c r="AD462" s="41">
        <f t="shared" si="147"/>
        <v>0</v>
      </c>
      <c r="AE462" s="41">
        <f t="shared" si="148"/>
        <v>0</v>
      </c>
      <c r="AF462" s="41">
        <f t="shared" si="149"/>
        <v>0</v>
      </c>
      <c r="AG462" s="41">
        <f t="shared" si="150"/>
        <v>0</v>
      </c>
      <c r="AH462" s="41">
        <f t="shared" si="151"/>
        <v>0</v>
      </c>
      <c r="AI462" s="41">
        <f t="shared" si="152"/>
        <v>0</v>
      </c>
      <c r="AJ462" s="41">
        <f t="shared" si="153"/>
        <v>20</v>
      </c>
      <c r="AK462" s="41">
        <f t="shared" si="154"/>
        <v>181</v>
      </c>
      <c r="AL462" s="42">
        <f t="shared" si="155"/>
        <v>5.0374997260273977</v>
      </c>
      <c r="AM462" s="42">
        <f t="shared" si="156"/>
        <v>911.78745041095897</v>
      </c>
      <c r="AN462" s="43">
        <f t="shared" si="141"/>
        <v>710401.95000000007</v>
      </c>
      <c r="AO462" s="43"/>
      <c r="AP462" s="42">
        <f t="shared" si="157"/>
        <v>167153.39999999991</v>
      </c>
      <c r="AQ462" s="43">
        <v>5</v>
      </c>
      <c r="AR462" s="44">
        <f t="shared" si="158"/>
        <v>0.80952380952380965</v>
      </c>
      <c r="AS462" s="45">
        <f t="shared" si="159"/>
        <v>2089.4175</v>
      </c>
      <c r="AU462" s="1">
        <v>585036.9</v>
      </c>
      <c r="AV462" s="50">
        <v>125365.05</v>
      </c>
    </row>
    <row r="463" spans="1:48" s="1" customFormat="1" ht="19.2" thickTop="1" thickBot="1" x14ac:dyDescent="0.55000000000000004">
      <c r="A463" s="33"/>
      <c r="B463" s="34"/>
      <c r="C463" s="34"/>
      <c r="D463" s="35"/>
      <c r="E463" s="35"/>
      <c r="F463" s="36"/>
      <c r="G463" s="36"/>
      <c r="H463" s="36"/>
      <c r="I463" s="36"/>
      <c r="J463" s="36"/>
      <c r="K463" s="36"/>
      <c r="L463" s="36"/>
      <c r="M463" s="49"/>
      <c r="N463" s="37"/>
      <c r="O463" s="37"/>
      <c r="P463" s="36"/>
      <c r="Q463" s="36"/>
      <c r="R463" s="36"/>
      <c r="S463" s="36"/>
      <c r="T463" s="36"/>
      <c r="U463" s="38"/>
      <c r="V463" s="39"/>
      <c r="W463" s="39"/>
      <c r="X463" s="39"/>
      <c r="Y463" s="40"/>
      <c r="Z463" s="40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2"/>
      <c r="AM463" s="42"/>
      <c r="AN463" s="43"/>
      <c r="AO463" s="43"/>
      <c r="AP463" s="42"/>
      <c r="AQ463" s="43"/>
      <c r="AR463" s="44"/>
      <c r="AS463" s="45"/>
    </row>
    <row r="464" spans="1:48" s="1" customFormat="1" ht="19.2" thickTop="1" thickBot="1" x14ac:dyDescent="0.55000000000000004">
      <c r="A464" s="33"/>
      <c r="B464" s="34"/>
      <c r="C464" s="34"/>
      <c r="D464" s="35"/>
      <c r="E464" s="35"/>
      <c r="F464" s="36"/>
      <c r="G464" s="36"/>
      <c r="H464" s="36"/>
      <c r="I464" s="36"/>
      <c r="J464" s="36"/>
      <c r="K464" s="36"/>
      <c r="L464" s="36"/>
      <c r="M464" s="49"/>
      <c r="N464" s="37"/>
      <c r="O464" s="37"/>
      <c r="P464" s="36"/>
      <c r="Q464" s="36"/>
      <c r="R464" s="36"/>
      <c r="S464" s="36"/>
      <c r="T464" s="36"/>
      <c r="U464" s="38"/>
      <c r="V464" s="39"/>
      <c r="W464" s="39"/>
      <c r="X464" s="39"/>
      <c r="Y464" s="40"/>
      <c r="Z464" s="40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2"/>
      <c r="AM464" s="42"/>
      <c r="AN464" s="43"/>
      <c r="AO464" s="43"/>
      <c r="AP464" s="42"/>
      <c r="AQ464" s="43"/>
      <c r="AR464" s="44"/>
      <c r="AS464" s="45"/>
    </row>
    <row r="465" spans="1:49" s="1" customFormat="1" ht="19.2" thickTop="1" thickBot="1" x14ac:dyDescent="0.55000000000000004">
      <c r="A465" s="70" t="s">
        <v>16</v>
      </c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39">
        <f>SUM(V8:V464)</f>
        <v>316100316.74000031</v>
      </c>
      <c r="W465" s="39"/>
      <c r="X465" s="39"/>
      <c r="Y465" s="39">
        <f>SUM(Y8:Y464)</f>
        <v>15805015.837000027</v>
      </c>
      <c r="Z465" s="39">
        <f>SUM(Z8:Z464)</f>
        <v>331905332.57699972</v>
      </c>
      <c r="AA465" s="39">
        <f t="shared" ref="AA465:AE465" si="160">SUM(AA8:AA12)</f>
        <v>0</v>
      </c>
      <c r="AB465" s="39">
        <f t="shared" si="160"/>
        <v>0</v>
      </c>
      <c r="AC465" s="39">
        <f t="shared" si="160"/>
        <v>0</v>
      </c>
      <c r="AD465" s="39">
        <f t="shared" si="160"/>
        <v>0</v>
      </c>
      <c r="AE465" s="39">
        <f t="shared" si="160"/>
        <v>0</v>
      </c>
      <c r="AF465" s="39"/>
      <c r="AG465" s="39"/>
      <c r="AH465" s="39"/>
      <c r="AI465" s="39"/>
      <c r="AJ465" s="39"/>
      <c r="AK465" s="39"/>
      <c r="AL465" s="39">
        <f>SUM(AL8:AL464)</f>
        <v>1721.9112879123265</v>
      </c>
      <c r="AM465" s="39">
        <f>SUM(AM8:AM464)</f>
        <v>311665.94311213127</v>
      </c>
      <c r="AN465" s="39">
        <f>SUM(AN8:AN464)</f>
        <v>286629964.65999997</v>
      </c>
      <c r="AO465" s="39"/>
      <c r="AP465" s="39">
        <f>SUM(AP8:AP464)</f>
        <v>45275367.916999981</v>
      </c>
      <c r="AQ465" s="39"/>
      <c r="AR465" s="36"/>
      <c r="AS465" s="46"/>
      <c r="AU465" s="50">
        <f>SUM(AU8:AU464)</f>
        <v>254586454.13999993</v>
      </c>
      <c r="AV465" s="50">
        <f>SUM(AV8:AV464)</f>
        <v>32043510.519999977</v>
      </c>
    </row>
    <row r="466" spans="1:49" s="1" customFormat="1" ht="17.399999999999999" thickTop="1" x14ac:dyDescent="0.5">
      <c r="M466" s="48"/>
      <c r="AN466" s="52">
        <v>286629975.58999997</v>
      </c>
      <c r="AV466" s="51">
        <v>32043510.52</v>
      </c>
      <c r="AW466" s="1" t="s">
        <v>2364</v>
      </c>
    </row>
    <row r="467" spans="1:49" s="1" customFormat="1" ht="16.8" x14ac:dyDescent="0.5">
      <c r="M467" s="48"/>
      <c r="AN467" s="53">
        <f>AN465-AN466</f>
        <v>-10.930000007152557</v>
      </c>
      <c r="AP467" s="53"/>
      <c r="AV467" s="50">
        <f>AV465-AV466</f>
        <v>0</v>
      </c>
      <c r="AW467" s="1" t="s">
        <v>2365</v>
      </c>
    </row>
    <row r="468" spans="1:49" s="1" customFormat="1" ht="16.8" x14ac:dyDescent="0.5">
      <c r="M468" s="48"/>
      <c r="AV468" s="1" t="s">
        <v>2367</v>
      </c>
      <c r="AW468" s="1" t="s">
        <v>503</v>
      </c>
    </row>
    <row r="469" spans="1:49" s="1" customFormat="1" ht="16.8" x14ac:dyDescent="0.5">
      <c r="M469" s="48"/>
      <c r="AN469" s="53"/>
      <c r="AV469" s="1" t="s">
        <v>2368</v>
      </c>
      <c r="AW469" s="1" t="s">
        <v>2369</v>
      </c>
    </row>
    <row r="470" spans="1:49" s="1" customFormat="1" ht="16.8" x14ac:dyDescent="0.5">
      <c r="M470" s="48"/>
    </row>
    <row r="471" spans="1:49" s="1" customFormat="1" ht="16.8" x14ac:dyDescent="0.5">
      <c r="M471" s="48"/>
    </row>
    <row r="472" spans="1:49" s="1" customFormat="1" ht="16.8" x14ac:dyDescent="0.5">
      <c r="M472" s="48"/>
    </row>
    <row r="473" spans="1:49" s="1" customFormat="1" ht="16.8" x14ac:dyDescent="0.5">
      <c r="M473" s="48"/>
    </row>
    <row r="474" spans="1:49" s="1" customFormat="1" ht="16.8" x14ac:dyDescent="0.5">
      <c r="M474" s="48"/>
    </row>
    <row r="475" spans="1:49" s="1" customFormat="1" ht="16.8" x14ac:dyDescent="0.5">
      <c r="A475" s="69" t="s">
        <v>38</v>
      </c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  <c r="AB475" s="69"/>
      <c r="AC475" s="69"/>
      <c r="AD475" s="69"/>
      <c r="AE475" s="69"/>
      <c r="AF475" s="69"/>
      <c r="AG475" s="69"/>
      <c r="AH475" s="69"/>
      <c r="AI475" s="69"/>
      <c r="AJ475" s="69"/>
      <c r="AK475" s="69"/>
      <c r="AL475" s="69"/>
      <c r="AM475" s="69"/>
      <c r="AN475" s="69"/>
      <c r="AO475" s="69"/>
      <c r="AP475" s="69"/>
      <c r="AQ475" s="69"/>
      <c r="AR475" s="69"/>
      <c r="AS475" s="69"/>
    </row>
    <row r="476" spans="1:49" s="1" customFormat="1" ht="16.8" x14ac:dyDescent="0.5">
      <c r="M476" s="48"/>
    </row>
    <row r="477" spans="1:49" s="1" customFormat="1" ht="16.8" x14ac:dyDescent="0.5">
      <c r="M477" s="48"/>
    </row>
    <row r="478" spans="1:49" s="1" customFormat="1" ht="16.8" x14ac:dyDescent="0.5">
      <c r="M478" s="48"/>
    </row>
  </sheetData>
  <mergeCells count="6">
    <mergeCell ref="A475:AS475"/>
    <mergeCell ref="A465:U465"/>
    <mergeCell ref="A5:AS5"/>
    <mergeCell ref="J1:K2"/>
    <mergeCell ref="A1:G2"/>
    <mergeCell ref="Q1:Z1"/>
  </mergeCells>
  <conditionalFormatting sqref="N8:O464">
    <cfRule type="duplicateValues" dxfId="7" priority="23"/>
    <cfRule type="duplicateValues" dxfId="6" priority="24"/>
  </conditionalFormatting>
  <conditionalFormatting sqref="AR8:AR464">
    <cfRule type="dataBar" priority="27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{96C35697-89A2-4563-896F-3BDAEA73C2FC}</x14:id>
        </ext>
      </extLst>
    </cfRule>
    <cfRule type="dataBar" priority="28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{AA39D2BF-BABB-4D2F-82C9-B55F62E13535}</x14:id>
        </ext>
      </extLst>
    </cfRule>
    <cfRule type="dataBar" priority="29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{D060707E-30FE-4332-836A-37C77B8E91F7}</x14:id>
        </ext>
      </extLst>
    </cfRule>
  </conditionalFormatting>
  <conditionalFormatting sqref="AR476:AR1048576 AR1:AR474">
    <cfRule type="dataBar" priority="1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{174906AA-FC82-400E-B265-C5A6464531B6}</x14:id>
        </ext>
      </extLst>
    </cfRule>
    <cfRule type="dataBar" priority="4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{D64E73CF-CF47-4132-B9CD-FECD37B48DAE}</x14:id>
        </ext>
      </extLst>
    </cfRule>
  </conditionalFormatting>
  <dataValidations disablePrompts="1" count="1">
    <dataValidation type="date" operator="notEqual" allowBlank="1" showInputMessage="1" showErrorMessage="1" prompt="ملاحظة: الادخال بالتاريخ _x000a_4/21/2026" sqref="U8:U464" xr:uid="{CADA82F7-63C4-4CD6-A3CD-7A6B532A873D}">
      <formula1>40909</formula1>
    </dataValidation>
  </dataValidations>
  <pageMargins left="0.7" right="0.7" top="0.75" bottom="0.75" header="0.3" footer="0.3"/>
  <pageSetup scale="13" orientation="portrait" r:id="rId1"/>
  <headerFooter>
    <oddHeader>&amp;C&amp;K139119&amp;10&amp;"Calibri"&amp;BPublic - عام&amp;B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C35697-89A2-4563-896F-3BDAEA73C2FC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AA39D2BF-BABB-4D2F-82C9-B55F62E13535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D060707E-30FE-4332-836A-37C77B8E91F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AR8:AR464</xm:sqref>
        </x14:conditionalFormatting>
        <x14:conditionalFormatting xmlns:xm="http://schemas.microsoft.com/office/excel/2006/main">
          <x14:cfRule type="dataBar" id="{174906AA-FC82-400E-B265-C5A6464531B6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D64E73CF-CF47-4132-B9CD-FECD37B48DAE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AR476:AR1048576 AR1:AR474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517E-4966-43EE-A27D-FF0B9FDA690F}">
  <dimension ref="A1:Z11"/>
  <sheetViews>
    <sheetView showGridLines="0" rightToLeft="1" workbookViewId="0">
      <selection activeCell="H1" sqref="H1"/>
    </sheetView>
  </sheetViews>
  <sheetFormatPr defaultRowHeight="14.4" x14ac:dyDescent="0.3"/>
  <cols>
    <col min="1" max="1" width="1.88671875" bestFit="1" customWidth="1"/>
    <col min="2" max="2" width="8.44140625" bestFit="1" customWidth="1"/>
    <col min="3" max="3" width="8.44140625" customWidth="1"/>
    <col min="4" max="4" width="7.33203125" bestFit="1" customWidth="1"/>
    <col min="5" max="6" width="7.33203125" customWidth="1"/>
    <col min="7" max="7" width="7.88671875" bestFit="1" customWidth="1"/>
    <col min="8" max="8" width="8.6640625" bestFit="1" customWidth="1"/>
    <col min="9" max="9" width="3.88671875" bestFit="1" customWidth="1"/>
    <col min="10" max="10" width="6" bestFit="1" customWidth="1"/>
    <col min="11" max="11" width="8.109375" bestFit="1" customWidth="1"/>
    <col min="12" max="12" width="8.33203125" bestFit="1" customWidth="1"/>
    <col min="13" max="13" width="8.109375" bestFit="1" customWidth="1"/>
    <col min="14" max="14" width="7.6640625" bestFit="1" customWidth="1"/>
    <col min="15" max="16" width="7.109375" bestFit="1" customWidth="1"/>
    <col min="17" max="17" width="8.33203125" bestFit="1" customWidth="1"/>
    <col min="18" max="18" width="8" bestFit="1" customWidth="1"/>
    <col min="19" max="19" width="6.33203125" bestFit="1" customWidth="1"/>
    <col min="20" max="20" width="9" bestFit="1" customWidth="1"/>
    <col min="21" max="21" width="8.88671875" bestFit="1" customWidth="1"/>
    <col min="22" max="22" width="6" bestFit="1" customWidth="1"/>
    <col min="24" max="24" width="10.88671875" bestFit="1" customWidth="1"/>
    <col min="25" max="25" width="7" bestFit="1" customWidth="1"/>
    <col min="26" max="26" width="7.109375" bestFit="1" customWidth="1"/>
  </cols>
  <sheetData>
    <row r="1" spans="1:26" ht="117.6" x14ac:dyDescent="0.3">
      <c r="A1" s="2" t="s">
        <v>1</v>
      </c>
      <c r="B1" s="2" t="s">
        <v>2</v>
      </c>
      <c r="C1" s="2" t="s">
        <v>34</v>
      </c>
      <c r="D1" s="2" t="s">
        <v>3</v>
      </c>
      <c r="E1" s="2" t="s">
        <v>49</v>
      </c>
      <c r="F1" s="2" t="s">
        <v>48</v>
      </c>
      <c r="G1" s="2" t="s">
        <v>4</v>
      </c>
      <c r="H1" s="2" t="s">
        <v>17</v>
      </c>
      <c r="I1" s="2" t="s">
        <v>32</v>
      </c>
      <c r="J1" s="2" t="s">
        <v>28</v>
      </c>
      <c r="K1" s="2" t="s">
        <v>31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41</v>
      </c>
      <c r="U1" s="2" t="s">
        <v>39</v>
      </c>
      <c r="V1" s="2" t="s">
        <v>40</v>
      </c>
      <c r="W1" s="2" t="s">
        <v>14</v>
      </c>
      <c r="X1" s="2" t="s">
        <v>15</v>
      </c>
      <c r="Y1" s="2" t="s">
        <v>23</v>
      </c>
      <c r="Z1" s="2" t="s">
        <v>29</v>
      </c>
    </row>
    <row r="2" spans="1:26" ht="18" x14ac:dyDescent="0.5">
      <c r="A2" s="3">
        <v>1</v>
      </c>
      <c r="B2" s="15"/>
      <c r="C2" s="15"/>
      <c r="D2" s="16"/>
      <c r="E2" s="16"/>
      <c r="F2" s="16"/>
      <c r="G2" s="17"/>
      <c r="H2" s="17"/>
      <c r="I2" s="17"/>
      <c r="J2" s="17"/>
      <c r="K2" s="17"/>
      <c r="L2" s="17"/>
      <c r="M2" s="18"/>
      <c r="N2" s="17"/>
      <c r="O2" s="17"/>
      <c r="P2" s="17"/>
      <c r="Q2" s="17"/>
      <c r="R2" s="17"/>
      <c r="S2" s="19"/>
      <c r="T2" s="20"/>
      <c r="U2" s="12">
        <f>T2*5/100</f>
        <v>0</v>
      </c>
      <c r="V2" s="12">
        <f>T2+U2</f>
        <v>0</v>
      </c>
      <c r="W2" s="20">
        <v>0</v>
      </c>
      <c r="X2" s="11">
        <f>V2-W2</f>
        <v>0</v>
      </c>
      <c r="Y2" s="10" t="e">
        <f>W2/V2</f>
        <v>#DIV/0!</v>
      </c>
      <c r="Z2" s="11" t="e">
        <f>T2/J2</f>
        <v>#DIV/0!</v>
      </c>
    </row>
    <row r="3" spans="1:26" ht="18" x14ac:dyDescent="0.5">
      <c r="A3" s="3">
        <v>2</v>
      </c>
      <c r="B3" s="4"/>
      <c r="C3" s="4"/>
      <c r="D3" s="5"/>
      <c r="E3" s="5"/>
      <c r="F3" s="5"/>
      <c r="G3" s="6"/>
      <c r="H3" s="6"/>
      <c r="I3" s="6"/>
      <c r="J3" s="6"/>
      <c r="K3" s="6"/>
      <c r="L3" s="6"/>
      <c r="M3" s="7"/>
      <c r="N3" s="6"/>
      <c r="O3" s="6"/>
      <c r="P3" s="6"/>
      <c r="Q3" s="6"/>
      <c r="R3" s="6"/>
      <c r="S3" s="14"/>
      <c r="T3" s="9"/>
      <c r="U3" s="12">
        <f t="shared" ref="U3:U6" si="0">T3*5/100</f>
        <v>0</v>
      </c>
      <c r="V3" s="12">
        <f t="shared" ref="V3:V6" si="1">T3+U3</f>
        <v>0</v>
      </c>
      <c r="W3" s="8">
        <v>0</v>
      </c>
      <c r="X3" s="11">
        <f>V3-W3</f>
        <v>0</v>
      </c>
      <c r="Y3" s="10" t="e">
        <f>W3/V3</f>
        <v>#DIV/0!</v>
      </c>
      <c r="Z3" s="11" t="e">
        <f>T3/J3</f>
        <v>#DIV/0!</v>
      </c>
    </row>
    <row r="4" spans="1:26" ht="18" x14ac:dyDescent="0.5">
      <c r="A4" s="3">
        <v>3</v>
      </c>
      <c r="B4" s="15"/>
      <c r="C4" s="15"/>
      <c r="D4" s="16"/>
      <c r="E4" s="16"/>
      <c r="F4" s="16"/>
      <c r="G4" s="17"/>
      <c r="H4" s="17"/>
      <c r="I4" s="17"/>
      <c r="J4" s="17"/>
      <c r="K4" s="17"/>
      <c r="L4" s="17"/>
      <c r="M4" s="18"/>
      <c r="N4" s="17"/>
      <c r="O4" s="17"/>
      <c r="P4" s="17"/>
      <c r="Q4" s="17"/>
      <c r="R4" s="17"/>
      <c r="S4" s="19"/>
      <c r="T4" s="20"/>
      <c r="U4" s="12">
        <f t="shared" si="0"/>
        <v>0</v>
      </c>
      <c r="V4" s="12">
        <f t="shared" si="1"/>
        <v>0</v>
      </c>
      <c r="W4" s="20">
        <v>0</v>
      </c>
      <c r="X4" s="11">
        <f>V4-W4</f>
        <v>0</v>
      </c>
      <c r="Y4" s="10" t="e">
        <f>W4/V4</f>
        <v>#DIV/0!</v>
      </c>
      <c r="Z4" s="11" t="e">
        <f>T4/J4</f>
        <v>#DIV/0!</v>
      </c>
    </row>
    <row r="5" spans="1:26" ht="18" x14ac:dyDescent="0.5">
      <c r="A5" s="3">
        <v>4</v>
      </c>
      <c r="B5" s="4"/>
      <c r="C5" s="4"/>
      <c r="D5" s="5"/>
      <c r="E5" s="5"/>
      <c r="F5" s="5"/>
      <c r="G5" s="6"/>
      <c r="H5" s="6"/>
      <c r="I5" s="6"/>
      <c r="J5" s="6"/>
      <c r="K5" s="6"/>
      <c r="L5" s="6"/>
      <c r="M5" s="7"/>
      <c r="N5" s="6"/>
      <c r="O5" s="6"/>
      <c r="P5" s="6"/>
      <c r="Q5" s="6"/>
      <c r="R5" s="6"/>
      <c r="S5" s="14"/>
      <c r="T5" s="9"/>
      <c r="U5" s="12">
        <f t="shared" si="0"/>
        <v>0</v>
      </c>
      <c r="V5" s="12">
        <f t="shared" si="1"/>
        <v>0</v>
      </c>
      <c r="W5" s="8">
        <v>0</v>
      </c>
      <c r="X5" s="11">
        <f>V5-W5</f>
        <v>0</v>
      </c>
      <c r="Y5" s="10" t="e">
        <f>W5/V5</f>
        <v>#DIV/0!</v>
      </c>
      <c r="Z5" s="11" t="e">
        <f>T5/J5</f>
        <v>#DIV/0!</v>
      </c>
    </row>
    <row r="6" spans="1:26" ht="18" x14ac:dyDescent="0.5">
      <c r="A6" s="3">
        <v>5</v>
      </c>
      <c r="B6" s="15"/>
      <c r="C6" s="15"/>
      <c r="D6" s="16"/>
      <c r="E6" s="16"/>
      <c r="F6" s="16"/>
      <c r="G6" s="17"/>
      <c r="H6" s="17"/>
      <c r="I6" s="17"/>
      <c r="J6" s="17"/>
      <c r="K6" s="17"/>
      <c r="L6" s="17"/>
      <c r="M6" s="18"/>
      <c r="N6" s="17"/>
      <c r="O6" s="17"/>
      <c r="P6" s="17"/>
      <c r="Q6" s="17"/>
      <c r="R6" s="17"/>
      <c r="S6" s="19"/>
      <c r="T6" s="20"/>
      <c r="U6" s="12">
        <f t="shared" si="0"/>
        <v>0</v>
      </c>
      <c r="V6" s="12">
        <f t="shared" si="1"/>
        <v>0</v>
      </c>
      <c r="W6" s="20">
        <v>0</v>
      </c>
      <c r="X6" s="15">
        <f>V6-W6</f>
        <v>0</v>
      </c>
      <c r="Y6" s="10" t="e">
        <f>W6/V6</f>
        <v>#DIV/0!</v>
      </c>
      <c r="Z6" s="11" t="e">
        <f>T6/J6</f>
        <v>#DIV/0!</v>
      </c>
    </row>
    <row r="7" spans="1:26" ht="18" x14ac:dyDescent="0.5">
      <c r="A7" s="78" t="s">
        <v>16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80"/>
      <c r="T7" s="9">
        <f t="shared" ref="T7:V7" si="2">SUM(T2:T6)</f>
        <v>0</v>
      </c>
      <c r="U7" s="9">
        <f t="shared" si="2"/>
        <v>0</v>
      </c>
      <c r="V7" s="9">
        <f t="shared" si="2"/>
        <v>0</v>
      </c>
      <c r="W7" s="9">
        <f>SUM(W2:W6)</f>
        <v>0</v>
      </c>
      <c r="X7" s="9">
        <f>SUM(X2:X6)</f>
        <v>0</v>
      </c>
      <c r="Y7" s="6"/>
      <c r="Z7" s="8"/>
    </row>
    <row r="11" spans="1:26" ht="18.75" customHeight="1" x14ac:dyDescent="0.3">
      <c r="A11" s="69" t="s">
        <v>35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</sheetData>
  <mergeCells count="2">
    <mergeCell ref="A7:S7"/>
    <mergeCell ref="A11:Z11"/>
  </mergeCells>
  <conditionalFormatting sqref="M2:M6">
    <cfRule type="duplicateValues" dxfId="5" priority="6"/>
    <cfRule type="duplicateValues" dxfId="4" priority="7"/>
  </conditionalFormatting>
  <conditionalFormatting sqref="Y1:Y7">
    <cfRule type="dataBar" priority="8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{03C72220-E6C9-4887-A12A-8D9722968BF7}</x14:id>
        </ext>
      </extLst>
    </cfRule>
    <cfRule type="dataBar" priority="9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{62427E5D-3A67-42C0-AAAF-E2A9EB6B7C82}</x14:id>
        </ext>
      </extLst>
    </cfRule>
  </conditionalFormatting>
  <conditionalFormatting sqref="Y2:Y6">
    <cfRule type="dataBar" priority="2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{6E11A1A0-F7F1-4933-AA63-31091DEC7FB0}</x14:id>
        </ext>
      </extLst>
    </cfRule>
    <cfRule type="dataBar" priority="3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{E605E26C-7A0F-4712-AE7F-BC8DCCEB622A}</x14:id>
        </ext>
      </extLst>
    </cfRule>
    <cfRule type="dataBar" priority="5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{9E7BBD4D-5722-47AF-B717-313E5CA298A6}</x14:id>
        </ext>
      </extLst>
    </cfRule>
  </conditionalFormatting>
  <pageMargins left="0.7" right="0.7" top="0.75" bottom="0.75" header="0.3" footer="0.3"/>
  <pageSetup orientation="portrait" r:id="rId1"/>
  <headerFooter>
    <oddHeader>&amp;C&amp;K139119&amp;10&amp;"Calibri"&amp;BPublic - عام&amp;B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C72220-E6C9-4887-A12A-8D9722968BF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62427E5D-3A67-42C0-AAAF-E2A9EB6B7C8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Y1:Y7</xm:sqref>
        </x14:conditionalFormatting>
        <x14:conditionalFormatting xmlns:xm="http://schemas.microsoft.com/office/excel/2006/main">
          <x14:cfRule type="dataBar" id="{6E11A1A0-F7F1-4933-AA63-31091DEC7FB0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E605E26C-7A0F-4712-AE7F-BC8DCCEB622A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9E7BBD4D-5722-47AF-B717-313E5CA298A6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Y2:Y6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A8440-277B-46C5-9EA8-D699DDA6354F}">
  <dimension ref="A1:Z10"/>
  <sheetViews>
    <sheetView showGridLines="0" rightToLeft="1" workbookViewId="0">
      <selection activeCell="C1" sqref="C1"/>
    </sheetView>
  </sheetViews>
  <sheetFormatPr defaultRowHeight="14.4" x14ac:dyDescent="0.3"/>
  <sheetData>
    <row r="1" spans="1:26" ht="67.2" x14ac:dyDescent="0.3">
      <c r="A1" s="2" t="s">
        <v>1</v>
      </c>
      <c r="B1" s="2" t="s">
        <v>2</v>
      </c>
      <c r="C1" s="2" t="s">
        <v>34</v>
      </c>
      <c r="D1" s="2" t="s">
        <v>3</v>
      </c>
      <c r="E1" s="2" t="s">
        <v>49</v>
      </c>
      <c r="F1" s="2" t="s">
        <v>48</v>
      </c>
      <c r="G1" s="2" t="s">
        <v>4</v>
      </c>
      <c r="H1" s="2" t="s">
        <v>17</v>
      </c>
      <c r="I1" s="2" t="s">
        <v>32</v>
      </c>
      <c r="J1" s="2" t="s">
        <v>28</v>
      </c>
      <c r="K1" s="2" t="s">
        <v>31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41</v>
      </c>
      <c r="U1" s="2" t="s">
        <v>39</v>
      </c>
      <c r="V1" s="2" t="s">
        <v>40</v>
      </c>
      <c r="W1" s="2" t="s">
        <v>14</v>
      </c>
      <c r="X1" s="2" t="s">
        <v>15</v>
      </c>
      <c r="Y1" s="2" t="s">
        <v>23</v>
      </c>
      <c r="Z1" s="2" t="s">
        <v>29</v>
      </c>
    </row>
    <row r="2" spans="1:26" ht="18" x14ac:dyDescent="0.5">
      <c r="A2" s="3">
        <v>1</v>
      </c>
      <c r="B2" s="21"/>
      <c r="C2" s="21"/>
      <c r="D2" s="22"/>
      <c r="E2" s="22"/>
      <c r="F2" s="22"/>
      <c r="G2" s="6"/>
      <c r="H2" s="6"/>
      <c r="I2" s="6"/>
      <c r="J2" s="6"/>
      <c r="K2" s="6"/>
      <c r="L2" s="6"/>
      <c r="M2" s="23"/>
      <c r="N2" s="6"/>
      <c r="O2" s="6"/>
      <c r="P2" s="6"/>
      <c r="Q2" s="6"/>
      <c r="R2" s="6"/>
      <c r="S2" s="14"/>
      <c r="T2" s="9"/>
      <c r="U2" s="12">
        <f>T2*5/100</f>
        <v>0</v>
      </c>
      <c r="V2" s="12">
        <f>T2+U2</f>
        <v>0</v>
      </c>
      <c r="W2" s="9">
        <v>0</v>
      </c>
      <c r="X2" s="11">
        <f>V2-W2</f>
        <v>0</v>
      </c>
      <c r="Y2" s="10" t="e">
        <f>W2/V2</f>
        <v>#DIV/0!</v>
      </c>
      <c r="Z2" s="11" t="e">
        <f>T2/J2</f>
        <v>#DIV/0!</v>
      </c>
    </row>
    <row r="3" spans="1:26" ht="18" x14ac:dyDescent="0.5">
      <c r="A3" s="3">
        <v>2</v>
      </c>
      <c r="B3" s="21"/>
      <c r="C3" s="21"/>
      <c r="D3" s="22"/>
      <c r="E3" s="22"/>
      <c r="F3" s="22"/>
      <c r="G3" s="6"/>
      <c r="H3" s="6"/>
      <c r="I3" s="6"/>
      <c r="J3" s="6"/>
      <c r="K3" s="6"/>
      <c r="L3" s="6"/>
      <c r="M3" s="23"/>
      <c r="N3" s="6"/>
      <c r="O3" s="6"/>
      <c r="P3" s="6"/>
      <c r="Q3" s="6"/>
      <c r="R3" s="6"/>
      <c r="S3" s="14"/>
      <c r="T3" s="9"/>
      <c r="U3" s="12">
        <f t="shared" ref="U3:U6" si="0">T3*5/100</f>
        <v>0</v>
      </c>
      <c r="V3" s="12">
        <f t="shared" ref="V3:V6" si="1">T3+U3</f>
        <v>0</v>
      </c>
      <c r="W3" s="8">
        <v>0</v>
      </c>
      <c r="X3" s="11">
        <f>V3-W3</f>
        <v>0</v>
      </c>
      <c r="Y3" s="10" t="e">
        <f>W3/V3</f>
        <v>#DIV/0!</v>
      </c>
      <c r="Z3" s="11" t="e">
        <f>T3/J3</f>
        <v>#DIV/0!</v>
      </c>
    </row>
    <row r="4" spans="1:26" ht="18" x14ac:dyDescent="0.5">
      <c r="A4" s="3">
        <v>3</v>
      </c>
      <c r="B4" s="21"/>
      <c r="C4" s="21"/>
      <c r="D4" s="22"/>
      <c r="E4" s="22"/>
      <c r="F4" s="22"/>
      <c r="G4" s="6"/>
      <c r="H4" s="6"/>
      <c r="I4" s="6"/>
      <c r="J4" s="6"/>
      <c r="K4" s="6"/>
      <c r="L4" s="6"/>
      <c r="M4" s="23"/>
      <c r="N4" s="6"/>
      <c r="O4" s="6"/>
      <c r="P4" s="6"/>
      <c r="Q4" s="6"/>
      <c r="R4" s="6"/>
      <c r="S4" s="14"/>
      <c r="T4" s="9"/>
      <c r="U4" s="12">
        <f t="shared" si="0"/>
        <v>0</v>
      </c>
      <c r="V4" s="12">
        <f t="shared" si="1"/>
        <v>0</v>
      </c>
      <c r="W4" s="9">
        <v>0</v>
      </c>
      <c r="X4" s="11">
        <f>V4-W4</f>
        <v>0</v>
      </c>
      <c r="Y4" s="10" t="e">
        <f>W4/V4</f>
        <v>#DIV/0!</v>
      </c>
      <c r="Z4" s="11" t="e">
        <f>T4/J4</f>
        <v>#DIV/0!</v>
      </c>
    </row>
    <row r="5" spans="1:26" ht="18" x14ac:dyDescent="0.5">
      <c r="A5" s="3">
        <v>4</v>
      </c>
      <c r="B5" s="21"/>
      <c r="C5" s="21"/>
      <c r="D5" s="22"/>
      <c r="E5" s="22"/>
      <c r="F5" s="22"/>
      <c r="G5" s="6"/>
      <c r="H5" s="6"/>
      <c r="I5" s="6"/>
      <c r="J5" s="6"/>
      <c r="K5" s="6"/>
      <c r="L5" s="6"/>
      <c r="M5" s="23"/>
      <c r="N5" s="6"/>
      <c r="O5" s="6"/>
      <c r="P5" s="6"/>
      <c r="Q5" s="6"/>
      <c r="R5" s="6"/>
      <c r="S5" s="14"/>
      <c r="T5" s="9"/>
      <c r="U5" s="12">
        <f t="shared" si="0"/>
        <v>0</v>
      </c>
      <c r="V5" s="12">
        <f t="shared" si="1"/>
        <v>0</v>
      </c>
      <c r="W5" s="8">
        <v>0</v>
      </c>
      <c r="X5" s="11">
        <f>V5-W5</f>
        <v>0</v>
      </c>
      <c r="Y5" s="10" t="e">
        <f>W5/V5</f>
        <v>#DIV/0!</v>
      </c>
      <c r="Z5" s="11" t="e">
        <f>T5/J5</f>
        <v>#DIV/0!</v>
      </c>
    </row>
    <row r="6" spans="1:26" ht="18" x14ac:dyDescent="0.5">
      <c r="A6" s="3">
        <v>5</v>
      </c>
      <c r="B6" s="21"/>
      <c r="C6" s="21"/>
      <c r="D6" s="22"/>
      <c r="E6" s="22"/>
      <c r="F6" s="22"/>
      <c r="G6" s="6"/>
      <c r="H6" s="6"/>
      <c r="I6" s="6"/>
      <c r="J6" s="6"/>
      <c r="K6" s="6"/>
      <c r="L6" s="6"/>
      <c r="M6" s="23"/>
      <c r="N6" s="6"/>
      <c r="O6" s="6"/>
      <c r="P6" s="6"/>
      <c r="Q6" s="6"/>
      <c r="R6" s="6"/>
      <c r="S6" s="14"/>
      <c r="T6" s="9"/>
      <c r="U6" s="12">
        <f t="shared" si="0"/>
        <v>0</v>
      </c>
      <c r="V6" s="12">
        <f t="shared" si="1"/>
        <v>0</v>
      </c>
      <c r="W6" s="9">
        <v>0</v>
      </c>
      <c r="X6" s="15">
        <f>V6-W6</f>
        <v>0</v>
      </c>
      <c r="Y6" s="10" t="e">
        <f>W6/V6</f>
        <v>#DIV/0!</v>
      </c>
      <c r="Z6" s="11" t="e">
        <f>T6/J6</f>
        <v>#DIV/0!</v>
      </c>
    </row>
    <row r="7" spans="1:26" ht="18" x14ac:dyDescent="0.5">
      <c r="A7" s="78" t="s">
        <v>16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80"/>
      <c r="T7" s="9">
        <f t="shared" ref="T7:V7" si="2">SUM(T2:T6)</f>
        <v>0</v>
      </c>
      <c r="U7" s="9">
        <f t="shared" si="2"/>
        <v>0</v>
      </c>
      <c r="V7" s="9">
        <f t="shared" si="2"/>
        <v>0</v>
      </c>
      <c r="W7" s="9">
        <f>SUM(W2:W6)</f>
        <v>0</v>
      </c>
      <c r="X7" s="9">
        <f>SUM(X2:X6)</f>
        <v>0</v>
      </c>
      <c r="Y7" s="6"/>
      <c r="Z7" s="8"/>
    </row>
    <row r="10" spans="1:26" ht="16.8" x14ac:dyDescent="0.3">
      <c r="A10" s="69" t="s">
        <v>36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</sheetData>
  <mergeCells count="2">
    <mergeCell ref="A7:S7"/>
    <mergeCell ref="A10:Z10"/>
  </mergeCells>
  <conditionalFormatting sqref="M2:M6">
    <cfRule type="duplicateValues" dxfId="3" priority="4"/>
    <cfRule type="duplicateValues" dxfId="2" priority="5"/>
  </conditionalFormatting>
  <conditionalFormatting sqref="Y1:Y7">
    <cfRule type="dataBar" priority="6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{5192AAEF-776A-4154-BAC0-8127A5B6835A}</x14:id>
        </ext>
      </extLst>
    </cfRule>
    <cfRule type="dataBar" priority="7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{045BEDF3-9B6D-4402-B8EB-2CCFED4ADC1B}</x14:id>
        </ext>
      </extLst>
    </cfRule>
  </conditionalFormatting>
  <conditionalFormatting sqref="Y2:Y6">
    <cfRule type="dataBar" priority="1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{7720A83C-4FBC-4B18-9C52-463011F1D5AC}</x14:id>
        </ext>
      </extLst>
    </cfRule>
    <cfRule type="dataBar" priority="2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{DE60DF77-55AB-4C4F-B739-40101669989E}</x14:id>
        </ext>
      </extLst>
    </cfRule>
    <cfRule type="dataBar" priority="3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{D3C5B4A2-067D-4272-B71F-66C0E49727FF}</x14:id>
        </ext>
      </extLst>
    </cfRule>
  </conditionalFormatting>
  <pageMargins left="0.7" right="0.7" top="0.75" bottom="0.75" header="0.3" footer="0.3"/>
  <pageSetup orientation="portrait" r:id="rId1"/>
  <headerFooter>
    <oddHeader>&amp;C&amp;K139119&amp;10&amp;"Calibri"&amp;BPublic - عام&amp;B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92AAEF-776A-4154-BAC0-8127A5B6835A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045BEDF3-9B6D-4402-B8EB-2CCFED4ADC1B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Y1:Y7</xm:sqref>
        </x14:conditionalFormatting>
        <x14:conditionalFormatting xmlns:xm="http://schemas.microsoft.com/office/excel/2006/main">
          <x14:cfRule type="dataBar" id="{7720A83C-4FBC-4B18-9C52-463011F1D5AC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DE60DF77-55AB-4C4F-B739-40101669989E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D3C5B4A2-067D-4272-B71F-66C0E49727FF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Y2:Y6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E2ED9-0751-48BB-9A87-A14A5D1D0D72}">
  <dimension ref="A1:AE10"/>
  <sheetViews>
    <sheetView showGridLines="0" rightToLeft="1" workbookViewId="0"/>
  </sheetViews>
  <sheetFormatPr defaultRowHeight="14.4" x14ac:dyDescent="0.3"/>
  <sheetData>
    <row r="1" spans="1:31" ht="84" x14ac:dyDescent="0.3">
      <c r="A1" s="2" t="s">
        <v>1</v>
      </c>
      <c r="B1" s="2" t="s">
        <v>2</v>
      </c>
      <c r="C1" s="2" t="s">
        <v>34</v>
      </c>
      <c r="D1" s="2" t="s">
        <v>3</v>
      </c>
      <c r="E1" s="2" t="s">
        <v>49</v>
      </c>
      <c r="F1" s="2" t="s">
        <v>48</v>
      </c>
      <c r="G1" s="2" t="s">
        <v>4</v>
      </c>
      <c r="H1" s="2" t="s">
        <v>17</v>
      </c>
      <c r="I1" s="2" t="s">
        <v>43</v>
      </c>
      <c r="J1" s="2" t="s">
        <v>44</v>
      </c>
      <c r="K1" s="2" t="s">
        <v>32</v>
      </c>
      <c r="L1" s="2" t="s">
        <v>28</v>
      </c>
      <c r="M1" s="2" t="s">
        <v>31</v>
      </c>
      <c r="N1" s="2" t="s">
        <v>5</v>
      </c>
      <c r="O1" s="2" t="s">
        <v>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12</v>
      </c>
      <c r="V1" s="2" t="s">
        <v>41</v>
      </c>
      <c r="W1" s="25" t="s">
        <v>45</v>
      </c>
      <c r="X1" s="2" t="s">
        <v>42</v>
      </c>
      <c r="Y1" s="2" t="s">
        <v>39</v>
      </c>
      <c r="Z1" s="2" t="s">
        <v>40</v>
      </c>
      <c r="AA1" s="25" t="s">
        <v>46</v>
      </c>
      <c r="AB1" s="25" t="s">
        <v>47</v>
      </c>
      <c r="AC1" s="2" t="s">
        <v>15</v>
      </c>
      <c r="AD1" s="2" t="s">
        <v>23</v>
      </c>
      <c r="AE1" s="2" t="s">
        <v>29</v>
      </c>
    </row>
    <row r="2" spans="1:31" ht="18" x14ac:dyDescent="0.5">
      <c r="A2" s="3">
        <v>1</v>
      </c>
      <c r="B2" s="21"/>
      <c r="C2" s="21"/>
      <c r="D2" s="22"/>
      <c r="E2" s="22"/>
      <c r="F2" s="22"/>
      <c r="G2" s="6"/>
      <c r="H2" s="6"/>
      <c r="I2" s="6"/>
      <c r="J2" s="6"/>
      <c r="K2" s="6"/>
      <c r="L2" s="6"/>
      <c r="M2" s="6"/>
      <c r="N2" s="6"/>
      <c r="O2" s="23"/>
      <c r="P2" s="6"/>
      <c r="Q2" s="6"/>
      <c r="R2" s="6"/>
      <c r="S2" s="6"/>
      <c r="T2" s="6"/>
      <c r="U2" s="14"/>
      <c r="V2" s="9"/>
      <c r="W2" s="9"/>
      <c r="X2" s="9"/>
      <c r="Y2" s="12">
        <f>V2*5/100</f>
        <v>0</v>
      </c>
      <c r="Z2" s="12">
        <f>V2+Y2</f>
        <v>0</v>
      </c>
      <c r="AA2" s="9">
        <v>0</v>
      </c>
      <c r="AB2" s="9"/>
      <c r="AC2" s="11">
        <f>Z2-AA2</f>
        <v>0</v>
      </c>
      <c r="AD2" s="10" t="e">
        <f>AA2/Z2</f>
        <v>#DIV/0!</v>
      </c>
      <c r="AE2" s="11" t="e">
        <f>V2/L2</f>
        <v>#DIV/0!</v>
      </c>
    </row>
    <row r="3" spans="1:31" ht="18" x14ac:dyDescent="0.5">
      <c r="A3" s="3">
        <v>2</v>
      </c>
      <c r="B3" s="21"/>
      <c r="C3" s="21"/>
      <c r="D3" s="22"/>
      <c r="E3" s="22"/>
      <c r="F3" s="22"/>
      <c r="G3" s="6"/>
      <c r="H3" s="6"/>
      <c r="I3" s="6"/>
      <c r="J3" s="6"/>
      <c r="K3" s="6"/>
      <c r="L3" s="6"/>
      <c r="M3" s="6"/>
      <c r="N3" s="6"/>
      <c r="O3" s="23"/>
      <c r="P3" s="6"/>
      <c r="Q3" s="6"/>
      <c r="R3" s="6"/>
      <c r="S3" s="6"/>
      <c r="T3" s="6"/>
      <c r="U3" s="14"/>
      <c r="V3" s="9"/>
      <c r="W3" s="9"/>
      <c r="X3" s="9"/>
      <c r="Y3" s="12">
        <f t="shared" ref="Y3:Y6" si="0">V3*5/100</f>
        <v>0</v>
      </c>
      <c r="Z3" s="12">
        <f t="shared" ref="Z3:Z6" si="1">V3+Y3</f>
        <v>0</v>
      </c>
      <c r="AA3" s="8">
        <v>0</v>
      </c>
      <c r="AB3" s="8"/>
      <c r="AC3" s="11">
        <f>Z3-AA3</f>
        <v>0</v>
      </c>
      <c r="AD3" s="10" t="e">
        <f>AA3/Z3</f>
        <v>#DIV/0!</v>
      </c>
      <c r="AE3" s="11" t="e">
        <f>V3/L3</f>
        <v>#DIV/0!</v>
      </c>
    </row>
    <row r="4" spans="1:31" ht="18" x14ac:dyDescent="0.5">
      <c r="A4" s="3">
        <v>3</v>
      </c>
      <c r="B4" s="21"/>
      <c r="C4" s="21"/>
      <c r="D4" s="22"/>
      <c r="E4" s="22"/>
      <c r="F4" s="22"/>
      <c r="G4" s="6"/>
      <c r="H4" s="6"/>
      <c r="I4" s="6"/>
      <c r="J4" s="6"/>
      <c r="K4" s="6"/>
      <c r="L4" s="6"/>
      <c r="M4" s="6"/>
      <c r="N4" s="6"/>
      <c r="O4" s="23"/>
      <c r="P4" s="6"/>
      <c r="Q4" s="6"/>
      <c r="R4" s="6"/>
      <c r="S4" s="6"/>
      <c r="T4" s="6"/>
      <c r="U4" s="14"/>
      <c r="V4" s="9"/>
      <c r="W4" s="9"/>
      <c r="X4" s="9"/>
      <c r="Y4" s="12">
        <f t="shared" si="0"/>
        <v>0</v>
      </c>
      <c r="Z4" s="12">
        <f t="shared" si="1"/>
        <v>0</v>
      </c>
      <c r="AA4" s="9">
        <v>0</v>
      </c>
      <c r="AB4" s="9"/>
      <c r="AC4" s="11">
        <f>Z4-AA4</f>
        <v>0</v>
      </c>
      <c r="AD4" s="10" t="e">
        <f>AA4/Z4</f>
        <v>#DIV/0!</v>
      </c>
      <c r="AE4" s="11" t="e">
        <f>V4/L4</f>
        <v>#DIV/0!</v>
      </c>
    </row>
    <row r="5" spans="1:31" ht="18" x14ac:dyDescent="0.5">
      <c r="A5" s="3">
        <v>4</v>
      </c>
      <c r="B5" s="21"/>
      <c r="C5" s="21"/>
      <c r="D5" s="22"/>
      <c r="E5" s="22"/>
      <c r="F5" s="22"/>
      <c r="G5" s="6"/>
      <c r="H5" s="6"/>
      <c r="I5" s="6"/>
      <c r="J5" s="6"/>
      <c r="K5" s="6"/>
      <c r="L5" s="6"/>
      <c r="M5" s="6"/>
      <c r="N5" s="6"/>
      <c r="O5" s="23"/>
      <c r="P5" s="6"/>
      <c r="Q5" s="6"/>
      <c r="R5" s="6"/>
      <c r="S5" s="6"/>
      <c r="T5" s="6"/>
      <c r="U5" s="14"/>
      <c r="V5" s="9"/>
      <c r="W5" s="9"/>
      <c r="X5" s="9"/>
      <c r="Y5" s="12">
        <f t="shared" si="0"/>
        <v>0</v>
      </c>
      <c r="Z5" s="12">
        <f t="shared" si="1"/>
        <v>0</v>
      </c>
      <c r="AA5" s="8">
        <v>0</v>
      </c>
      <c r="AB5" s="8"/>
      <c r="AC5" s="11">
        <f>Z5-AA5</f>
        <v>0</v>
      </c>
      <c r="AD5" s="10" t="e">
        <f>AA5/Z5</f>
        <v>#DIV/0!</v>
      </c>
      <c r="AE5" s="11" t="e">
        <f>V5/L5</f>
        <v>#DIV/0!</v>
      </c>
    </row>
    <row r="6" spans="1:31" ht="18" x14ac:dyDescent="0.5">
      <c r="A6" s="3">
        <v>5</v>
      </c>
      <c r="B6" s="21"/>
      <c r="C6" s="21"/>
      <c r="D6" s="22"/>
      <c r="E6" s="22"/>
      <c r="F6" s="22"/>
      <c r="G6" s="6"/>
      <c r="H6" s="6"/>
      <c r="I6" s="6"/>
      <c r="J6" s="6"/>
      <c r="K6" s="6"/>
      <c r="L6" s="6"/>
      <c r="M6" s="6"/>
      <c r="N6" s="6"/>
      <c r="O6" s="23"/>
      <c r="P6" s="6"/>
      <c r="Q6" s="6"/>
      <c r="R6" s="6"/>
      <c r="S6" s="6"/>
      <c r="T6" s="6"/>
      <c r="U6" s="14"/>
      <c r="V6" s="9"/>
      <c r="W6" s="9"/>
      <c r="X6" s="9"/>
      <c r="Y6" s="12">
        <f t="shared" si="0"/>
        <v>0</v>
      </c>
      <c r="Z6" s="12">
        <f t="shared" si="1"/>
        <v>0</v>
      </c>
      <c r="AA6" s="9">
        <v>0</v>
      </c>
      <c r="AB6" s="9"/>
      <c r="AC6" s="15">
        <f>Z6-AA6</f>
        <v>0</v>
      </c>
      <c r="AD6" s="10" t="e">
        <f>AA6/Z6</f>
        <v>#DIV/0!</v>
      </c>
      <c r="AE6" s="11" t="e">
        <f>V6/L6</f>
        <v>#DIV/0!</v>
      </c>
    </row>
    <row r="7" spans="1:31" ht="18" x14ac:dyDescent="0.5">
      <c r="A7" s="78" t="s">
        <v>16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80"/>
      <c r="V7" s="9">
        <f t="shared" ref="V7:Z7" si="2">SUM(V2:V6)</f>
        <v>0</v>
      </c>
      <c r="W7" s="9"/>
      <c r="X7" s="9"/>
      <c r="Y7" s="9">
        <f t="shared" si="2"/>
        <v>0</v>
      </c>
      <c r="Z7" s="9">
        <f t="shared" si="2"/>
        <v>0</v>
      </c>
      <c r="AA7" s="9">
        <f>SUM(AA2:AA6)</f>
        <v>0</v>
      </c>
      <c r="AB7" s="9"/>
      <c r="AC7" s="9">
        <f>SUM(AC2:AC6)</f>
        <v>0</v>
      </c>
      <c r="AD7" s="6"/>
      <c r="AE7" s="8"/>
    </row>
    <row r="10" spans="1:31" ht="16.8" x14ac:dyDescent="0.3">
      <c r="A10" s="69" t="s">
        <v>37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</row>
  </sheetData>
  <mergeCells count="2">
    <mergeCell ref="A7:U7"/>
    <mergeCell ref="A10:AE10"/>
  </mergeCells>
  <conditionalFormatting sqref="O2:O6">
    <cfRule type="duplicateValues" dxfId="1" priority="4"/>
    <cfRule type="duplicateValues" dxfId="0" priority="5"/>
  </conditionalFormatting>
  <conditionalFormatting sqref="AD1:AD7">
    <cfRule type="dataBar" priority="6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{F8EEDF78-1E23-46C6-8798-344424269207}</x14:id>
        </ext>
      </extLst>
    </cfRule>
    <cfRule type="dataBar" priority="7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{C9B35AF9-A570-48B0-AAFF-FE9A9202874C}</x14:id>
        </ext>
      </extLst>
    </cfRule>
  </conditionalFormatting>
  <conditionalFormatting sqref="AD2:AD6">
    <cfRule type="dataBar" priority="1">
      <dataBar>
        <cfvo type="percent" val="0"/>
        <cfvo type="percent" val="100"/>
        <color theme="0"/>
      </dataBar>
      <extLst>
        <ext xmlns:x14="http://schemas.microsoft.com/office/spreadsheetml/2009/9/main" uri="{B025F937-C7B1-47D3-B67F-A62EFF666E3E}">
          <x14:id>{4E4B7E18-D854-4C4A-B68A-5B9C28313FC2}</x14:id>
        </ext>
      </extLst>
    </cfRule>
    <cfRule type="dataBar" priority="2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{B3334FFE-5C59-4617-A143-1E56DF0AB122}</x14:id>
        </ext>
      </extLst>
    </cfRule>
    <cfRule type="dataBar" priority="3">
      <dataBar>
        <cfvo type="percent" val="0"/>
        <cfvo type="percent" val="100"/>
        <color theme="0" tint="-0.14999847407452621"/>
      </dataBar>
      <extLst>
        <ext xmlns:x14="http://schemas.microsoft.com/office/spreadsheetml/2009/9/main" uri="{B025F937-C7B1-47D3-B67F-A62EFF666E3E}">
          <x14:id>{1FF48571-E7F0-4F24-AECD-ADBF75541C14}</x14:id>
        </ext>
      </extLst>
    </cfRule>
  </conditionalFormatting>
  <pageMargins left="0.7" right="0.7" top="0.75" bottom="0.75" header="0.3" footer="0.3"/>
  <pageSetup orientation="portrait" r:id="rId1"/>
  <headerFooter>
    <oddHeader>&amp;C&amp;K139119&amp;10&amp;"Calibri"&amp;BPublic - عام&amp;B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EEDF78-1E23-46C6-8798-34442426920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C9B35AF9-A570-48B0-AAFF-FE9A9202874C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AD1:AD7</xm:sqref>
        </x14:conditionalFormatting>
        <x14:conditionalFormatting xmlns:xm="http://schemas.microsoft.com/office/excel/2006/main">
          <x14:cfRule type="dataBar" id="{4E4B7E18-D854-4C4A-B68A-5B9C28313FC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B3334FFE-5C59-4617-A143-1E56DF0AB12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1FF48571-E7F0-4F24-AECD-ADBF75541C14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AD2:AD6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cd52ad-a1e9-4738-8b50-09dfe5a79c41">
      <Terms xmlns="http://schemas.microsoft.com/office/infopath/2007/PartnerControls"/>
    </lcf76f155ced4ddcb4097134ff3c332f>
    <TaxCatchAll xmlns="e243a8bc-5a47-4fd0-8b24-e0563dd0f64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C2AF7CA78B2F4B841D52145F79518C" ma:contentTypeVersion="17" ma:contentTypeDescription="Create a new document." ma:contentTypeScope="" ma:versionID="3c1a5f0843b186014c81fc8dac016f3a">
  <xsd:schema xmlns:xsd="http://www.w3.org/2001/XMLSchema" xmlns:xs="http://www.w3.org/2001/XMLSchema" xmlns:p="http://schemas.microsoft.com/office/2006/metadata/properties" xmlns:ns2="6fcd52ad-a1e9-4738-8b50-09dfe5a79c41" xmlns:ns3="e243a8bc-5a47-4fd0-8b24-e0563dd0f644" targetNamespace="http://schemas.microsoft.com/office/2006/metadata/properties" ma:root="true" ma:fieldsID="03faa06ba649443234c096112ee5f8eb" ns2:_="" ns3:_="">
    <xsd:import namespace="6fcd52ad-a1e9-4738-8b50-09dfe5a79c41"/>
    <xsd:import namespace="e243a8bc-5a47-4fd0-8b24-e0563dd0f6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cd52ad-a1e9-4738-8b50-09dfe5a79c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b7edc9dc-8a85-4c6e-89e2-5d1c4c6c97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43a8bc-5a47-4fd0-8b24-e0563dd0f64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bde3488-4168-400e-9f3f-cdd78afadfb0}" ma:internalName="TaxCatchAll" ma:showField="CatchAllData" ma:web="e243a8bc-5a47-4fd0-8b24-e0563dd0f64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700CBC-55D1-4F08-B973-39ACBDD944C8}">
  <ds:schemaRefs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0b2dd7a3-60ad-4124-a67f-0565c2cfe501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6fcd52ad-a1e9-4738-8b50-09dfe5a79c41"/>
    <ds:schemaRef ds:uri="e243a8bc-5a47-4fd0-8b24-e0563dd0f644"/>
  </ds:schemaRefs>
</ds:datastoreItem>
</file>

<file path=customXml/itemProps2.xml><?xml version="1.0" encoding="utf-8"?>
<ds:datastoreItem xmlns:ds="http://schemas.openxmlformats.org/officeDocument/2006/customXml" ds:itemID="{94A5B438-1B6A-4AD2-80FA-F8A847FFA33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FEDD47-8169-4CE2-AC4E-D76D949DE9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سجل المشترين وحدات قائمة</vt:lpstr>
      <vt:lpstr>الوحدات الملغية والمعاد بيعها</vt:lpstr>
      <vt:lpstr>الوحدات الملغية</vt:lpstr>
      <vt:lpstr>الوحدات المنجزة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Husain Al Baqshi</cp:lastModifiedBy>
  <dcterms:created xsi:type="dcterms:W3CDTF">2024-08-27T07:31:29Z</dcterms:created>
  <dcterms:modified xsi:type="dcterms:W3CDTF">2026-07-12T16:35:52Z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ocid">
    <vt:lpwstr>964e39a8-5eda-4d37-8d48-24ff71aa3d52</vt:lpwstr>
  </property>
  <property fmtid="{D5CDD505-2E9C-101B-9397-08002B2CF9AE}" pid="3" name="ClassificationTagSetId">
    <vt:lpwstr>e16409a7-1700-4153-9090-3955bc2f0ae8</vt:lpwstr>
  </property>
  <property fmtid="{D5CDD505-2E9C-101B-9397-08002B2CF9AE}" pid="4" name="ComplianceTagSetId">
    <vt:lpwstr>f14fc1f1-8950-40d5-8a29-45909da947d6</vt:lpwstr>
  </property>
  <property fmtid="{D5CDD505-2E9C-101B-9397-08002B2CF9AE}" pid="5" name="FileId">
    <vt:lpwstr>964e39a8-5eda-4d37-8d48-24ff71aa3d52</vt:lpwstr>
  </property>
  <property fmtid="{D5CDD505-2E9C-101B-9397-08002B2CF9AE}" pid="6" name="UserId">
    <vt:lpwstr>Mohammed Abanmie</vt:lpwstr>
  </property>
  <property fmtid="{D5CDD505-2E9C-101B-9397-08002B2CF9AE}" pid="7" name="TagDateTime">
    <vt:lpwstr>2026-06-15T10:19:17Z</vt:lpwstr>
  </property>
  <property fmtid="{D5CDD505-2E9C-101B-9397-08002B2CF9AE}" pid="8" name="GVData">
    <vt:lpwstr>eyJPUyI6IldpbmRvd3MiLCJkb2NJRCI6Ijk2NGUzOWE4LTVlZGEtNGQzNy04ZDQ4LTI0ZmY3MWFhM2Q1MiIsImRvY1N0YXRlIjoie1wiQ3VycmVudFN0YXRlXCI6XCJ7XFxcIkZpcnN0UGFnZURpZmZlcmVudFxcXCI6ZmFsc2UsXFxcIkRpZmZlcmVudE9kZEFuZEV2</vt:lpwstr>
  </property>
  <property fmtid="{D5CDD505-2E9C-101B-9397-08002B2CF9AE}" pid="9" name="GVData0">
    <vt:lpwstr>ZW5QYWdlc1xcXCI6ZmFsc2UsXFxcIlBhZ2VDb3VudFxcXCI6NCxcXFwiSGVhZGVyTWV0YWRhdGFcXFwiOlxcXCJ7XFxcXFxcXCJMZWZ0XFxcXFxcXCI6XFxcXFxcXCJcXFxcXFxcIixcXFxcXFxcIkNlbnRlclxcXFxcXFwiOlxcXFxcXFwiUHVibGljIC0g2LnYp9mF</vt:lpwstr>
  </property>
  <property fmtid="{D5CDD505-2E9C-101B-9397-08002B2CF9AE}" pid="10" name="GVData1">
    <vt:lpwstr>XFxcXFxcXCIsXFxcXFxcXCJSaWdodFxcXFxcXFwiOlxcXFxcXFwiXFxcXFxcXCJ9XFxcIixcXFwiVGhpcmRQYXJ0eUhlYWRlck1ldGFkYXRhXFxcIjpcXFwiXFxcIixcXFwiR1ZIZWFkZXJFeGlzdHNcXFwiOnRydWUsXFxcIk5vbkdWSGVhZGVyRXhpc3RzXFxcIjpm</vt:lpwstr>
  </property>
  <property fmtid="{D5CDD505-2E9C-101B-9397-08002B2CF9AE}" pid="11" name="GVData2">
    <vt:lpwstr>YWxzZSxcXFwiRmxvYXRpbmdIZWFkZXJFeGlzdHNcXFwiOmZhbHNlLFxcXCJOb25HVkhlYWRlclNoYXBlRXhpc3RzXFxcIjpmYWxzZSxcXFwiVGhpcmRQYXJ0eUhlYWRlcnNcXFwiOltdLFxcXCJGb290ZXJNZXRhZGF0YVxcXCI6XFxcIlxcXCIsXFxcIlRoaXJkUGFy</vt:lpwstr>
  </property>
  <property fmtid="{D5CDD505-2E9C-101B-9397-08002B2CF9AE}" pid="12" name="GVData3">
    <vt:lpwstr>dHlGb290ZXJNZXRhZGF0YVxcXCI6XFxcIlxcXCIsXFxcIkdWRm9vdGVyRXhpc3RzXFxcIjpmYWxzZSxcXFwiTm9uR1ZGb290ZXJFeGlzdHNcXFwiOmZhbHNlLFxcXCJGbG9hdGluZ0Zvb3RlckV4aXN0c1xcXCI6ZmFsc2UsXFxcIk5vbkdWRm9vdGVyU2hhcGVFeGlz</vt:lpwstr>
  </property>
  <property fmtid="{D5CDD505-2E9C-101B-9397-08002B2CF9AE}" pid="13" name="GVData4">
    <vt:lpwstr>dHNcXFwiOmZhbHNlLFxcXCJUaGlyZFBhcnR5Rm9vdGVyc1xcXCI6W10sXFxcIldhdGVybWFya01ldGFkYXRhXFxcIjpcXFwiXFxcIixcXFwiV2F0ZXJtYXJrRXhpc3RzXFxcIjpmYWxzZSxcXFwiUG93ZXJwb2ludFRpdGxlTWV0YWRhdGFcXFwiOm51bGwsXFxcIlBv</vt:lpwstr>
  </property>
  <property fmtid="{D5CDD505-2E9C-101B-9397-08002B2CF9AE}" pid="14" name="GVData5">
    <vt:lpwstr>d2VycG9pbnRTdWJ0aXRsZU1ldGFkYXRhXFxcIjpudWxsLFxcXCJUaGlyZFBhcnR5TWV0YWRhdGFGb3VuZFxcXCI6ZmFsc2V9XCIsXCIzcmRQYXJ0eUhlYWRlclwiOlwiXCIsXCJIZWFkZXJcIjpcIntcXFwiTGVmdFxcXCI6XFxcIlxcXCIsXFxcIkNlbnRlclxcXCI6</vt:lpwstr>
  </property>
  <property fmtid="{D5CDD505-2E9C-101B-9397-08002B2CF9AE}" pid="15" name="GVData6">
    <vt:lpwstr>XFxcIlB1YmxpYyAtINi52KfZhVxcXCIsXFxcIlJpZ2h0XFxcIjpcXFwiXFxcIn1cIixcIk9wdGlvbnNcIjpcIntcXFwiUG9wdXBDb25maWd1cmF0aW9uXFxcIjp7XFxcIkFsd2F5c1Nob3dQb3B1cFxcXCI6ZmFsc2UsXFxcIkVuZm9yY2VIZWFkZXJGb290ZXJUeXBl</vt:lpwstr>
  </property>
  <property fmtid="{D5CDD505-2E9C-101B-9397-08002B2CF9AE}" pid="16" name="GVData7">
    <vt:lpwstr>XFxcIjpmYWxzZSxcXFwiSGVhZGVyUGxhY2VtZW50VHlwZVxcXCI6MCxcXFwiRm9vdGVyUGxhY2VtZW50VHlwZVxcXCI6MCxcXFwiRW5mb3JjZUxheW91dE9wdGlvblxcXCI6dHJ1ZSxcXFwiTGF5b3V0T3B0aW9uXFxcIjowLFxcXCJUcmlnZ2VyTnVtYmVyXFxcIjow</vt:lpwstr>
  </property>
  <property fmtid="{D5CDD505-2E9C-101B-9397-08002B2CF9AE}" pid="17" name="Classification">
    <vt:lpwstr>Public - عام</vt:lpwstr>
  </property>
  <property fmtid="{D5CDD505-2E9C-101B-9397-08002B2CF9AE}" pid="18" name="GVData8">
    <vt:lpwstr>LFxcXCJGcm9tSW5kZXhcXFwiOjAsXFxcIlRvSW5kZXhcXFwiOjAsXFxcIkVuZm9yY2VPdmVyd3JpdGVPcHRpb25cXFwiOnRydWUsXFxcIk92ZXJ3cml0ZU9wdGlvblxcXCI6XFxcImFwcGVuZFxcXCJ9LFxcXCJIZWFkZXJFbmFibGVkXFxcIjp0cnVlLFxcXCJIZWFk</vt:lpwstr>
  </property>
  <property fmtid="{D5CDD505-2E9C-101B-9397-08002B2CF9AE}" pid="19" name="GVData9">
    <vt:lpwstr>ZXJcXFwiOlxcXCI8c3BhbiBzdHlsZT1cXFxcXFxcImNvbG9yOiMxMzkxMTk7XFxcXFxcXCI+PHN0cm9uZz5QdWJsaWMgLSDYudin2YU8L3N0cm9uZz48L3NwYW4+XFxcIixcXFwiSGVhZGVyc1xcXCI6W1xcXCI8c3BhbiBzdHlsZT1cXFxcXFxcImNvbG9yOiMxMzkx</vt:lpwstr>
  </property>
  <property fmtid="{D5CDD505-2E9C-101B-9397-08002B2CF9AE}" pid="20" name="GVData10">
    <vt:lpwstr>MTk7XFxcXFxcXCI+PHN0cm9uZz5QdWJsaWMgLSDYudin2YU8L3N0cm9uZz48L3NwYW4+XFxcIl0sXFxcIkhlYWRlclR5cGVcXFwiOjAsXFxcIkhlYWRlclR5cGVzQWxsb3dlZFxcXCI6WzAsMV0sXFxcIkhlYWRlclVwZGF0ZVR5cGVcXFwiOjEsXFxcIkZvb3RlckVu</vt:lpwstr>
  </property>
  <property fmtid="{D5CDD505-2E9C-101B-9397-08002B2CF9AE}" pid="21" name="GVData11">
    <vt:lpwstr>YWJsZWRcXFwiOmZhbHNlLFxcXCJGb290ZXJcXFwiOlxcXCJcXFwiLFxcXCJGb290ZXJzXFxcIjpbXFxcIlxcXCJdLFxcXCJGb290ZXJUeXBlXFxcIjoyLFxcXCJGb290ZXJUeXBlc0FsbG93ZWRcXFwiOlsyXSxcXFwiRm9vdGVyVXBkYXRlVHlwZVxcXCI6MCxcXFwi</vt:lpwstr>
  </property>
  <property fmtid="{D5CDD505-2E9C-101B-9397-08002B2CF9AE}" pid="22" name="GVData12">
    <vt:lpwstr>V2F0ZXJtYXJrXFxcIjpudWxsLFxcXCJXYXRlcm1hcmtFbmFibGVkXFxcIjpmYWxzZSxcXFwiU2hvdWxkV3JpdGVXYXRlcm1hcmtcXFwiOmZhbHNlLFxcXCJXYXRlcm1hcmtVcGRhdGVUeXBlXFxcIjowLFxcXCJQb3dlcnBvaW50VGl0bGVcXFwiOm51bGwsXFxcIlBv</vt:lpwstr>
  </property>
  <property fmtid="{D5CDD505-2E9C-101B-9397-08002B2CF9AE}" pid="23" name="GVData13">
    <vt:lpwstr>d2VycG9pbnRTdWJpdGxlXFxcIjpudWxsfVwiLFwiU3RhdGVcIjpcIntcXFwiRmlyc3RQYWdlRGlmZmVyZW50XFxcIjpmYWxzZSxcXFwiRGlmZmVyZW50T2RkQW5kRXZlblBhZ2VzXFxcIjpmYWxzZSxcXFwiUGFnZUNvdW50XFxcIjo0LFxcXCJIZWFkZXJNZXRhZGF0</vt:lpwstr>
  </property>
  <property fmtid="{D5CDD505-2E9C-101B-9397-08002B2CF9AE}" pid="24" name="GVData14">
    <vt:lpwstr>YVxcXCI6XFxcIntcXFxcXFxcIkxlZnRcXFxcXFxcIjpcXFxcXFxcIlxcXFxcXFwiLFxcXFxcXFwiQ2VudGVyXFxcXFxcXCI6XFxcXFxcXCJQdWJsaWMgLSDYudin2YVcXFxcXFxcIixcXFxcXFxcIlJpZ2h0XFxcXFxcXCI6XFxcXFxcXCJcXFxcXFxcIn1cXFwiLFxc</vt:lpwstr>
  </property>
  <property fmtid="{D5CDD505-2E9C-101B-9397-08002B2CF9AE}" pid="25" name="GVData15">
    <vt:lpwstr>XCJUaGlyZFBhcnR5SGVhZGVyTWV0YWRhdGFcXFwiOlxcXCJcXFwiLFxcXCJHVkhlYWRlckV4aXN0c1xcXCI6dHJ1ZSxcXFwiTm9uR1ZIZWFkZXJFeGlzdHNcXFwiOmZhbHNlLFxcXCJGbG9hdGluZ0hlYWRlckV4aXN0c1xcXCI6ZmFsc2UsXFxcIk5vbkdWSGVhZGVy</vt:lpwstr>
  </property>
  <property fmtid="{D5CDD505-2E9C-101B-9397-08002B2CF9AE}" pid="26" name="GVData16">
    <vt:lpwstr>U2hhcGVFeGlzdHNcXFwiOmZhbHNlLFxcXCJUaGlyZFBhcnR5SGVhZGVyc1xcXCI6W10sXFxcIkZvb3Rlck1ldGFkYXRhXFxcIjpcXFwiXFxcIixcXFwiVGhpcmRQYXJ0eUZvb3Rlck1ldGFkYXRhXFxcIjpcXFwiXFxcIixcXFwiR1ZGb290ZXJFeGlzdHNcXFwiOmZh</vt:lpwstr>
  </property>
  <property fmtid="{D5CDD505-2E9C-101B-9397-08002B2CF9AE}" pid="27" name="GVData17">
    <vt:lpwstr>bHNlLFxcXCJOb25HVkZvb3RlckV4aXN0c1xcXCI6ZmFsc2UsXFxcIkZsb2F0aW5nRm9vdGVyRXhpc3RzXFxcIjpmYWxzZSxcXFwiTm9uR1ZGb290ZXJTaGFwZUV4aXN0c1xcXCI6ZmFsc2UsXFxcIlRoaXJkUGFydHlGb290ZXJzXFxcIjpbXSxcXFwiV2F0ZXJtYXJr</vt:lpwstr>
  </property>
  <property fmtid="{D5CDD505-2E9C-101B-9397-08002B2CF9AE}" pid="28" name="GVData18">
    <vt:lpwstr>TWV0YWRhdGFcXFwiOlxcXCJcXFwiLFxcXCJXYXRlcm1hcmtFeGlzdHNcXFwiOmZhbHNlLFxcXCJQb3dlcnBvaW50VGl0bGVNZXRhZGF0YVxcXCI6bnVsbCxcXFwiUG93ZXJwb2ludFN1YnRpdGxlTWV0YWRhdGFcXFwiOm51bGwsXFxcIlRoaXJkUGFydHlNZXRhZGF0</vt:lpwstr>
  </property>
  <property fmtid="{D5CDD505-2E9C-101B-9397-08002B2CF9AE}" pid="29" name="GVData19">
    <vt:lpwstr>YUZvdW5kXFxcIjpmYWxzZX1cIn0iLCJwYXJlbnRMaW5lSWRzIjoiW1wiNjI5ZDJhMDItMGMxYS00MjM0LWJkNzItZGNiMzNlODI0Y2Q1XCIsXCI3ZTVjMGIzYy03MGNhLTRhNDAtOGUwNi0yZDM2MDBiODNkNzJcIixcIjg2MDFlNTM0LTIxNWEtNDkyNC1iOTBjLTA2</vt:lpwstr>
  </property>
  <property fmtid="{D5CDD505-2E9C-101B-9397-08002B2CF9AE}" pid="30" name="GVData20">
    <vt:lpwstr>NTZhNDU4ZmM4NVwiLFwiNjYyMDdhM2QtNmE1Yi00ZjBkLThjMTQtYmM5MzJmODdlMDEwXCIsXCJjM2JhOTViMC0xZGQ1LTQ4ZTUtOGNkYS1jZDI5OThjNDliYzFcIixcIjMwNDdhMGZiLTJmZGYtNDE5MC05ODIxLThhMjQ4N2Q4NGQ3NFwiLFwiZTIzNTMzMGYtZGVl</vt:lpwstr>
  </property>
  <property fmtid="{D5CDD505-2E9C-101B-9397-08002B2CF9AE}" pid="31" name="GVData21">
    <vt:lpwstr>OC00NmJkLTk4MmUtMjczZmM3YTMwM2QxXCIsXCI5NmIzYjAyYS1hZWZkLTQ0YjUtODYyMC03OTBiNDY1M2JjNDVcIixcImZhYzgyN2NkLTMwNzQtNGVjMS1hMGVmLTFmNGFjYTY4OWQxN1wiLFwiMWUyNjA5ZTYtYTM4Zi00NTY2LTk2NzgtMjg4YjE3ODJiMTk1XCJd</vt:lpwstr>
  </property>
  <property fmtid="{D5CDD505-2E9C-101B-9397-08002B2CF9AE}" pid="32" name="GVData22">
    <vt:lpwstr>Iiwid3JpdHRlbktleXMiOiJbXCJndmRvY2lkXCIsXCJDbGFzc2lmaWNhdGlvblRhZ1NldElkXCIsXCJDbGFzc2lmaWNhdGlvblwiLFwiQ29tcGxpYW5jZVRhZ1NldElkXCIsXCJGaWxlSWRcIixcIlVzZXJJZFwiLFwiVGFnRGF0ZVRpbWVcIl0iLCJub09mR3ZEYXRh</vt:lpwstr>
  </property>
  <property fmtid="{D5CDD505-2E9C-101B-9397-08002B2CF9AE}" pid="33" name="GVData23">
    <vt:lpwstr>RW50cmllcyI6IjIyIiwibGluZUlkIjoiZjU1YzdmODYtNTQ2ZC00YmVhLTgxMjYtMTY1ODIzNmIzZGFmIiwidGFnc2V0X2UxNjQwOWE3XzE3MDBfNDE1M185MDkwXzM5NTViYzJmMGFlOF9jbGFzc2lmaWNhdGlvbiI6IlB1YmxpYyAtINi52KfZhSJ9</vt:lpwstr>
  </property>
  <property fmtid="{D5CDD505-2E9C-101B-9397-08002B2CF9AE}" pid="34" name="GVData24">
    <vt:lpwstr>(end)</vt:lpwstr>
  </property>
  <property fmtid="{D5CDD505-2E9C-101B-9397-08002B2CF9AE}" pid="35" name="ContentTypeId">
    <vt:lpwstr>0x0101001EC2AF7CA78B2F4B841D52145F79518C</vt:lpwstr>
  </property>
  <property fmtid="{D5CDD505-2E9C-101B-9397-08002B2CF9AE}" pid="36" name="MediaServiceImageTags">
    <vt:lpwstr/>
  </property>
</Properties>
</file>