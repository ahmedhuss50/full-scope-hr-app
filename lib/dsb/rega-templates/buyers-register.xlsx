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banmie\AppData\Local\Microsoft\Windows\INetCache\Content.Outlook\U97AX2MA\"/>
    </mc:Choice>
  </mc:AlternateContent>
  <xr:revisionPtr revIDLastSave="0" documentId="8_{FC619EAC-E901-4CBD-BE4B-4B8D1F6FEB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سجل المشترين وحدات قائمة" sheetId="1" r:id="rId1"/>
    <sheet name="Sheet1" sheetId="6" state="hidden" r:id="rId2"/>
    <sheet name="الوحدات الملغية والمعاد بيعها" sheetId="3" r:id="rId3"/>
    <sheet name="الوحدات الملغية" sheetId="4" r:id="rId4"/>
    <sheet name="الوحدات المنجزة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AA7" i="5"/>
  <c r="V7" i="5"/>
  <c r="AE6" i="5"/>
  <c r="Y6" i="5"/>
  <c r="Z6" i="5" s="1"/>
  <c r="AD6" i="5" s="1"/>
  <c r="AE5" i="5"/>
  <c r="Y5" i="5"/>
  <c r="Z5" i="5" s="1"/>
  <c r="AE4" i="5"/>
  <c r="Y4" i="5"/>
  <c r="Z4" i="5" s="1"/>
  <c r="AE3" i="5"/>
  <c r="Y3" i="5"/>
  <c r="AE2" i="5"/>
  <c r="Y2" i="5"/>
  <c r="Z2" i="5" s="1"/>
  <c r="AD2" i="5" s="1"/>
  <c r="W7" i="4"/>
  <c r="T7" i="4"/>
  <c r="Z6" i="4"/>
  <c r="U6" i="4"/>
  <c r="V6" i="4" s="1"/>
  <c r="Z5" i="4"/>
  <c r="U5" i="4"/>
  <c r="V5" i="4" s="1"/>
  <c r="Z4" i="4"/>
  <c r="U4" i="4"/>
  <c r="V4" i="4" s="1"/>
  <c r="Z3" i="4"/>
  <c r="U3" i="4"/>
  <c r="V3" i="4" s="1"/>
  <c r="Z2" i="4"/>
  <c r="U2" i="4"/>
  <c r="W7" i="3"/>
  <c r="T7" i="3"/>
  <c r="Z6" i="3"/>
  <c r="U6" i="3"/>
  <c r="V6" i="3" s="1"/>
  <c r="Z5" i="3"/>
  <c r="U5" i="3"/>
  <c r="V5" i="3" s="1"/>
  <c r="Z4" i="3"/>
  <c r="U4" i="3"/>
  <c r="V4" i="3" s="1"/>
  <c r="Z3" i="3"/>
  <c r="U3" i="3"/>
  <c r="V3" i="3" s="1"/>
  <c r="Z2" i="3"/>
  <c r="U2" i="3"/>
  <c r="V2" i="3" s="1"/>
  <c r="Y2" i="3" s="1"/>
  <c r="U7" i="4" l="1"/>
  <c r="Y7" i="5"/>
  <c r="AD4" i="5"/>
  <c r="AC4" i="5"/>
  <c r="AD5" i="5"/>
  <c r="AC5" i="5"/>
  <c r="AC2" i="5"/>
  <c r="AC6" i="5"/>
  <c r="Z3" i="5"/>
  <c r="X5" i="4"/>
  <c r="Y5" i="4"/>
  <c r="Y3" i="4"/>
  <c r="X3" i="4"/>
  <c r="Y4" i="4"/>
  <c r="X4" i="4"/>
  <c r="X6" i="4"/>
  <c r="Y6" i="4"/>
  <c r="V2" i="4"/>
  <c r="Y5" i="3"/>
  <c r="X5" i="3"/>
  <c r="Y3" i="3"/>
  <c r="X3" i="3"/>
  <c r="Y4" i="3"/>
  <c r="X4" i="3"/>
  <c r="Y6" i="3"/>
  <c r="X6" i="3"/>
  <c r="V7" i="3"/>
  <c r="U7" i="3"/>
  <c r="X2" i="3"/>
  <c r="Z7" i="5" l="1"/>
  <c r="AD3" i="5"/>
  <c r="AC3" i="5"/>
  <c r="AC7" i="5" s="1"/>
  <c r="V7" i="4"/>
  <c r="Y2" i="4"/>
  <c r="X2" i="4"/>
  <c r="X7" i="4" s="1"/>
  <c r="X7" i="3"/>
  <c r="V3" i="1" l="1"/>
  <c r="AF9" i="1" l="1"/>
  <c r="AF10" i="1"/>
  <c r="AF11" i="1"/>
  <c r="AF12" i="1"/>
  <c r="R3" i="1" l="1"/>
  <c r="AF8" i="1"/>
  <c r="W3" i="1" s="1"/>
  <c r="Y3" i="1"/>
  <c r="X3" i="1"/>
  <c r="U3" i="1"/>
  <c r="T3" i="1"/>
  <c r="AA13" i="1"/>
  <c r="V13" i="1"/>
  <c r="S3" i="1" s="1"/>
  <c r="Y12" i="1"/>
  <c r="Z12" i="1" s="1"/>
  <c r="AC12" i="1" s="1"/>
  <c r="Y11" i="1"/>
  <c r="Z11" i="1" s="1"/>
  <c r="AC11" i="1" s="1"/>
  <c r="Y10" i="1"/>
  <c r="Z10" i="1" s="1"/>
  <c r="Y9" i="1"/>
  <c r="Z9" i="1" s="1"/>
  <c r="AC9" i="1" s="1"/>
  <c r="Y8" i="1"/>
  <c r="Z8" i="1" s="1"/>
  <c r="AC8" i="1" s="1"/>
  <c r="AE8" i="1" l="1"/>
  <c r="AC10" i="1"/>
  <c r="AC13" i="1" s="1"/>
  <c r="AE10" i="1"/>
  <c r="AE12" i="1"/>
  <c r="AE11" i="1"/>
  <c r="AE9" i="1"/>
  <c r="Y13" i="1"/>
  <c r="Z13" i="1"/>
</calcChain>
</file>

<file path=xl/sharedStrings.xml><?xml version="1.0" encoding="utf-8"?>
<sst xmlns="http://schemas.openxmlformats.org/spreadsheetml/2006/main" count="539" uniqueCount="455">
  <si>
    <t>سجل المشترين (اسم المشروع)</t>
  </si>
  <si>
    <t xml:space="preserve">م </t>
  </si>
  <si>
    <t>اسم العميل</t>
  </si>
  <si>
    <t>رقم الهوية</t>
  </si>
  <si>
    <t>رقم الجوال</t>
  </si>
  <si>
    <t>رقم المنطقة (ZONE)</t>
  </si>
  <si>
    <t>رقم الوحدة</t>
  </si>
  <si>
    <t>رقم البلوك</t>
  </si>
  <si>
    <t>رقم العقد</t>
  </si>
  <si>
    <t>نوع العقد</t>
  </si>
  <si>
    <t>نوع التمويل</t>
  </si>
  <si>
    <t>اسم الجهة التمويلية</t>
  </si>
  <si>
    <t>تاريخ بيع الوحدة</t>
  </si>
  <si>
    <t>المحصل من بداية المشروع</t>
  </si>
  <si>
    <t xml:space="preserve">المبلغ المتبقي من قيمة الوحدة </t>
  </si>
  <si>
    <t>المجموع</t>
  </si>
  <si>
    <t>اسم المشروع</t>
  </si>
  <si>
    <t>اعلى سعر بيع</t>
  </si>
  <si>
    <t>اقل سعر بيع</t>
  </si>
  <si>
    <t>متوسط سعر البيع</t>
  </si>
  <si>
    <t>الوسيط (Median)</t>
  </si>
  <si>
    <t>المنوال القيمة الأكثر تكرارية</t>
  </si>
  <si>
    <t>نسبة التحصيل</t>
  </si>
  <si>
    <t>ملاحظة: لا يتم تعبئة المرفق</t>
  </si>
  <si>
    <t>عدد الوحدات المباعة</t>
  </si>
  <si>
    <t>قيمة الوحدات المباعة</t>
  </si>
  <si>
    <t>المساحة</t>
  </si>
  <si>
    <t>سعر المتر</t>
  </si>
  <si>
    <t>متوسط سعر المتر</t>
  </si>
  <si>
    <t>احمد</t>
  </si>
  <si>
    <t>T1-4602-B-3-PS</t>
  </si>
  <si>
    <t>T2-1904-A-2-P</t>
  </si>
  <si>
    <t>T2-2505-B-1-PS</t>
  </si>
  <si>
    <t>T2-2607-D-1-S</t>
  </si>
  <si>
    <t>T2-2608-C-1-S</t>
  </si>
  <si>
    <t>نوع الوحدة</t>
  </si>
  <si>
    <t>عبدالله</t>
  </si>
  <si>
    <t>محمد</t>
  </si>
  <si>
    <t>انس</t>
  </si>
  <si>
    <t>عبدالرحمن</t>
  </si>
  <si>
    <t>الحي</t>
  </si>
  <si>
    <t>نوع المشتري (الغاء /إعادة بيع)</t>
  </si>
  <si>
    <t xml:space="preserve">ملاحظة: في هذه الشريحة يتم إضافة المشتري الملغي  باللون الرمادي ويتم إضافة المشتري الجديد باللون الأبيض </t>
  </si>
  <si>
    <t>ملاحظة: في هذه الشريحة يتم إضافة ا الوحدات الملغية والتي لم يتم إعادة بيعها</t>
  </si>
  <si>
    <t>ملاحظة: في هذه الشريحة يتم إضافة  الوحدات المنجزة وتم صدور خطاب الموافقة على الإنجاز</t>
  </si>
  <si>
    <t>ملاحظة: في هذه الشريحة يتم إضافة التالي ( الوحدات المباعة والغير منجزة ، الوحدات المعاد بيعها ، الوحدات الملغية ولم يتم إعادة بيعها</t>
  </si>
  <si>
    <t>(5%) ضريبة التصرفات العقارية</t>
  </si>
  <si>
    <t>قيمة الوحدة شاملة ضريبة التصرفات العقارية</t>
  </si>
  <si>
    <t>سعر الوحدة قبل ضريبة التصرفات العقارية</t>
  </si>
  <si>
    <t>تاريخ التسليم</t>
  </si>
  <si>
    <t>المنطقة</t>
  </si>
  <si>
    <t>المدينة</t>
  </si>
  <si>
    <t>حالة التسليم</t>
  </si>
  <si>
    <t>إجمالي المبالغ المحصل  قيمتها دون الضريبة منذ بداية المشروع</t>
  </si>
  <si>
    <t>إجمالي المبالغ المحصل  قيمتها شامل الضريبة منذ بداية المشروع</t>
  </si>
  <si>
    <t>نوع الإقامة</t>
  </si>
  <si>
    <t>الجنسية</t>
  </si>
  <si>
    <t>عدد مرات بيع الوحدة</t>
  </si>
  <si>
    <t>رقم الدفعة</t>
  </si>
  <si>
    <t xml:space="preserve">نوع الـ ID ( أحوال وطنية ، إقامة ، جواز  </t>
  </si>
  <si>
    <t>رقم الرخصة</t>
  </si>
  <si>
    <t>أ/5</t>
  </si>
  <si>
    <t>أ/3</t>
  </si>
  <si>
    <t>أ/1</t>
  </si>
  <si>
    <t>أ/2</t>
  </si>
  <si>
    <t>أ/36</t>
  </si>
  <si>
    <t>أ/37</t>
  </si>
  <si>
    <t>أ/4</t>
  </si>
  <si>
    <t>أ/6</t>
  </si>
  <si>
    <t>أ/7</t>
  </si>
  <si>
    <t>أ/8</t>
  </si>
  <si>
    <t>أ/9</t>
  </si>
  <si>
    <t>أ/10</t>
  </si>
  <si>
    <t>أ/11</t>
  </si>
  <si>
    <t>أ/12</t>
  </si>
  <si>
    <t>أ/13</t>
  </si>
  <si>
    <t>أ/14</t>
  </si>
  <si>
    <t>أ/15</t>
  </si>
  <si>
    <t>أ/16</t>
  </si>
  <si>
    <t>أ/17</t>
  </si>
  <si>
    <t>أ/18</t>
  </si>
  <si>
    <t>أ/19</t>
  </si>
  <si>
    <t>أ/21</t>
  </si>
  <si>
    <t>أ/20</t>
  </si>
  <si>
    <t>أ/22</t>
  </si>
  <si>
    <t>أ/23</t>
  </si>
  <si>
    <t>أ/24</t>
  </si>
  <si>
    <t>أ/25</t>
  </si>
  <si>
    <t>أ/26</t>
  </si>
  <si>
    <t>أ/27</t>
  </si>
  <si>
    <t>أ/28</t>
  </si>
  <si>
    <t>أ/29</t>
  </si>
  <si>
    <t>أ/31</t>
  </si>
  <si>
    <t>أ/30</t>
  </si>
  <si>
    <t>أ/33</t>
  </si>
  <si>
    <t>أ/32</t>
  </si>
  <si>
    <t>أ/34</t>
  </si>
  <si>
    <t>أ/35</t>
  </si>
  <si>
    <t>أ/38</t>
  </si>
  <si>
    <t>أ/39</t>
  </si>
  <si>
    <t>أ/40</t>
  </si>
  <si>
    <t>أ/41</t>
  </si>
  <si>
    <t>أ/42</t>
  </si>
  <si>
    <t>أ/43</t>
  </si>
  <si>
    <t>أ/44</t>
  </si>
  <si>
    <t>أ/45</t>
  </si>
  <si>
    <t>أ/46</t>
  </si>
  <si>
    <t>أ/47</t>
  </si>
  <si>
    <t>أ/48</t>
  </si>
  <si>
    <t>أ/49</t>
  </si>
  <si>
    <t>أ/50</t>
  </si>
  <si>
    <t>أ/51</t>
  </si>
  <si>
    <t>أ/52</t>
  </si>
  <si>
    <t>أ/53</t>
  </si>
  <si>
    <t>أ/54</t>
  </si>
  <si>
    <t>أ/55</t>
  </si>
  <si>
    <t>أ/56</t>
  </si>
  <si>
    <t>أ/57</t>
  </si>
  <si>
    <t>أ/58</t>
  </si>
  <si>
    <t>أ/59</t>
  </si>
  <si>
    <t>أ/60</t>
  </si>
  <si>
    <t>أ/75</t>
  </si>
  <si>
    <t>أ/61</t>
  </si>
  <si>
    <t>أ/62</t>
  </si>
  <si>
    <t>أ/63</t>
  </si>
  <si>
    <t>أ/64</t>
  </si>
  <si>
    <t>أ/114</t>
  </si>
  <si>
    <t>أ/65</t>
  </si>
  <si>
    <t>أ/99</t>
  </si>
  <si>
    <t>أ/66</t>
  </si>
  <si>
    <t>أ/68</t>
  </si>
  <si>
    <t>أ/69</t>
  </si>
  <si>
    <t>أ/70</t>
  </si>
  <si>
    <t>أ/71</t>
  </si>
  <si>
    <t>أ/113</t>
  </si>
  <si>
    <t>أ/72</t>
  </si>
  <si>
    <t>أ/73</t>
  </si>
  <si>
    <t>أ/74</t>
  </si>
  <si>
    <t>أ/76</t>
  </si>
  <si>
    <t>أ/80</t>
  </si>
  <si>
    <t>أ/77</t>
  </si>
  <si>
    <t>أ/78</t>
  </si>
  <si>
    <t>أ/79</t>
  </si>
  <si>
    <t>أ/82</t>
  </si>
  <si>
    <t>أ/81</t>
  </si>
  <si>
    <t>أ/83</t>
  </si>
  <si>
    <t>أ/84</t>
  </si>
  <si>
    <t>أ/86</t>
  </si>
  <si>
    <t>أ/85</t>
  </si>
  <si>
    <t>أ/87</t>
  </si>
  <si>
    <t>أ/88</t>
  </si>
  <si>
    <t>أ/67</t>
  </si>
  <si>
    <t>أ/89</t>
  </si>
  <si>
    <t>أ/90</t>
  </si>
  <si>
    <t>أ/91</t>
  </si>
  <si>
    <t>أ/92</t>
  </si>
  <si>
    <t>أ/124</t>
  </si>
  <si>
    <t>أ/93</t>
  </si>
  <si>
    <t>أ/94</t>
  </si>
  <si>
    <t>أ/95</t>
  </si>
  <si>
    <t>أ/96</t>
  </si>
  <si>
    <t>أ/97</t>
  </si>
  <si>
    <t>أ/98</t>
  </si>
  <si>
    <t>أ/100</t>
  </si>
  <si>
    <t>أ/101</t>
  </si>
  <si>
    <t>أ/102</t>
  </si>
  <si>
    <t>أ/103</t>
  </si>
  <si>
    <t>أ/104</t>
  </si>
  <si>
    <t>أ/105</t>
  </si>
  <si>
    <t>أ/106</t>
  </si>
  <si>
    <t>أ/107</t>
  </si>
  <si>
    <t>أ/108</t>
  </si>
  <si>
    <t>أ/109</t>
  </si>
  <si>
    <t>أ/111</t>
  </si>
  <si>
    <t>أ/110</t>
  </si>
  <si>
    <t>أ/112</t>
  </si>
  <si>
    <t>أ/115</t>
  </si>
  <si>
    <t>أ/117</t>
  </si>
  <si>
    <t>أ/116</t>
  </si>
  <si>
    <t>أ/118</t>
  </si>
  <si>
    <t>أ/119</t>
  </si>
  <si>
    <t>أ/120</t>
  </si>
  <si>
    <t>أ/121</t>
  </si>
  <si>
    <t>أ/122</t>
  </si>
  <si>
    <t>أ/123</t>
  </si>
  <si>
    <t>أ/125</t>
  </si>
  <si>
    <t>أ/126</t>
  </si>
  <si>
    <t>أ/127</t>
  </si>
  <si>
    <t>أ/128</t>
  </si>
  <si>
    <t>أ/129</t>
  </si>
  <si>
    <t>أ/130</t>
  </si>
  <si>
    <t>أ/131</t>
  </si>
  <si>
    <t>أ/132</t>
  </si>
  <si>
    <t>أ/133</t>
  </si>
  <si>
    <t>أ/134</t>
  </si>
  <si>
    <t>أ/135</t>
  </si>
  <si>
    <t>أ/136</t>
  </si>
  <si>
    <t>أ/137</t>
  </si>
  <si>
    <t>أ/138</t>
  </si>
  <si>
    <t>أ/139</t>
  </si>
  <si>
    <t>أ/140</t>
  </si>
  <si>
    <t>أ/141</t>
  </si>
  <si>
    <t>أ/142</t>
  </si>
  <si>
    <t>أ/143</t>
  </si>
  <si>
    <t>أ/145</t>
  </si>
  <si>
    <t>أ/144</t>
  </si>
  <si>
    <t>أ/146</t>
  </si>
  <si>
    <t>أ/147</t>
  </si>
  <si>
    <t>أ/148</t>
  </si>
  <si>
    <t>أ/149</t>
  </si>
  <si>
    <t>أ/150</t>
  </si>
  <si>
    <t>أ/151</t>
  </si>
  <si>
    <t>أ/152</t>
  </si>
  <si>
    <t>أ/153</t>
  </si>
  <si>
    <t>أ/154</t>
  </si>
  <si>
    <t>أ/155</t>
  </si>
  <si>
    <t>أ/156</t>
  </si>
  <si>
    <t>أ/157</t>
  </si>
  <si>
    <t>أ/158</t>
  </si>
  <si>
    <t>أ/159</t>
  </si>
  <si>
    <t>أ/160</t>
  </si>
  <si>
    <t>أ/161</t>
  </si>
  <si>
    <t>أ/162</t>
  </si>
  <si>
    <t>أ/163</t>
  </si>
  <si>
    <t>أ/164</t>
  </si>
  <si>
    <t>أ/165</t>
  </si>
  <si>
    <t>أ/166</t>
  </si>
  <si>
    <t>أ/167</t>
  </si>
  <si>
    <t>أ/168</t>
  </si>
  <si>
    <t>أ/169</t>
  </si>
  <si>
    <t>أ/170</t>
  </si>
  <si>
    <t>أ/171</t>
  </si>
  <si>
    <t>أ/172</t>
  </si>
  <si>
    <t>أ/173</t>
  </si>
  <si>
    <t>أ/174</t>
  </si>
  <si>
    <t>أ/175</t>
  </si>
  <si>
    <t>أ/176</t>
  </si>
  <si>
    <t>أ/177</t>
  </si>
  <si>
    <t>أ/178</t>
  </si>
  <si>
    <t>أ/179</t>
  </si>
  <si>
    <t>أ/180</t>
  </si>
  <si>
    <t>أ/181</t>
  </si>
  <si>
    <t>أ/182</t>
  </si>
  <si>
    <t>أ/183</t>
  </si>
  <si>
    <t>أ/184</t>
  </si>
  <si>
    <t>أ/185</t>
  </si>
  <si>
    <t>أ/186</t>
  </si>
  <si>
    <t>أ/187</t>
  </si>
  <si>
    <t>أ/188</t>
  </si>
  <si>
    <t>أ/189</t>
  </si>
  <si>
    <t>أ/190</t>
  </si>
  <si>
    <t>أ/191</t>
  </si>
  <si>
    <t>أ/192</t>
  </si>
  <si>
    <t>أ/193</t>
  </si>
  <si>
    <t>أ/194</t>
  </si>
  <si>
    <t>أ/195</t>
  </si>
  <si>
    <t>أ/196</t>
  </si>
  <si>
    <t>أ/197</t>
  </si>
  <si>
    <t>أ/198</t>
  </si>
  <si>
    <t>أ/199</t>
  </si>
  <si>
    <t>أ/200</t>
  </si>
  <si>
    <t>أ/201</t>
  </si>
  <si>
    <t>أ/202</t>
  </si>
  <si>
    <t>أ/203</t>
  </si>
  <si>
    <t>أ/204</t>
  </si>
  <si>
    <t>أ/209</t>
  </si>
  <si>
    <t>أ/205</t>
  </si>
  <si>
    <t>أ/206</t>
  </si>
  <si>
    <t>أ/207</t>
  </si>
  <si>
    <t>أ/208</t>
  </si>
  <si>
    <t>أ/210</t>
  </si>
  <si>
    <t>أ/211</t>
  </si>
  <si>
    <t>أ/212</t>
  </si>
  <si>
    <t>أ/213</t>
  </si>
  <si>
    <t>أ/214</t>
  </si>
  <si>
    <t>أ/215</t>
  </si>
  <si>
    <t>أ/216</t>
  </si>
  <si>
    <t>أ/217</t>
  </si>
  <si>
    <t>أ/218</t>
  </si>
  <si>
    <t>أ/219</t>
  </si>
  <si>
    <t>أ/220</t>
  </si>
  <si>
    <t>أ/221</t>
  </si>
  <si>
    <t>أ/222</t>
  </si>
  <si>
    <t>أ/223</t>
  </si>
  <si>
    <t>أ/224</t>
  </si>
  <si>
    <t>أ/225</t>
  </si>
  <si>
    <t>أ/226</t>
  </si>
  <si>
    <t>أ/227</t>
  </si>
  <si>
    <t>أ/229</t>
  </si>
  <si>
    <t>أ/230</t>
  </si>
  <si>
    <t>أ/231</t>
  </si>
  <si>
    <t>أ/228</t>
  </si>
  <si>
    <t>أ/232</t>
  </si>
  <si>
    <t>أ/233</t>
  </si>
  <si>
    <t>أ/235</t>
  </si>
  <si>
    <t>أ/234</t>
  </si>
  <si>
    <t>أ/236</t>
  </si>
  <si>
    <t>أ/237</t>
  </si>
  <si>
    <t>أ/238</t>
  </si>
  <si>
    <t>أ/239</t>
  </si>
  <si>
    <t>أ/240</t>
  </si>
  <si>
    <t>أ/241</t>
  </si>
  <si>
    <t>أ/242</t>
  </si>
  <si>
    <t>أ/243</t>
  </si>
  <si>
    <t>أ/244</t>
  </si>
  <si>
    <t>أ/245</t>
  </si>
  <si>
    <t>أ/246</t>
  </si>
  <si>
    <t>أ/247</t>
  </si>
  <si>
    <t>أ/248</t>
  </si>
  <si>
    <t>أ/250</t>
  </si>
  <si>
    <t>أ/251</t>
  </si>
  <si>
    <t>أ/252</t>
  </si>
  <si>
    <t>أ/253</t>
  </si>
  <si>
    <t>أ/249</t>
  </si>
  <si>
    <t>أ/254</t>
  </si>
  <si>
    <t>أ/256</t>
  </si>
  <si>
    <t>أ/257</t>
  </si>
  <si>
    <t>أ/258</t>
  </si>
  <si>
    <t>أ/259</t>
  </si>
  <si>
    <t>أ/260</t>
  </si>
  <si>
    <t>أ/261</t>
  </si>
  <si>
    <t>أ/263</t>
  </si>
  <si>
    <t>أ/265</t>
  </si>
  <si>
    <t>أ/266</t>
  </si>
  <si>
    <t>أ/269</t>
  </si>
  <si>
    <t>أ/255</t>
  </si>
  <si>
    <t>أ/262</t>
  </si>
  <si>
    <t>أ/264</t>
  </si>
  <si>
    <t>أ/267</t>
  </si>
  <si>
    <t>أ/268</t>
  </si>
  <si>
    <t>أ/270</t>
  </si>
  <si>
    <t>أ/271</t>
  </si>
  <si>
    <t>أ/272</t>
  </si>
  <si>
    <t>أ/273</t>
  </si>
  <si>
    <t>أ/274</t>
  </si>
  <si>
    <t>أ/275</t>
  </si>
  <si>
    <t>أ/276</t>
  </si>
  <si>
    <t>أ/277</t>
  </si>
  <si>
    <t>أ/278</t>
  </si>
  <si>
    <t>أ/279</t>
  </si>
  <si>
    <t>أ/280</t>
  </si>
  <si>
    <t>أ/281</t>
  </si>
  <si>
    <t>أ/282</t>
  </si>
  <si>
    <t>أ/283</t>
  </si>
  <si>
    <t>أ/284</t>
  </si>
  <si>
    <t>أ/285</t>
  </si>
  <si>
    <t>أ/286</t>
  </si>
  <si>
    <t>أ/287</t>
  </si>
  <si>
    <t>أ/288</t>
  </si>
  <si>
    <t>أ/289</t>
  </si>
  <si>
    <t>أ/290</t>
  </si>
  <si>
    <t>أ/291</t>
  </si>
  <si>
    <t>أ/292</t>
  </si>
  <si>
    <t>أ/293</t>
  </si>
  <si>
    <t>أ/294</t>
  </si>
  <si>
    <t>أ/295</t>
  </si>
  <si>
    <t>أ/296</t>
  </si>
  <si>
    <t>أ/297</t>
  </si>
  <si>
    <t>أ/298</t>
  </si>
  <si>
    <t>أ/299</t>
  </si>
  <si>
    <t>أ/300</t>
  </si>
  <si>
    <t>أ/301</t>
  </si>
  <si>
    <t>أ/303</t>
  </si>
  <si>
    <t>أ/302</t>
  </si>
  <si>
    <t>أ/304</t>
  </si>
  <si>
    <t>أ/305</t>
  </si>
  <si>
    <t>أ/306</t>
  </si>
  <si>
    <t>أ/307</t>
  </si>
  <si>
    <t>أ/308</t>
  </si>
  <si>
    <t>أ/309</t>
  </si>
  <si>
    <t>أ/310</t>
  </si>
  <si>
    <t>أ/311</t>
  </si>
  <si>
    <t>أ/312</t>
  </si>
  <si>
    <t>أ/313</t>
  </si>
  <si>
    <t>أ/314</t>
  </si>
  <si>
    <t>أ/315</t>
  </si>
  <si>
    <t>316/أ</t>
  </si>
  <si>
    <t>317/أ</t>
  </si>
  <si>
    <t>318/أ</t>
  </si>
  <si>
    <t>أ/319</t>
  </si>
  <si>
    <t>أ/320</t>
  </si>
  <si>
    <t>أ/321</t>
  </si>
  <si>
    <t>أ/322</t>
  </si>
  <si>
    <t>أ/323</t>
  </si>
  <si>
    <t>أ/324</t>
  </si>
  <si>
    <t>أ/325</t>
  </si>
  <si>
    <t>أ/326</t>
  </si>
  <si>
    <t>أ/327</t>
  </si>
  <si>
    <t>أ/328</t>
  </si>
  <si>
    <t>أ/329</t>
  </si>
  <si>
    <t>أ/330</t>
  </si>
  <si>
    <t>أ/331</t>
  </si>
  <si>
    <t>أ/332</t>
  </si>
  <si>
    <t>أ/333</t>
  </si>
  <si>
    <t>أ/334</t>
  </si>
  <si>
    <t>أ/335</t>
  </si>
  <si>
    <t>أ/336</t>
  </si>
  <si>
    <t>أ/337</t>
  </si>
  <si>
    <t>605/أ</t>
  </si>
  <si>
    <t>أ/339</t>
  </si>
  <si>
    <t>577/أ</t>
  </si>
  <si>
    <t>628/أ</t>
  </si>
  <si>
    <t>626/أ</t>
  </si>
  <si>
    <t>649/أ</t>
  </si>
  <si>
    <t>662/أ</t>
  </si>
  <si>
    <t>651/أ</t>
  </si>
  <si>
    <t>655/أ</t>
  </si>
  <si>
    <t>665/أ</t>
  </si>
  <si>
    <t>654/أ</t>
  </si>
  <si>
    <t>664/أ</t>
  </si>
  <si>
    <t>663/أ</t>
  </si>
  <si>
    <t>672/أ</t>
  </si>
  <si>
    <t>666/أ</t>
  </si>
  <si>
    <t>629/أ</t>
  </si>
  <si>
    <t>644/أ</t>
  </si>
  <si>
    <t>684/أ</t>
  </si>
  <si>
    <t>688/أ</t>
  </si>
  <si>
    <t>687/أ</t>
  </si>
  <si>
    <t>703/أ</t>
  </si>
  <si>
    <t>715/أ</t>
  </si>
  <si>
    <t>709/أ</t>
  </si>
  <si>
    <t>710/أ</t>
  </si>
  <si>
    <t>717/أ</t>
  </si>
  <si>
    <t>713/أ</t>
  </si>
  <si>
    <t>712/أ</t>
  </si>
  <si>
    <t>727/أ</t>
  </si>
  <si>
    <t>728/أ</t>
  </si>
  <si>
    <t>741/أ</t>
  </si>
  <si>
    <t>754/أ</t>
  </si>
  <si>
    <t>764/أ</t>
  </si>
  <si>
    <t>762/أ</t>
  </si>
  <si>
    <t>765/أ</t>
  </si>
  <si>
    <t>763/أ</t>
  </si>
  <si>
    <t>726/أ</t>
  </si>
  <si>
    <t>789/أ</t>
  </si>
  <si>
    <t>751/أ</t>
  </si>
  <si>
    <t>793/أ</t>
  </si>
  <si>
    <t>798/أ</t>
  </si>
  <si>
    <t>814/أ</t>
  </si>
  <si>
    <t>823/أ</t>
  </si>
  <si>
    <t>829/أ</t>
  </si>
  <si>
    <t>أ/162-1</t>
  </si>
  <si>
    <t>833/أ</t>
  </si>
  <si>
    <t>834/أ</t>
  </si>
  <si>
    <t>أ/41-1</t>
  </si>
  <si>
    <t>846/أ</t>
  </si>
  <si>
    <t>أ/22-1</t>
  </si>
  <si>
    <t>920/أ</t>
  </si>
  <si>
    <t>924/أ</t>
  </si>
  <si>
    <t>959/أ</t>
  </si>
  <si>
    <t>1004/أ</t>
  </si>
  <si>
    <t>1046/أ</t>
  </si>
  <si>
    <t>1107/أ</t>
  </si>
  <si>
    <t>1106/أ</t>
  </si>
  <si>
    <t>1221/أ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</si>
</sst>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\ _ر_._س_._‏_-;\-* #,##0.00\ _ر_._س_._‏_-;_-* &quot;-&quot;??\ _ر_._س_._‏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Sakkal Majalla"/>
    </font>
    <font>
      <b/>
      <sz val="11"/>
      <color theme="1"/>
      <name val="Sakkal Majalla"/>
    </font>
    <font>
      <b/>
      <sz val="11"/>
      <color theme="0"/>
      <name val="Sakkal Majalla"/>
    </font>
    <font>
      <b/>
      <sz val="12"/>
      <color indexed="63"/>
      <name val="Sakkal Majalla"/>
    </font>
    <font>
      <b/>
      <sz val="11"/>
      <color rgb="FFFF0000"/>
      <name val="Sakkal Majalla"/>
    </font>
    <font>
      <sz val="12"/>
      <color rgb="FF000000"/>
      <name val="Sakkal Majalla"/>
    </font>
    <font>
      <sz val="12"/>
      <color rgb="FF222222"/>
      <name val="Sakkal Majalla"/>
    </font>
    <font>
      <sz val="12"/>
      <color theme="1"/>
      <name val="Sakkal Majalla"/>
    </font>
    <font>
      <b/>
      <sz val="12"/>
      <name val="Sakkal Majall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2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 tint="-0.24994659260841701"/>
      </left>
      <right/>
      <top/>
      <bottom/>
      <diagonal/>
    </border>
    <border>
      <left style="thick">
        <color theme="0" tint="-0.24994659260841701"/>
      </left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/>
    <xf numFmtId="1" fontId="5" fillId="3" borderId="1" xfId="0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distributed" wrapText="1" readingOrder="2"/>
      <protection locked="0"/>
    </xf>
    <xf numFmtId="0" fontId="9" fillId="0" borderId="1" xfId="0" applyFont="1" applyBorder="1" applyAlignment="1" applyProtection="1">
      <alignment horizontal="center" vertical="distributed" wrapText="1"/>
      <protection locked="0"/>
    </xf>
    <xf numFmtId="0" fontId="4" fillId="2" borderId="1" xfId="0" applyFont="1" applyFill="1" applyBorder="1"/>
    <xf numFmtId="0" fontId="10" fillId="0" borderId="1" xfId="0" applyFont="1" applyBorder="1" applyAlignment="1" applyProtection="1">
      <alignment horizontal="center" vertical="distributed"/>
      <protection locked="0"/>
    </xf>
    <xf numFmtId="165" fontId="3" fillId="2" borderId="1" xfId="0" applyNumberFormat="1" applyFont="1" applyFill="1" applyBorder="1" applyAlignment="1">
      <alignment horizontal="center" vertical="distributed"/>
    </xf>
    <xf numFmtId="43" fontId="3" fillId="2" borderId="1" xfId="0" applyNumberFormat="1" applyFont="1" applyFill="1" applyBorder="1" applyAlignment="1">
      <alignment horizontal="center" vertical="distributed"/>
    </xf>
    <xf numFmtId="9" fontId="7" fillId="4" borderId="1" xfId="4" applyFont="1" applyFill="1" applyBorder="1"/>
    <xf numFmtId="165" fontId="3" fillId="4" borderId="1" xfId="0" applyNumberFormat="1" applyFont="1" applyFill="1" applyBorder="1" applyAlignment="1">
      <alignment horizontal="center" vertical="distributed"/>
    </xf>
    <xf numFmtId="164" fontId="6" fillId="4" borderId="1" xfId="2" applyNumberFormat="1" applyFont="1" applyFill="1" applyBorder="1" applyAlignment="1">
      <alignment horizontal="center" vertical="distributed" wrapText="1"/>
    </xf>
    <xf numFmtId="0" fontId="4" fillId="0" borderId="0" xfId="0" applyFont="1" applyAlignment="1">
      <alignment wrapText="1"/>
    </xf>
    <xf numFmtId="14" fontId="3" fillId="2" borderId="1" xfId="0" applyNumberFormat="1" applyFont="1" applyFill="1" applyBorder="1" applyAlignment="1">
      <alignment horizontal="center" vertical="distributed"/>
    </xf>
    <xf numFmtId="0" fontId="8" fillId="4" borderId="1" xfId="0" applyFont="1" applyFill="1" applyBorder="1" applyAlignment="1" applyProtection="1">
      <alignment horizontal="center" vertical="distributed" wrapText="1" readingOrder="2"/>
      <protection locked="0"/>
    </xf>
    <xf numFmtId="0" fontId="9" fillId="4" borderId="1" xfId="0" applyFont="1" applyFill="1" applyBorder="1" applyAlignment="1" applyProtection="1">
      <alignment horizontal="center" vertical="distributed" wrapText="1"/>
      <protection locked="0"/>
    </xf>
    <xf numFmtId="0" fontId="4" fillId="4" borderId="1" xfId="0" applyFont="1" applyFill="1" applyBorder="1"/>
    <xf numFmtId="0" fontId="10" fillId="4" borderId="1" xfId="0" applyFont="1" applyFill="1" applyBorder="1" applyAlignment="1" applyProtection="1">
      <alignment horizontal="center" vertical="distributed"/>
      <protection locked="0"/>
    </xf>
    <xf numFmtId="14" fontId="3" fillId="4" borderId="1" xfId="0" applyNumberFormat="1" applyFont="1" applyFill="1" applyBorder="1" applyAlignment="1">
      <alignment horizontal="center" vertical="distributed"/>
    </xf>
    <xf numFmtId="43" fontId="3" fillId="4" borderId="1" xfId="0" applyNumberFormat="1" applyFont="1" applyFill="1" applyBorder="1" applyAlignment="1">
      <alignment horizontal="center" vertical="distributed"/>
    </xf>
    <xf numFmtId="0" fontId="8" fillId="2" borderId="1" xfId="0" applyFont="1" applyFill="1" applyBorder="1" applyAlignment="1" applyProtection="1">
      <alignment horizontal="center" vertical="distributed" wrapText="1" readingOrder="2"/>
      <protection locked="0"/>
    </xf>
    <xf numFmtId="0" fontId="9" fillId="2" borderId="1" xfId="0" applyFont="1" applyFill="1" applyBorder="1" applyAlignment="1" applyProtection="1">
      <alignment horizontal="center" vertical="distributed" wrapText="1"/>
      <protection locked="0"/>
    </xf>
    <xf numFmtId="0" fontId="10" fillId="2" borderId="1" xfId="0" applyFont="1" applyFill="1" applyBorder="1" applyAlignment="1" applyProtection="1">
      <alignment horizontal="center" vertical="distributed"/>
      <protection locked="0"/>
    </xf>
    <xf numFmtId="1" fontId="5" fillId="3" borderId="5" xfId="0" applyNumberFormat="1" applyFont="1" applyFill="1" applyBorder="1" applyAlignment="1">
      <alignment horizontal="center" vertical="center" wrapText="1" readingOrder="2"/>
    </xf>
    <xf numFmtId="1" fontId="5" fillId="3" borderId="7" xfId="0" applyNumberFormat="1" applyFont="1" applyFill="1" applyBorder="1" applyAlignment="1">
      <alignment horizontal="center" vertical="center" wrapText="1" readingOrder="2"/>
    </xf>
    <xf numFmtId="1" fontId="5" fillId="3" borderId="8" xfId="0" applyNumberFormat="1" applyFont="1" applyFill="1" applyBorder="1" applyAlignment="1">
      <alignment horizontal="center" vertical="center" wrapText="1" readingOrder="2"/>
    </xf>
    <xf numFmtId="1" fontId="5" fillId="3" borderId="9" xfId="0" applyNumberFormat="1" applyFont="1" applyFill="1" applyBorder="1" applyAlignment="1">
      <alignment horizontal="center" vertical="center" wrapText="1" readingOrder="2"/>
    </xf>
    <xf numFmtId="0" fontId="4" fillId="4" borderId="7" xfId="0" applyFont="1" applyFill="1" applyBorder="1" applyAlignment="1">
      <alignment horizontal="center" vertical="center"/>
    </xf>
    <xf numFmtId="43" fontId="4" fillId="4" borderId="8" xfId="0" applyNumberFormat="1" applyFont="1" applyFill="1" applyBorder="1" applyAlignment="1">
      <alignment horizontal="center" vertical="center"/>
    </xf>
    <xf numFmtId="43" fontId="4" fillId="4" borderId="9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0" borderId="8" xfId="0" applyFont="1" applyBorder="1" applyAlignment="1" applyProtection="1">
      <alignment horizontal="center" vertical="distributed" wrapText="1" readingOrder="2"/>
      <protection locked="0"/>
    </xf>
    <xf numFmtId="0" fontId="9" fillId="0" borderId="8" xfId="0" applyFont="1" applyBorder="1" applyAlignment="1" applyProtection="1">
      <alignment horizontal="center" vertical="distributed" wrapText="1"/>
      <protection locked="0"/>
    </xf>
    <xf numFmtId="0" fontId="4" fillId="2" borderId="8" xfId="0" applyFont="1" applyFill="1" applyBorder="1"/>
    <xf numFmtId="0" fontId="10" fillId="0" borderId="8" xfId="0" applyFont="1" applyBorder="1" applyAlignment="1" applyProtection="1">
      <alignment horizontal="center" vertical="distributed"/>
      <protection locked="0"/>
    </xf>
    <xf numFmtId="14" fontId="3" fillId="2" borderId="8" xfId="0" applyNumberFormat="1" applyFont="1" applyFill="1" applyBorder="1" applyAlignment="1">
      <alignment horizontal="center" vertical="distributed"/>
    </xf>
    <xf numFmtId="43" fontId="3" fillId="2" borderId="8" xfId="0" applyNumberFormat="1" applyFont="1" applyFill="1" applyBorder="1" applyAlignment="1">
      <alignment horizontal="center" vertical="distributed"/>
    </xf>
    <xf numFmtId="164" fontId="6" fillId="4" borderId="8" xfId="2" applyNumberFormat="1" applyFont="1" applyFill="1" applyBorder="1" applyAlignment="1">
      <alignment horizontal="center" vertical="distributed" wrapText="1"/>
    </xf>
    <xf numFmtId="165" fontId="3" fillId="4" borderId="8" xfId="0" applyNumberFormat="1" applyFont="1" applyFill="1" applyBorder="1" applyAlignment="1">
      <alignment horizontal="center" vertical="distributed"/>
    </xf>
    <xf numFmtId="165" fontId="3" fillId="2" borderId="8" xfId="0" applyNumberFormat="1" applyFont="1" applyFill="1" applyBorder="1" applyAlignment="1">
      <alignment horizontal="center" vertical="distributed"/>
    </xf>
    <xf numFmtId="9" fontId="7" fillId="4" borderId="8" xfId="4" applyFont="1" applyFill="1" applyBorder="1"/>
    <xf numFmtId="165" fontId="3" fillId="4" borderId="9" xfId="0" applyNumberFormat="1" applyFont="1" applyFill="1" applyBorder="1" applyAlignment="1">
      <alignment horizontal="center" vertical="distributed"/>
    </xf>
    <xf numFmtId="165" fontId="3" fillId="2" borderId="9" xfId="0" applyNumberFormat="1" applyFont="1" applyFill="1" applyBorder="1" applyAlignment="1">
      <alignment horizontal="center" vertical="distributed"/>
    </xf>
    <xf numFmtId="1" fontId="5" fillId="3" borderId="0" xfId="0" applyNumberFormat="1" applyFont="1" applyFill="1" applyAlignment="1">
      <alignment horizontal="center" vertical="center" wrapText="1" readingOrder="2"/>
    </xf>
    <xf numFmtId="1" fontId="5" fillId="3" borderId="7" xfId="0" applyNumberFormat="1" applyFont="1" applyFill="1" applyBorder="1" applyAlignment="1">
      <alignment horizontal="center" vertical="center" wrapText="1" readingOrder="2"/>
    </xf>
    <xf numFmtId="1" fontId="5" fillId="3" borderId="8" xfId="0" applyNumberFormat="1" applyFont="1" applyFill="1" applyBorder="1" applyAlignment="1">
      <alignment horizontal="center" vertical="center" wrapText="1" readingOrder="2"/>
    </xf>
    <xf numFmtId="1" fontId="5" fillId="3" borderId="6" xfId="0" applyNumberFormat="1" applyFont="1" applyFill="1" applyBorder="1" applyAlignment="1">
      <alignment horizontal="center" vertical="center" wrapText="1" readingOrder="2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" fontId="5" fillId="3" borderId="0" xfId="0" applyNumberFormat="1" applyFont="1" applyFill="1" applyBorder="1" applyAlignment="1">
      <alignment horizontal="center" vertical="center" wrapText="1" readingOrder="2"/>
    </xf>
    <xf numFmtId="0" fontId="11" fillId="0" borderId="10" xfId="0" applyFont="1" applyBorder="1" applyAlignment="1">
      <alignment horizontal="center" vertical="center" readingOrder="1"/>
    </xf>
    <xf numFmtId="0" fontId="11" fillId="5" borderId="11" xfId="0" applyFont="1" applyFill="1" applyBorder="1" applyAlignment="1">
      <alignment horizontal="center" vertical="center" readingOrder="1"/>
    </xf>
    <xf numFmtId="0" fontId="11" fillId="0" borderId="10" xfId="0" applyFont="1" applyBorder="1" applyAlignment="1">
      <alignment horizontal="center" vertical="center" readingOrder="2"/>
    </xf>
    <xf numFmtId="0" fontId="11" fillId="5" borderId="11" xfId="0" applyFont="1" applyFill="1" applyBorder="1" applyAlignment="1">
      <alignment horizontal="center" vertical="center" readingOrder="2"/>
    </xf>
    <xf numFmtId="43" fontId="4" fillId="6" borderId="8" xfId="0" applyNumberFormat="1" applyFont="1" applyFill="1" applyBorder="1" applyAlignment="1">
      <alignment horizontal="center" vertical="center"/>
    </xf>
  </cellXfs>
  <cellStyles count="5">
    <cellStyle name="Comma 2" xfId="1" xr:uid="{00000000-0005-0000-0000-000000000000}"/>
    <cellStyle name="Comma 4 2" xfId="2" xr:uid="{00000000-0005-0000-0000-000001000000}"/>
    <cellStyle name="Normal" xfId="0" builtinId="0"/>
    <cellStyle name="Normal 2" xfId="3" xr:uid="{00000000-0005-0000-0000-000003000000}"/>
    <cellStyle name="Percent" xfId="4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showGridLines="0" rightToLeft="1" tabSelected="1" zoomScale="79" zoomScaleNormal="79" zoomScaleSheetLayoutView="25" workbookViewId="0">
      <selection activeCell="Q3" sqref="Q3"/>
    </sheetView>
  </sheetViews>
  <sheetFormatPr defaultRowHeight="15" x14ac:dyDescent="0.25"/>
  <cols>
    <col min="1" max="1" width="2" bestFit="1" customWidth="1"/>
    <col min="2" max="2" width="8.85546875" bestFit="1" customWidth="1"/>
    <col min="3" max="3" width="18.140625" customWidth="1"/>
    <col min="4" max="4" width="9.5703125" bestFit="1" customWidth="1"/>
    <col min="5" max="5" width="9.5703125" customWidth="1"/>
    <col min="6" max="6" width="8.85546875" bestFit="1" customWidth="1"/>
    <col min="7" max="7" width="8.7109375" bestFit="1" customWidth="1"/>
    <col min="8" max="9" width="8.7109375" customWidth="1"/>
    <col min="10" max="10" width="4.85546875" bestFit="1" customWidth="1"/>
    <col min="11" max="11" width="6.85546875" bestFit="1" customWidth="1"/>
    <col min="12" max="12" width="9.140625" bestFit="1" customWidth="1"/>
    <col min="13" max="13" width="14" bestFit="1" customWidth="1"/>
    <col min="14" max="14" width="11.7109375" bestFit="1" customWidth="1"/>
    <col min="15" max="15" width="12.42578125" customWidth="1"/>
    <col min="16" max="16" width="8.140625" bestFit="1" customWidth="1"/>
    <col min="17" max="17" width="7.42578125" bestFit="1" customWidth="1"/>
    <col min="18" max="18" width="15.140625" bestFit="1" customWidth="1"/>
    <col min="19" max="19" width="20.85546875" customWidth="1"/>
    <col min="20" max="20" width="16.28515625" bestFit="1" customWidth="1"/>
    <col min="21" max="21" width="20.85546875" bestFit="1" customWidth="1"/>
    <col min="22" max="22" width="27.85546875" bestFit="1" customWidth="1"/>
    <col min="23" max="24" width="27.85546875" customWidth="1"/>
    <col min="25" max="25" width="32.42578125" bestFit="1" customWidth="1"/>
    <col min="26" max="26" width="29.7109375" customWidth="1"/>
    <col min="27" max="27" width="19.7109375" bestFit="1" customWidth="1"/>
    <col min="28" max="28" width="19.7109375" customWidth="1"/>
    <col min="29" max="29" width="25.28515625" bestFit="1" customWidth="1"/>
    <col min="30" max="30" width="25.28515625" customWidth="1"/>
    <col min="31" max="31" width="11.42578125" bestFit="1" customWidth="1"/>
    <col min="32" max="32" width="8.28515625" bestFit="1" customWidth="1"/>
  </cols>
  <sheetData>
    <row r="1" spans="1:32" ht="18" customHeight="1" thickBot="1" x14ac:dyDescent="0.3">
      <c r="Q1" s="47" t="s">
        <v>23</v>
      </c>
      <c r="R1" s="51"/>
      <c r="S1" s="51"/>
      <c r="T1" s="51"/>
      <c r="U1" s="51"/>
      <c r="V1" s="51"/>
      <c r="W1" s="51"/>
      <c r="X1" s="51"/>
      <c r="Y1" s="51"/>
      <c r="Z1" s="51"/>
    </row>
    <row r="2" spans="1:32" ht="37.5" thickTop="1" thickBot="1" x14ac:dyDescent="0.3">
      <c r="Q2" s="26" t="s">
        <v>60</v>
      </c>
      <c r="R2" s="25" t="s">
        <v>24</v>
      </c>
      <c r="S2" s="26" t="s">
        <v>25</v>
      </c>
      <c r="T2" s="26" t="s">
        <v>17</v>
      </c>
      <c r="U2" s="26" t="s">
        <v>18</v>
      </c>
      <c r="V2" s="26" t="s">
        <v>19</v>
      </c>
      <c r="W2" s="26" t="s">
        <v>28</v>
      </c>
      <c r="X2" s="26" t="s">
        <v>20</v>
      </c>
      <c r="Y2" s="26" t="s">
        <v>21</v>
      </c>
      <c r="Z2" s="27" t="s">
        <v>54</v>
      </c>
    </row>
    <row r="3" spans="1:32" ht="19.5" thickTop="1" thickBot="1" x14ac:dyDescent="0.3">
      <c r="Q3" s="56"/>
      <c r="R3" s="28">
        <f>COUNTIF(B8:B12,"*")</f>
        <v>5</v>
      </c>
      <c r="S3" s="29">
        <f>V13</f>
        <v>16217738.800000001</v>
      </c>
      <c r="T3" s="29">
        <f>MAX(V8:V12)</f>
        <v>4028499.6</v>
      </c>
      <c r="U3" s="29">
        <f>MIN(V8:V12)</f>
        <v>2902717.6</v>
      </c>
      <c r="V3" s="29">
        <f>AVERAGE(V8:V12)</f>
        <v>3243547.7600000002</v>
      </c>
      <c r="W3" s="29" t="e">
        <f>AVERAGE(AF8:AF12)</f>
        <v>#DIV/0!</v>
      </c>
      <c r="X3" s="29">
        <f>MEDIAN(V8:V12)</f>
        <v>3098917.6</v>
      </c>
      <c r="Y3" s="29" t="e">
        <f>MODE(V8:V12)</f>
        <v>#N/A</v>
      </c>
      <c r="Z3" s="30">
        <f>AB13</f>
        <v>0</v>
      </c>
    </row>
    <row r="4" spans="1:32" ht="15.75" thickTop="1" x14ac:dyDescent="0.25"/>
    <row r="5" spans="1:32" s="1" customFormat="1" ht="18" customHeight="1" x14ac:dyDescent="0.4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</row>
    <row r="6" spans="1:32" s="1" customFormat="1" ht="3.75" customHeight="1" thickBot="1" x14ac:dyDescent="0.5"/>
    <row r="7" spans="1:32" s="13" customFormat="1" ht="55.5" thickTop="1" thickBot="1" x14ac:dyDescent="0.5">
      <c r="A7" s="25" t="s">
        <v>1</v>
      </c>
      <c r="B7" s="26" t="s">
        <v>2</v>
      </c>
      <c r="C7" s="26" t="s">
        <v>59</v>
      </c>
      <c r="D7" s="26" t="s">
        <v>3</v>
      </c>
      <c r="E7" s="26" t="s">
        <v>56</v>
      </c>
      <c r="F7" s="26" t="s">
        <v>4</v>
      </c>
      <c r="G7" s="26" t="s">
        <v>16</v>
      </c>
      <c r="H7" s="26" t="s">
        <v>50</v>
      </c>
      <c r="I7" s="26" t="s">
        <v>51</v>
      </c>
      <c r="J7" s="26" t="s">
        <v>40</v>
      </c>
      <c r="K7" s="26" t="s">
        <v>26</v>
      </c>
      <c r="L7" s="26" t="s">
        <v>35</v>
      </c>
      <c r="M7" s="26" t="s">
        <v>5</v>
      </c>
      <c r="N7" s="26" t="s">
        <v>6</v>
      </c>
      <c r="O7" s="26" t="s">
        <v>57</v>
      </c>
      <c r="P7" s="26" t="s">
        <v>7</v>
      </c>
      <c r="Q7" s="26" t="s">
        <v>8</v>
      </c>
      <c r="R7" s="26" t="s">
        <v>9</v>
      </c>
      <c r="S7" s="26" t="s">
        <v>10</v>
      </c>
      <c r="T7" s="26" t="s">
        <v>11</v>
      </c>
      <c r="U7" s="26" t="s">
        <v>12</v>
      </c>
      <c r="V7" s="26" t="s">
        <v>48</v>
      </c>
      <c r="W7" s="26" t="s">
        <v>52</v>
      </c>
      <c r="X7" s="26" t="s">
        <v>49</v>
      </c>
      <c r="Y7" s="26" t="s">
        <v>46</v>
      </c>
      <c r="Z7" s="26" t="s">
        <v>47</v>
      </c>
      <c r="AA7" s="26" t="s">
        <v>53</v>
      </c>
      <c r="AB7" s="26" t="s">
        <v>54</v>
      </c>
      <c r="AC7" s="26" t="s">
        <v>14</v>
      </c>
      <c r="AD7" s="26" t="s">
        <v>58</v>
      </c>
      <c r="AE7" s="26" t="s">
        <v>22</v>
      </c>
      <c r="AF7" s="27" t="s">
        <v>27</v>
      </c>
    </row>
    <row r="8" spans="1:32" s="1" customFormat="1" ht="39" thickTop="1" thickBot="1" x14ac:dyDescent="0.5">
      <c r="A8" s="31">
        <v>1</v>
      </c>
      <c r="B8" s="32" t="s">
        <v>29</v>
      </c>
      <c r="C8" s="32"/>
      <c r="D8" s="33">
        <v>2051033803</v>
      </c>
      <c r="E8" s="33"/>
      <c r="F8" s="34"/>
      <c r="G8" s="34"/>
      <c r="H8" s="34"/>
      <c r="I8" s="34"/>
      <c r="J8" s="34"/>
      <c r="K8" s="34"/>
      <c r="L8" s="34"/>
      <c r="M8" s="34"/>
      <c r="N8" s="35" t="s">
        <v>30</v>
      </c>
      <c r="O8" s="35"/>
      <c r="P8" s="34"/>
      <c r="Q8" s="34"/>
      <c r="R8" s="34"/>
      <c r="S8" s="34"/>
      <c r="T8" s="34"/>
      <c r="U8" s="36">
        <v>44285</v>
      </c>
      <c r="V8" s="37">
        <v>2902717.6</v>
      </c>
      <c r="W8" s="37"/>
      <c r="X8" s="37"/>
      <c r="Y8" s="38">
        <f>V8*5/100</f>
        <v>145135.88</v>
      </c>
      <c r="Z8" s="38">
        <f>V8+Y8</f>
        <v>3047853.48</v>
      </c>
      <c r="AA8" s="40">
        <v>0</v>
      </c>
      <c r="AB8" s="40"/>
      <c r="AC8" s="39">
        <f>Z8-AA8</f>
        <v>3047853.48</v>
      </c>
      <c r="AD8" s="40"/>
      <c r="AE8" s="41">
        <f>AA8/Z8</f>
        <v>0</v>
      </c>
      <c r="AF8" s="42" t="e">
        <f>V8/K8</f>
        <v>#DIV/0!</v>
      </c>
    </row>
    <row r="9" spans="1:32" s="1" customFormat="1" ht="20.25" thickTop="1" thickBot="1" x14ac:dyDescent="0.5">
      <c r="A9" s="31">
        <v>2</v>
      </c>
      <c r="B9" s="32" t="s">
        <v>36</v>
      </c>
      <c r="C9" s="32"/>
      <c r="D9" s="33">
        <v>1001562865</v>
      </c>
      <c r="E9" s="33"/>
      <c r="F9" s="34"/>
      <c r="G9" s="34"/>
      <c r="H9" s="34"/>
      <c r="I9" s="34"/>
      <c r="J9" s="34"/>
      <c r="K9" s="34"/>
      <c r="L9" s="34"/>
      <c r="M9" s="34"/>
      <c r="N9" s="35" t="s">
        <v>31</v>
      </c>
      <c r="O9" s="35"/>
      <c r="P9" s="34"/>
      <c r="Q9" s="34"/>
      <c r="R9" s="34"/>
      <c r="S9" s="34"/>
      <c r="T9" s="34"/>
      <c r="U9" s="36">
        <v>44286</v>
      </c>
      <c r="V9" s="37">
        <v>4028499.6</v>
      </c>
      <c r="W9" s="37"/>
      <c r="X9" s="37"/>
      <c r="Y9" s="38">
        <f t="shared" ref="Y9:Y12" si="0">V9*5/100</f>
        <v>201424.98</v>
      </c>
      <c r="Z9" s="38">
        <f t="shared" ref="Z9:Z12" si="1">V9+Y9</f>
        <v>4229924.58</v>
      </c>
      <c r="AA9" s="40">
        <v>0</v>
      </c>
      <c r="AB9" s="40"/>
      <c r="AC9" s="39">
        <f>Z9-AA9</f>
        <v>4229924.58</v>
      </c>
      <c r="AD9" s="40"/>
      <c r="AE9" s="41">
        <f>AA9/Z9</f>
        <v>0</v>
      </c>
      <c r="AF9" s="42" t="e">
        <f>V9/K9</f>
        <v>#DIV/0!</v>
      </c>
    </row>
    <row r="10" spans="1:32" s="1" customFormat="1" ht="39" thickTop="1" thickBot="1" x14ac:dyDescent="0.5">
      <c r="A10" s="31">
        <v>3</v>
      </c>
      <c r="B10" s="32" t="s">
        <v>37</v>
      </c>
      <c r="C10" s="32"/>
      <c r="D10" s="33">
        <v>1067660785</v>
      </c>
      <c r="E10" s="33"/>
      <c r="F10" s="34"/>
      <c r="G10" s="34"/>
      <c r="H10" s="34"/>
      <c r="I10" s="34"/>
      <c r="J10" s="34"/>
      <c r="K10" s="34"/>
      <c r="L10" s="34"/>
      <c r="M10" s="34"/>
      <c r="N10" s="35" t="s">
        <v>32</v>
      </c>
      <c r="O10" s="35"/>
      <c r="P10" s="34"/>
      <c r="Q10" s="34"/>
      <c r="R10" s="34"/>
      <c r="S10" s="34"/>
      <c r="T10" s="34"/>
      <c r="U10" s="36">
        <v>44287</v>
      </c>
      <c r="V10" s="37">
        <v>3098917.6</v>
      </c>
      <c r="W10" s="37"/>
      <c r="X10" s="37"/>
      <c r="Y10" s="38">
        <f t="shared" si="0"/>
        <v>154945.88</v>
      </c>
      <c r="Z10" s="38">
        <f t="shared" si="1"/>
        <v>3253863.48</v>
      </c>
      <c r="AA10" s="40">
        <v>0</v>
      </c>
      <c r="AB10" s="40"/>
      <c r="AC10" s="39">
        <f>Z10-AA10</f>
        <v>3253863.48</v>
      </c>
      <c r="AD10" s="40"/>
      <c r="AE10" s="41">
        <f>AA10/Z10</f>
        <v>0</v>
      </c>
      <c r="AF10" s="42" t="e">
        <f>V10/K10</f>
        <v>#DIV/0!</v>
      </c>
    </row>
    <row r="11" spans="1:32" s="1" customFormat="1" ht="20.25" thickTop="1" thickBot="1" x14ac:dyDescent="0.5">
      <c r="A11" s="31">
        <v>4</v>
      </c>
      <c r="B11" s="32" t="s">
        <v>38</v>
      </c>
      <c r="C11" s="32"/>
      <c r="D11" s="33">
        <v>2051033803</v>
      </c>
      <c r="E11" s="33"/>
      <c r="F11" s="34"/>
      <c r="G11" s="34"/>
      <c r="H11" s="34"/>
      <c r="I11" s="34"/>
      <c r="J11" s="34"/>
      <c r="K11" s="34"/>
      <c r="L11" s="34"/>
      <c r="M11" s="34"/>
      <c r="N11" s="35" t="s">
        <v>33</v>
      </c>
      <c r="O11" s="35"/>
      <c r="P11" s="34"/>
      <c r="Q11" s="34"/>
      <c r="R11" s="34"/>
      <c r="S11" s="34"/>
      <c r="T11" s="34"/>
      <c r="U11" s="36">
        <v>44288</v>
      </c>
      <c r="V11" s="37">
        <v>3278577.6</v>
      </c>
      <c r="W11" s="37"/>
      <c r="X11" s="37"/>
      <c r="Y11" s="38">
        <f t="shared" si="0"/>
        <v>163928.88</v>
      </c>
      <c r="Z11" s="38">
        <f t="shared" si="1"/>
        <v>3442506.48</v>
      </c>
      <c r="AA11" s="40">
        <v>0</v>
      </c>
      <c r="AB11" s="40"/>
      <c r="AC11" s="39">
        <f>Z11-AA11</f>
        <v>3442506.48</v>
      </c>
      <c r="AD11" s="40"/>
      <c r="AE11" s="41">
        <f>AA11/Z11</f>
        <v>0</v>
      </c>
      <c r="AF11" s="42" t="e">
        <f>V11/K11</f>
        <v>#DIV/0!</v>
      </c>
    </row>
    <row r="12" spans="1:32" s="1" customFormat="1" ht="20.25" thickTop="1" thickBot="1" x14ac:dyDescent="0.5">
      <c r="A12" s="31">
        <v>5</v>
      </c>
      <c r="B12" s="32" t="s">
        <v>39</v>
      </c>
      <c r="C12" s="32"/>
      <c r="D12" s="33">
        <v>2051033803</v>
      </c>
      <c r="E12" s="33"/>
      <c r="F12" s="34"/>
      <c r="G12" s="34"/>
      <c r="H12" s="34"/>
      <c r="I12" s="34"/>
      <c r="J12" s="34"/>
      <c r="K12" s="34"/>
      <c r="L12" s="34"/>
      <c r="M12" s="34"/>
      <c r="N12" s="35" t="s">
        <v>34</v>
      </c>
      <c r="O12" s="35"/>
      <c r="P12" s="34"/>
      <c r="Q12" s="34"/>
      <c r="R12" s="34"/>
      <c r="S12" s="34"/>
      <c r="T12" s="34"/>
      <c r="U12" s="36">
        <v>44290</v>
      </c>
      <c r="V12" s="37">
        <v>2909026.4</v>
      </c>
      <c r="W12" s="37"/>
      <c r="X12" s="37"/>
      <c r="Y12" s="38">
        <f t="shared" si="0"/>
        <v>145451.32</v>
      </c>
      <c r="Z12" s="38">
        <f t="shared" si="1"/>
        <v>3054477.7199999997</v>
      </c>
      <c r="AA12" s="40">
        <v>0</v>
      </c>
      <c r="AB12" s="40"/>
      <c r="AC12" s="39">
        <f>Z12-AA12</f>
        <v>3054477.7199999997</v>
      </c>
      <c r="AD12" s="40"/>
      <c r="AE12" s="41">
        <f>AA12/Z12</f>
        <v>0</v>
      </c>
      <c r="AF12" s="42" t="e">
        <f>V12/K12</f>
        <v>#DIV/0!</v>
      </c>
    </row>
    <row r="13" spans="1:32" s="1" customFormat="1" ht="31.5" customHeight="1" thickTop="1" thickBot="1" x14ac:dyDescent="0.5">
      <c r="A13" s="45" t="s">
        <v>15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37">
        <f t="shared" ref="V13:Z13" si="2">SUM(V8:V12)</f>
        <v>16217738.800000001</v>
      </c>
      <c r="W13" s="37"/>
      <c r="X13" s="37"/>
      <c r="Y13" s="37">
        <f t="shared" si="2"/>
        <v>810886.94</v>
      </c>
      <c r="Z13" s="37">
        <f t="shared" si="2"/>
        <v>17028625.740000002</v>
      </c>
      <c r="AA13" s="37">
        <f>SUM(AA8:AA12)</f>
        <v>0</v>
      </c>
      <c r="AB13" s="37"/>
      <c r="AC13" s="37">
        <f>SUM(AC8:AC12)</f>
        <v>17028625.740000002</v>
      </c>
      <c r="AD13" s="37"/>
      <c r="AE13" s="34"/>
      <c r="AF13" s="43"/>
    </row>
    <row r="14" spans="1:32" s="1" customFormat="1" ht="18.75" thickTop="1" x14ac:dyDescent="0.45"/>
    <row r="15" spans="1:32" s="1" customFormat="1" ht="18" x14ac:dyDescent="0.45"/>
    <row r="16" spans="1:32" s="1" customFormat="1" ht="18.75" customHeight="1" x14ac:dyDescent="0.45"/>
    <row r="17" spans="1:32" s="1" customFormat="1" ht="18" x14ac:dyDescent="0.45"/>
    <row r="18" spans="1:32" s="1" customFormat="1" ht="18.75" customHeight="1" x14ac:dyDescent="0.45"/>
    <row r="19" spans="1:32" s="1" customFormat="1" ht="18" x14ac:dyDescent="0.45"/>
    <row r="20" spans="1:32" s="1" customFormat="1" ht="18" x14ac:dyDescent="0.45"/>
    <row r="21" spans="1:32" s="1" customFormat="1" ht="18" x14ac:dyDescent="0.45"/>
    <row r="22" spans="1:32" s="1" customFormat="1" ht="18" x14ac:dyDescent="0.45"/>
    <row r="23" spans="1:32" s="1" customFormat="1" ht="41.25" customHeight="1" x14ac:dyDescent="0.45">
      <c r="A23" s="44" t="s">
        <v>45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spans="1:32" s="1" customFormat="1" ht="18" x14ac:dyDescent="0.45"/>
    <row r="25" spans="1:32" s="1" customFormat="1" ht="33.75" customHeight="1" x14ac:dyDescent="0.45"/>
    <row r="26" spans="1:32" s="1" customFormat="1" ht="18" x14ac:dyDescent="0.45"/>
  </sheetData>
  <mergeCells count="4">
    <mergeCell ref="A23:AF23"/>
    <mergeCell ref="A13:U13"/>
    <mergeCell ref="A5:AF5"/>
    <mergeCell ref="Q1:Z1"/>
  </mergeCells>
  <conditionalFormatting sqref="N8:O12">
    <cfRule type="duplicateValues" dxfId="7" priority="6"/>
    <cfRule type="duplicateValues" dxfId="6" priority="7"/>
  </conditionalFormatting>
  <conditionalFormatting sqref="AE1:AE22 AE24:AE1048576">
    <cfRule type="dataBar" priority="1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{174906AA-FC82-400E-B265-C5A6464531B6}</x14:id>
        </ext>
      </extLst>
    </cfRule>
    <cfRule type="dataBar" priority="4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{D64E73CF-CF47-4132-B9CD-FECD37B48DAE}</x14:id>
        </ext>
      </extLst>
    </cfRule>
  </conditionalFormatting>
  <conditionalFormatting sqref="AE8:AE12">
    <cfRule type="dataBar" priority="2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{96C35697-89A2-4563-896F-3BDAEA73C2FC}</x14:id>
        </ext>
      </extLst>
    </cfRule>
    <cfRule type="dataBar" priority="3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{AA39D2BF-BABB-4D2F-82C9-B55F62E13535}</x14:id>
        </ext>
      </extLst>
    </cfRule>
    <cfRule type="dataBar" priority="5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{D060707E-30FE-4332-836A-37C77B8E91F7}</x14:id>
        </ext>
      </extLst>
    </cfRule>
  </conditionalFormatting>
  <dataValidations count="1">
    <dataValidation type="date" operator="notEqual" allowBlank="1" showInputMessage="1" showErrorMessage="1" prompt="ملاحظة: الادخال بالتاريخ _x000a_4/21/2026" sqref="U8:U12" xr:uid="{CADA82F7-63C4-4CD6-A3CD-7A6B532A873D}">
      <formula1>40909</formula1>
    </dataValidation>
  </dataValidations>
  <pageMargins left="0.7" right="0.7" top="0.75" bottom="0.75" header="0.3" footer="0.3"/>
  <pageSetup scale="13" orientation="portrait" r:id="rId1"/>
  <headerFooter>
    <oddHeader>&amp;C&amp;K139119&amp;10&amp;"Calibri"&amp;BPublic - عام&amp;B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4906AA-FC82-400E-B265-C5A6464531B6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D64E73CF-CF47-4132-B9CD-FECD37B48DAE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AE1:AE22 AE24:AE1048576</xm:sqref>
        </x14:conditionalFormatting>
        <x14:conditionalFormatting xmlns:xm="http://schemas.microsoft.com/office/excel/2006/main">
          <x14:cfRule type="dataBar" id="{96C35697-89A2-4563-896F-3BDAEA73C2F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AA39D2BF-BABB-4D2F-82C9-B55F62E13535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D060707E-30FE-4332-836A-37C77B8E91F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AE8:AE12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2C18F-7AC4-4958-B261-7F4B36126AD6}">
          <x14:formula1>
            <xm:f>Sheet1!$A$1:$A$1290</xm:f>
          </x14:formula1>
          <xm:sqref>Q3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C2DC-9630-4D9B-B0FA-ADD2D09EBFBC}">
  <dimension ref="A1:A1290"/>
  <sheetViews>
    <sheetView rightToLeft="1" topLeftCell="A1266" workbookViewId="0">
      <selection sqref="A1:A1290"/>
    </sheetView>
  </sheetViews>
  <sheetFormatPr defaultRowHeight="15" x14ac:dyDescent="0.25"/>
  <sheetData>
    <row r="1" spans="1:1" ht="18.75" x14ac:dyDescent="0.25">
      <c r="A1" s="52">
        <v>3</v>
      </c>
    </row>
    <row r="2" spans="1:1" ht="18.75" x14ac:dyDescent="0.25">
      <c r="A2" s="53">
        <v>4</v>
      </c>
    </row>
    <row r="3" spans="1:1" ht="18.75" x14ac:dyDescent="0.25">
      <c r="A3" s="52">
        <v>5</v>
      </c>
    </row>
    <row r="4" spans="1:1" ht="18.75" x14ac:dyDescent="0.25">
      <c r="A4" s="53">
        <v>7</v>
      </c>
    </row>
    <row r="5" spans="1:1" ht="18.75" x14ac:dyDescent="0.25">
      <c r="A5" s="52">
        <v>8</v>
      </c>
    </row>
    <row r="6" spans="1:1" ht="18.75" x14ac:dyDescent="0.25">
      <c r="A6" s="53">
        <v>9</v>
      </c>
    </row>
    <row r="7" spans="1:1" ht="18.75" x14ac:dyDescent="0.25">
      <c r="A7" s="52">
        <v>10</v>
      </c>
    </row>
    <row r="8" spans="1:1" ht="18.75" x14ac:dyDescent="0.25">
      <c r="A8" s="53">
        <v>11</v>
      </c>
    </row>
    <row r="9" spans="1:1" ht="18.75" x14ac:dyDescent="0.25">
      <c r="A9" s="52">
        <v>12</v>
      </c>
    </row>
    <row r="10" spans="1:1" ht="18.75" x14ac:dyDescent="0.25">
      <c r="A10" s="53">
        <v>13</v>
      </c>
    </row>
    <row r="11" spans="1:1" ht="18.75" x14ac:dyDescent="0.25">
      <c r="A11" s="52">
        <v>17</v>
      </c>
    </row>
    <row r="12" spans="1:1" ht="18.75" x14ac:dyDescent="0.25">
      <c r="A12" s="53">
        <v>14</v>
      </c>
    </row>
    <row r="13" spans="1:1" ht="18.75" x14ac:dyDescent="0.25">
      <c r="A13" s="52">
        <v>18</v>
      </c>
    </row>
    <row r="14" spans="1:1" ht="18.75" x14ac:dyDescent="0.25">
      <c r="A14" s="53">
        <v>20</v>
      </c>
    </row>
    <row r="15" spans="1:1" ht="18.75" x14ac:dyDescent="0.25">
      <c r="A15" s="52">
        <v>23</v>
      </c>
    </row>
    <row r="16" spans="1:1" ht="18.75" x14ac:dyDescent="0.25">
      <c r="A16" s="53">
        <v>24</v>
      </c>
    </row>
    <row r="17" spans="1:1" ht="18.75" x14ac:dyDescent="0.25">
      <c r="A17" s="52">
        <v>25</v>
      </c>
    </row>
    <row r="18" spans="1:1" ht="18.75" x14ac:dyDescent="0.25">
      <c r="A18" s="53">
        <v>26</v>
      </c>
    </row>
    <row r="19" spans="1:1" ht="18.75" x14ac:dyDescent="0.25">
      <c r="A19" s="52">
        <v>27</v>
      </c>
    </row>
    <row r="20" spans="1:1" ht="18.75" x14ac:dyDescent="0.25">
      <c r="A20" s="53">
        <v>28</v>
      </c>
    </row>
    <row r="21" spans="1:1" ht="18.75" x14ac:dyDescent="0.25">
      <c r="A21" s="52">
        <v>29</v>
      </c>
    </row>
    <row r="22" spans="1:1" ht="18.75" x14ac:dyDescent="0.25">
      <c r="A22" s="53">
        <v>19</v>
      </c>
    </row>
    <row r="23" spans="1:1" ht="18.75" x14ac:dyDescent="0.25">
      <c r="A23" s="52">
        <v>30</v>
      </c>
    </row>
    <row r="24" spans="1:1" ht="18.75" x14ac:dyDescent="0.25">
      <c r="A24" s="53">
        <v>31</v>
      </c>
    </row>
    <row r="25" spans="1:1" ht="18.75" x14ac:dyDescent="0.25">
      <c r="A25" s="52">
        <v>32</v>
      </c>
    </row>
    <row r="26" spans="1:1" ht="18.75" x14ac:dyDescent="0.25">
      <c r="A26" s="53">
        <v>33</v>
      </c>
    </row>
    <row r="27" spans="1:1" ht="18.75" x14ac:dyDescent="0.25">
      <c r="A27" s="52">
        <v>34</v>
      </c>
    </row>
    <row r="28" spans="1:1" ht="18.75" x14ac:dyDescent="0.25">
      <c r="A28" s="53">
        <v>16</v>
      </c>
    </row>
    <row r="29" spans="1:1" ht="18.75" x14ac:dyDescent="0.25">
      <c r="A29" s="52">
        <v>21</v>
      </c>
    </row>
    <row r="30" spans="1:1" ht="18.75" x14ac:dyDescent="0.25">
      <c r="A30" s="53">
        <v>15</v>
      </c>
    </row>
    <row r="31" spans="1:1" ht="18.75" x14ac:dyDescent="0.25">
      <c r="A31" s="52">
        <v>22</v>
      </c>
    </row>
    <row r="32" spans="1:1" ht="18.75" x14ac:dyDescent="0.25">
      <c r="A32" s="53">
        <v>35</v>
      </c>
    </row>
    <row r="33" spans="1:1" ht="18.75" x14ac:dyDescent="0.25">
      <c r="A33" s="52">
        <v>36</v>
      </c>
    </row>
    <row r="34" spans="1:1" ht="18.75" x14ac:dyDescent="0.25">
      <c r="A34" s="53">
        <v>37</v>
      </c>
    </row>
    <row r="35" spans="1:1" ht="18.75" x14ac:dyDescent="0.25">
      <c r="A35" s="52">
        <v>39</v>
      </c>
    </row>
    <row r="36" spans="1:1" ht="18.75" x14ac:dyDescent="0.25">
      <c r="A36" s="53">
        <v>38</v>
      </c>
    </row>
    <row r="37" spans="1:1" ht="18.75" x14ac:dyDescent="0.25">
      <c r="A37" s="52">
        <v>46</v>
      </c>
    </row>
    <row r="38" spans="1:1" ht="18.75" x14ac:dyDescent="0.25">
      <c r="A38" s="53">
        <v>47</v>
      </c>
    </row>
    <row r="39" spans="1:1" ht="18.75" x14ac:dyDescent="0.25">
      <c r="A39" s="52">
        <v>44</v>
      </c>
    </row>
    <row r="40" spans="1:1" ht="18.75" x14ac:dyDescent="0.25">
      <c r="A40" s="53">
        <v>40</v>
      </c>
    </row>
    <row r="41" spans="1:1" ht="18.75" x14ac:dyDescent="0.25">
      <c r="A41" s="52">
        <v>43</v>
      </c>
    </row>
    <row r="42" spans="1:1" ht="18.75" x14ac:dyDescent="0.25">
      <c r="A42" s="53">
        <v>41</v>
      </c>
    </row>
    <row r="43" spans="1:1" ht="18.75" x14ac:dyDescent="0.25">
      <c r="A43" s="52">
        <v>42</v>
      </c>
    </row>
    <row r="44" spans="1:1" ht="18.75" x14ac:dyDescent="0.25">
      <c r="A44" s="53">
        <v>45</v>
      </c>
    </row>
    <row r="45" spans="1:1" ht="18.75" x14ac:dyDescent="0.25">
      <c r="A45" s="52">
        <v>51</v>
      </c>
    </row>
    <row r="46" spans="1:1" ht="18.75" x14ac:dyDescent="0.25">
      <c r="A46" s="53">
        <v>49</v>
      </c>
    </row>
    <row r="47" spans="1:1" ht="18.75" x14ac:dyDescent="0.25">
      <c r="A47" s="52">
        <v>50</v>
      </c>
    </row>
    <row r="48" spans="1:1" ht="18.75" x14ac:dyDescent="0.25">
      <c r="A48" s="53">
        <v>48</v>
      </c>
    </row>
    <row r="49" spans="1:1" ht="18.75" x14ac:dyDescent="0.25">
      <c r="A49" s="52">
        <v>53</v>
      </c>
    </row>
    <row r="50" spans="1:1" ht="18.75" x14ac:dyDescent="0.25">
      <c r="A50" s="53">
        <v>52</v>
      </c>
    </row>
    <row r="51" spans="1:1" ht="18.75" x14ac:dyDescent="0.25">
      <c r="A51" s="52">
        <v>54</v>
      </c>
    </row>
    <row r="52" spans="1:1" ht="18.75" x14ac:dyDescent="0.25">
      <c r="A52" s="53">
        <v>56</v>
      </c>
    </row>
    <row r="53" spans="1:1" ht="18.75" x14ac:dyDescent="0.25">
      <c r="A53" s="54" t="s">
        <v>61</v>
      </c>
    </row>
    <row r="54" spans="1:1" ht="18.75" x14ac:dyDescent="0.25">
      <c r="A54" s="53">
        <v>57</v>
      </c>
    </row>
    <row r="55" spans="1:1" ht="18.75" x14ac:dyDescent="0.25">
      <c r="A55" s="52">
        <v>58</v>
      </c>
    </row>
    <row r="56" spans="1:1" ht="18.75" x14ac:dyDescent="0.25">
      <c r="A56" s="53">
        <v>59</v>
      </c>
    </row>
    <row r="57" spans="1:1" ht="18.75" x14ac:dyDescent="0.25">
      <c r="A57" s="52">
        <v>60</v>
      </c>
    </row>
    <row r="58" spans="1:1" ht="18.75" x14ac:dyDescent="0.25">
      <c r="A58" s="53">
        <v>61</v>
      </c>
    </row>
    <row r="59" spans="1:1" ht="18.75" x14ac:dyDescent="0.25">
      <c r="A59" s="52">
        <v>62</v>
      </c>
    </row>
    <row r="60" spans="1:1" ht="18.75" x14ac:dyDescent="0.25">
      <c r="A60" s="55" t="s">
        <v>62</v>
      </c>
    </row>
    <row r="61" spans="1:1" ht="18.75" x14ac:dyDescent="0.25">
      <c r="A61" s="54" t="s">
        <v>63</v>
      </c>
    </row>
    <row r="62" spans="1:1" ht="18.75" x14ac:dyDescent="0.25">
      <c r="A62" s="53">
        <v>63</v>
      </c>
    </row>
    <row r="63" spans="1:1" ht="18.75" x14ac:dyDescent="0.25">
      <c r="A63" s="54" t="s">
        <v>64</v>
      </c>
    </row>
    <row r="64" spans="1:1" ht="18.75" x14ac:dyDescent="0.25">
      <c r="A64" s="53">
        <v>64</v>
      </c>
    </row>
    <row r="65" spans="1:1" ht="18.75" x14ac:dyDescent="0.25">
      <c r="A65" s="54" t="s">
        <v>65</v>
      </c>
    </row>
    <row r="66" spans="1:1" ht="18.75" x14ac:dyDescent="0.25">
      <c r="A66" s="55" t="s">
        <v>66</v>
      </c>
    </row>
    <row r="67" spans="1:1" ht="18.75" x14ac:dyDescent="0.25">
      <c r="A67" s="54" t="s">
        <v>67</v>
      </c>
    </row>
    <row r="68" spans="1:1" ht="18.75" x14ac:dyDescent="0.25">
      <c r="A68" s="53">
        <v>67</v>
      </c>
    </row>
    <row r="69" spans="1:1" ht="18.75" x14ac:dyDescent="0.25">
      <c r="A69" s="54" t="s">
        <v>68</v>
      </c>
    </row>
    <row r="70" spans="1:1" ht="18.75" x14ac:dyDescent="0.25">
      <c r="A70" s="55" t="s">
        <v>69</v>
      </c>
    </row>
    <row r="71" spans="1:1" ht="18.75" x14ac:dyDescent="0.25">
      <c r="A71" s="54" t="s">
        <v>70</v>
      </c>
    </row>
    <row r="72" spans="1:1" ht="18.75" x14ac:dyDescent="0.25">
      <c r="A72" s="55" t="s">
        <v>71</v>
      </c>
    </row>
    <row r="73" spans="1:1" ht="18.75" x14ac:dyDescent="0.25">
      <c r="A73" s="54" t="s">
        <v>72</v>
      </c>
    </row>
    <row r="74" spans="1:1" ht="18.75" x14ac:dyDescent="0.25">
      <c r="A74" s="55" t="s">
        <v>73</v>
      </c>
    </row>
    <row r="75" spans="1:1" ht="18.75" x14ac:dyDescent="0.25">
      <c r="A75" s="52">
        <v>68</v>
      </c>
    </row>
    <row r="76" spans="1:1" ht="18.75" x14ac:dyDescent="0.25">
      <c r="A76" s="55" t="s">
        <v>74</v>
      </c>
    </row>
    <row r="77" spans="1:1" ht="18.75" x14ac:dyDescent="0.25">
      <c r="A77" s="54" t="s">
        <v>75</v>
      </c>
    </row>
    <row r="78" spans="1:1" ht="18.75" x14ac:dyDescent="0.25">
      <c r="A78" s="53">
        <v>69</v>
      </c>
    </row>
    <row r="79" spans="1:1" ht="18.75" x14ac:dyDescent="0.25">
      <c r="A79" s="52">
        <v>70</v>
      </c>
    </row>
    <row r="80" spans="1:1" ht="18.75" x14ac:dyDescent="0.25">
      <c r="A80" s="55" t="s">
        <v>76</v>
      </c>
    </row>
    <row r="81" spans="1:1" ht="18.75" x14ac:dyDescent="0.25">
      <c r="A81" s="54" t="s">
        <v>77</v>
      </c>
    </row>
    <row r="82" spans="1:1" ht="18.75" x14ac:dyDescent="0.25">
      <c r="A82" s="55" t="s">
        <v>78</v>
      </c>
    </row>
    <row r="83" spans="1:1" ht="18.75" x14ac:dyDescent="0.25">
      <c r="A83" s="54" t="s">
        <v>79</v>
      </c>
    </row>
    <row r="84" spans="1:1" ht="18.75" x14ac:dyDescent="0.25">
      <c r="A84" s="55" t="s">
        <v>80</v>
      </c>
    </row>
    <row r="85" spans="1:1" ht="18.75" x14ac:dyDescent="0.25">
      <c r="A85" s="54" t="s">
        <v>81</v>
      </c>
    </row>
    <row r="86" spans="1:1" ht="18.75" x14ac:dyDescent="0.25">
      <c r="A86" s="53">
        <v>71</v>
      </c>
    </row>
    <row r="87" spans="1:1" ht="18.75" x14ac:dyDescent="0.25">
      <c r="A87" s="54" t="s">
        <v>82</v>
      </c>
    </row>
    <row r="88" spans="1:1" ht="18.75" x14ac:dyDescent="0.25">
      <c r="A88" s="53">
        <v>72</v>
      </c>
    </row>
    <row r="89" spans="1:1" ht="18.75" x14ac:dyDescent="0.25">
      <c r="A89" s="52">
        <v>73</v>
      </c>
    </row>
    <row r="90" spans="1:1" ht="18.75" x14ac:dyDescent="0.25">
      <c r="A90" s="55" t="s">
        <v>83</v>
      </c>
    </row>
    <row r="91" spans="1:1" ht="18.75" x14ac:dyDescent="0.25">
      <c r="A91" s="54" t="s">
        <v>84</v>
      </c>
    </row>
    <row r="92" spans="1:1" ht="18.75" x14ac:dyDescent="0.25">
      <c r="A92" s="55" t="s">
        <v>85</v>
      </c>
    </row>
    <row r="93" spans="1:1" ht="18.75" x14ac:dyDescent="0.25">
      <c r="A93" s="54" t="s">
        <v>86</v>
      </c>
    </row>
    <row r="94" spans="1:1" ht="18.75" x14ac:dyDescent="0.25">
      <c r="A94" s="55" t="s">
        <v>87</v>
      </c>
    </row>
    <row r="95" spans="1:1" ht="18.75" x14ac:dyDescent="0.25">
      <c r="A95" s="54" t="s">
        <v>88</v>
      </c>
    </row>
    <row r="96" spans="1:1" ht="18.75" x14ac:dyDescent="0.25">
      <c r="A96" s="55" t="s">
        <v>89</v>
      </c>
    </row>
    <row r="97" spans="1:1" ht="18.75" x14ac:dyDescent="0.25">
      <c r="A97" s="52">
        <v>74</v>
      </c>
    </row>
    <row r="98" spans="1:1" ht="18.75" x14ac:dyDescent="0.25">
      <c r="A98" s="55" t="s">
        <v>90</v>
      </c>
    </row>
    <row r="99" spans="1:1" ht="18.75" x14ac:dyDescent="0.25">
      <c r="A99" s="54" t="s">
        <v>91</v>
      </c>
    </row>
    <row r="100" spans="1:1" ht="18.75" x14ac:dyDescent="0.25">
      <c r="A100" s="53">
        <v>75</v>
      </c>
    </row>
    <row r="101" spans="1:1" ht="18.75" x14ac:dyDescent="0.25">
      <c r="A101" s="52">
        <v>76</v>
      </c>
    </row>
    <row r="102" spans="1:1" ht="18.75" x14ac:dyDescent="0.25">
      <c r="A102" s="53">
        <v>77</v>
      </c>
    </row>
    <row r="103" spans="1:1" ht="18.75" x14ac:dyDescent="0.25">
      <c r="A103" s="54" t="s">
        <v>92</v>
      </c>
    </row>
    <row r="104" spans="1:1" ht="18.75" x14ac:dyDescent="0.25">
      <c r="A104" s="55" t="s">
        <v>93</v>
      </c>
    </row>
    <row r="105" spans="1:1" ht="18.75" x14ac:dyDescent="0.25">
      <c r="A105" s="54" t="s">
        <v>94</v>
      </c>
    </row>
    <row r="106" spans="1:1" ht="18.75" x14ac:dyDescent="0.25">
      <c r="A106" s="55" t="s">
        <v>95</v>
      </c>
    </row>
    <row r="107" spans="1:1" ht="18.75" x14ac:dyDescent="0.25">
      <c r="A107" s="54" t="s">
        <v>96</v>
      </c>
    </row>
    <row r="108" spans="1:1" ht="18.75" x14ac:dyDescent="0.25">
      <c r="A108" s="55" t="s">
        <v>97</v>
      </c>
    </row>
    <row r="109" spans="1:1" ht="18.75" x14ac:dyDescent="0.25">
      <c r="A109" s="54" t="s">
        <v>98</v>
      </c>
    </row>
    <row r="110" spans="1:1" ht="18.75" x14ac:dyDescent="0.25">
      <c r="A110" s="55" t="s">
        <v>99</v>
      </c>
    </row>
    <row r="111" spans="1:1" ht="18.75" x14ac:dyDescent="0.25">
      <c r="A111" s="54" t="s">
        <v>100</v>
      </c>
    </row>
    <row r="112" spans="1:1" ht="18.75" x14ac:dyDescent="0.25">
      <c r="A112" s="55" t="s">
        <v>101</v>
      </c>
    </row>
    <row r="113" spans="1:1" ht="18.75" x14ac:dyDescent="0.25">
      <c r="A113" s="54" t="s">
        <v>102</v>
      </c>
    </row>
    <row r="114" spans="1:1" ht="18.75" x14ac:dyDescent="0.25">
      <c r="A114" s="55" t="s">
        <v>103</v>
      </c>
    </row>
    <row r="115" spans="1:1" ht="18.75" x14ac:dyDescent="0.25">
      <c r="A115" s="52">
        <v>78</v>
      </c>
    </row>
    <row r="116" spans="1:1" ht="18.75" x14ac:dyDescent="0.25">
      <c r="A116" s="55" t="s">
        <v>104</v>
      </c>
    </row>
    <row r="117" spans="1:1" ht="18.75" x14ac:dyDescent="0.25">
      <c r="A117" s="54" t="s">
        <v>105</v>
      </c>
    </row>
    <row r="118" spans="1:1" ht="18.75" x14ac:dyDescent="0.25">
      <c r="A118" s="55" t="s">
        <v>106</v>
      </c>
    </row>
    <row r="119" spans="1:1" ht="18.75" x14ac:dyDescent="0.25">
      <c r="A119" s="54" t="s">
        <v>107</v>
      </c>
    </row>
    <row r="120" spans="1:1" ht="18.75" x14ac:dyDescent="0.25">
      <c r="A120" s="55" t="s">
        <v>108</v>
      </c>
    </row>
    <row r="121" spans="1:1" ht="18.75" x14ac:dyDescent="0.25">
      <c r="A121" s="54" t="s">
        <v>109</v>
      </c>
    </row>
    <row r="122" spans="1:1" ht="18.75" x14ac:dyDescent="0.25">
      <c r="A122" s="55" t="s">
        <v>110</v>
      </c>
    </row>
    <row r="123" spans="1:1" ht="18.75" x14ac:dyDescent="0.25">
      <c r="A123" s="52">
        <v>79</v>
      </c>
    </row>
    <row r="124" spans="1:1" ht="18.75" x14ac:dyDescent="0.25">
      <c r="A124" s="55" t="s">
        <v>111</v>
      </c>
    </row>
    <row r="125" spans="1:1" ht="18.75" x14ac:dyDescent="0.25">
      <c r="A125" s="54" t="s">
        <v>112</v>
      </c>
    </row>
    <row r="126" spans="1:1" ht="18.75" x14ac:dyDescent="0.25">
      <c r="A126" s="55" t="s">
        <v>113</v>
      </c>
    </row>
    <row r="127" spans="1:1" ht="18.75" x14ac:dyDescent="0.25">
      <c r="A127" s="54" t="s">
        <v>114</v>
      </c>
    </row>
    <row r="128" spans="1:1" ht="18.75" x14ac:dyDescent="0.25">
      <c r="A128" s="53">
        <v>80</v>
      </c>
    </row>
    <row r="129" spans="1:1" ht="18.75" x14ac:dyDescent="0.25">
      <c r="A129" s="54" t="s">
        <v>115</v>
      </c>
    </row>
    <row r="130" spans="1:1" ht="18.75" x14ac:dyDescent="0.25">
      <c r="A130" s="55" t="s">
        <v>116</v>
      </c>
    </row>
    <row r="131" spans="1:1" ht="18.75" x14ac:dyDescent="0.25">
      <c r="A131" s="54" t="s">
        <v>117</v>
      </c>
    </row>
    <row r="132" spans="1:1" ht="18.75" x14ac:dyDescent="0.25">
      <c r="A132" s="55" t="s">
        <v>118</v>
      </c>
    </row>
    <row r="133" spans="1:1" ht="18.75" x14ac:dyDescent="0.25">
      <c r="A133" s="54" t="s">
        <v>119</v>
      </c>
    </row>
    <row r="134" spans="1:1" ht="18.75" x14ac:dyDescent="0.25">
      <c r="A134" s="55" t="s">
        <v>120</v>
      </c>
    </row>
    <row r="135" spans="1:1" ht="18.75" x14ac:dyDescent="0.25">
      <c r="A135" s="52">
        <v>81</v>
      </c>
    </row>
    <row r="136" spans="1:1" ht="18.75" x14ac:dyDescent="0.25">
      <c r="A136" s="53">
        <v>82</v>
      </c>
    </row>
    <row r="137" spans="1:1" ht="18.75" x14ac:dyDescent="0.25">
      <c r="A137" s="54" t="s">
        <v>121</v>
      </c>
    </row>
    <row r="138" spans="1:1" ht="18.75" x14ac:dyDescent="0.25">
      <c r="A138" s="55" t="s">
        <v>122</v>
      </c>
    </row>
    <row r="139" spans="1:1" ht="18.75" x14ac:dyDescent="0.25">
      <c r="A139" s="54" t="s">
        <v>123</v>
      </c>
    </row>
    <row r="140" spans="1:1" ht="18.75" x14ac:dyDescent="0.25">
      <c r="A140" s="55" t="s">
        <v>124</v>
      </c>
    </row>
    <row r="141" spans="1:1" ht="18.75" x14ac:dyDescent="0.25">
      <c r="A141" s="54" t="s">
        <v>125</v>
      </c>
    </row>
    <row r="142" spans="1:1" ht="18.75" x14ac:dyDescent="0.25">
      <c r="A142" s="53">
        <v>83</v>
      </c>
    </row>
    <row r="143" spans="1:1" ht="18.75" x14ac:dyDescent="0.25">
      <c r="A143" s="54" t="s">
        <v>126</v>
      </c>
    </row>
    <row r="144" spans="1:1" ht="18.75" x14ac:dyDescent="0.25">
      <c r="A144" s="55" t="s">
        <v>127</v>
      </c>
    </row>
    <row r="145" spans="1:1" ht="18.75" x14ac:dyDescent="0.25">
      <c r="A145" s="52">
        <v>84</v>
      </c>
    </row>
    <row r="146" spans="1:1" ht="18.75" x14ac:dyDescent="0.25">
      <c r="A146" s="55" t="s">
        <v>128</v>
      </c>
    </row>
    <row r="147" spans="1:1" ht="18.75" x14ac:dyDescent="0.25">
      <c r="A147" s="54" t="s">
        <v>129</v>
      </c>
    </row>
    <row r="148" spans="1:1" ht="18.75" x14ac:dyDescent="0.25">
      <c r="A148" s="53">
        <v>85</v>
      </c>
    </row>
    <row r="149" spans="1:1" ht="18.75" x14ac:dyDescent="0.25">
      <c r="A149" s="52">
        <v>86</v>
      </c>
    </row>
    <row r="150" spans="1:1" ht="18.75" x14ac:dyDescent="0.25">
      <c r="A150" s="55" t="s">
        <v>130</v>
      </c>
    </row>
    <row r="151" spans="1:1" ht="18.75" x14ac:dyDescent="0.25">
      <c r="A151" s="54" t="s">
        <v>131</v>
      </c>
    </row>
    <row r="152" spans="1:1" ht="18.75" x14ac:dyDescent="0.25">
      <c r="A152" s="55" t="s">
        <v>132</v>
      </c>
    </row>
    <row r="153" spans="1:1" ht="18.75" x14ac:dyDescent="0.25">
      <c r="A153" s="54" t="s">
        <v>133</v>
      </c>
    </row>
    <row r="154" spans="1:1" ht="18.75" x14ac:dyDescent="0.25">
      <c r="A154" s="53">
        <v>87</v>
      </c>
    </row>
    <row r="155" spans="1:1" ht="18.75" x14ac:dyDescent="0.25">
      <c r="A155" s="52">
        <v>88</v>
      </c>
    </row>
    <row r="156" spans="1:1" ht="18.75" x14ac:dyDescent="0.25">
      <c r="A156" s="53">
        <v>89</v>
      </c>
    </row>
    <row r="157" spans="1:1" ht="18.75" x14ac:dyDescent="0.25">
      <c r="A157" s="54" t="s">
        <v>134</v>
      </c>
    </row>
    <row r="158" spans="1:1" ht="18.75" x14ac:dyDescent="0.25">
      <c r="A158" s="55" t="s">
        <v>135</v>
      </c>
    </row>
    <row r="159" spans="1:1" ht="18.75" x14ac:dyDescent="0.25">
      <c r="A159" s="52">
        <v>90</v>
      </c>
    </row>
    <row r="160" spans="1:1" ht="18.75" x14ac:dyDescent="0.25">
      <c r="A160" s="53">
        <v>91</v>
      </c>
    </row>
    <row r="161" spans="1:1" ht="18.75" x14ac:dyDescent="0.25">
      <c r="A161" s="52">
        <v>92</v>
      </c>
    </row>
    <row r="162" spans="1:1" ht="18.75" x14ac:dyDescent="0.25">
      <c r="A162" s="55" t="s">
        <v>136</v>
      </c>
    </row>
    <row r="163" spans="1:1" ht="18.75" x14ac:dyDescent="0.25">
      <c r="A163" s="54" t="s">
        <v>137</v>
      </c>
    </row>
    <row r="164" spans="1:1" ht="18.75" x14ac:dyDescent="0.25">
      <c r="A164" s="53">
        <v>93</v>
      </c>
    </row>
    <row r="165" spans="1:1" ht="18.75" x14ac:dyDescent="0.25">
      <c r="A165" s="54" t="s">
        <v>138</v>
      </c>
    </row>
    <row r="166" spans="1:1" ht="18.75" x14ac:dyDescent="0.25">
      <c r="A166" s="55" t="s">
        <v>139</v>
      </c>
    </row>
    <row r="167" spans="1:1" ht="18.75" x14ac:dyDescent="0.25">
      <c r="A167" s="54" t="s">
        <v>140</v>
      </c>
    </row>
    <row r="168" spans="1:1" ht="18.75" x14ac:dyDescent="0.25">
      <c r="A168" s="55" t="s">
        <v>141</v>
      </c>
    </row>
    <row r="169" spans="1:1" ht="18.75" x14ac:dyDescent="0.25">
      <c r="A169" s="54" t="s">
        <v>142</v>
      </c>
    </row>
    <row r="170" spans="1:1" ht="18.75" x14ac:dyDescent="0.25">
      <c r="A170" s="55" t="s">
        <v>143</v>
      </c>
    </row>
    <row r="171" spans="1:1" ht="18.75" x14ac:dyDescent="0.25">
      <c r="A171" s="54" t="s">
        <v>144</v>
      </c>
    </row>
    <row r="172" spans="1:1" ht="18.75" x14ac:dyDescent="0.25">
      <c r="A172" s="55" t="s">
        <v>145</v>
      </c>
    </row>
    <row r="173" spans="1:1" ht="18.75" x14ac:dyDescent="0.25">
      <c r="A173" s="54" t="s">
        <v>146</v>
      </c>
    </row>
    <row r="174" spans="1:1" ht="18.75" x14ac:dyDescent="0.25">
      <c r="A174" s="55" t="s">
        <v>147</v>
      </c>
    </row>
    <row r="175" spans="1:1" ht="18.75" x14ac:dyDescent="0.25">
      <c r="A175" s="54" t="s">
        <v>148</v>
      </c>
    </row>
    <row r="176" spans="1:1" ht="18.75" x14ac:dyDescent="0.25">
      <c r="A176" s="55" t="s">
        <v>149</v>
      </c>
    </row>
    <row r="177" spans="1:1" ht="18.75" x14ac:dyDescent="0.25">
      <c r="A177" s="52">
        <v>94</v>
      </c>
    </row>
    <row r="178" spans="1:1" ht="18.75" x14ac:dyDescent="0.25">
      <c r="A178" s="53">
        <v>95</v>
      </c>
    </row>
    <row r="179" spans="1:1" ht="18.75" x14ac:dyDescent="0.25">
      <c r="A179" s="54" t="s">
        <v>150</v>
      </c>
    </row>
    <row r="180" spans="1:1" ht="18.75" x14ac:dyDescent="0.25">
      <c r="A180" s="53">
        <v>96</v>
      </c>
    </row>
    <row r="181" spans="1:1" ht="18.75" x14ac:dyDescent="0.25">
      <c r="A181" s="54" t="s">
        <v>151</v>
      </c>
    </row>
    <row r="182" spans="1:1" ht="18.75" x14ac:dyDescent="0.25">
      <c r="A182" s="55" t="s">
        <v>152</v>
      </c>
    </row>
    <row r="183" spans="1:1" ht="18.75" x14ac:dyDescent="0.25">
      <c r="A183" s="54" t="s">
        <v>153</v>
      </c>
    </row>
    <row r="184" spans="1:1" ht="18.75" x14ac:dyDescent="0.25">
      <c r="A184" s="55" t="s">
        <v>154</v>
      </c>
    </row>
    <row r="185" spans="1:1" ht="18.75" x14ac:dyDescent="0.25">
      <c r="A185" s="54" t="s">
        <v>155</v>
      </c>
    </row>
    <row r="186" spans="1:1" ht="18.75" x14ac:dyDescent="0.25">
      <c r="A186" s="53">
        <v>97</v>
      </c>
    </row>
    <row r="187" spans="1:1" ht="18.75" x14ac:dyDescent="0.25">
      <c r="A187" s="54" t="s">
        <v>156</v>
      </c>
    </row>
    <row r="188" spans="1:1" ht="18.75" x14ac:dyDescent="0.25">
      <c r="A188" s="55" t="s">
        <v>157</v>
      </c>
    </row>
    <row r="189" spans="1:1" ht="18.75" x14ac:dyDescent="0.25">
      <c r="A189" s="52">
        <v>98</v>
      </c>
    </row>
    <row r="190" spans="1:1" ht="18.75" x14ac:dyDescent="0.25">
      <c r="A190" s="55" t="s">
        <v>158</v>
      </c>
    </row>
    <row r="191" spans="1:1" ht="18.75" x14ac:dyDescent="0.25">
      <c r="A191" s="54" t="s">
        <v>159</v>
      </c>
    </row>
    <row r="192" spans="1:1" ht="18.75" x14ac:dyDescent="0.25">
      <c r="A192" s="55" t="s">
        <v>160</v>
      </c>
    </row>
    <row r="193" spans="1:1" ht="18.75" x14ac:dyDescent="0.25">
      <c r="A193" s="52">
        <v>99</v>
      </c>
    </row>
    <row r="194" spans="1:1" ht="18.75" x14ac:dyDescent="0.25">
      <c r="A194" s="55" t="s">
        <v>161</v>
      </c>
    </row>
    <row r="195" spans="1:1" ht="18.75" x14ac:dyDescent="0.25">
      <c r="A195" s="54" t="s">
        <v>162</v>
      </c>
    </row>
    <row r="196" spans="1:1" ht="18.75" x14ac:dyDescent="0.25">
      <c r="A196" s="55" t="s">
        <v>163</v>
      </c>
    </row>
    <row r="197" spans="1:1" ht="18.75" x14ac:dyDescent="0.25">
      <c r="A197" s="54" t="s">
        <v>164</v>
      </c>
    </row>
    <row r="198" spans="1:1" ht="18.75" x14ac:dyDescent="0.25">
      <c r="A198" s="55" t="s">
        <v>165</v>
      </c>
    </row>
    <row r="199" spans="1:1" ht="18.75" x14ac:dyDescent="0.25">
      <c r="A199" s="52">
        <v>100</v>
      </c>
    </row>
    <row r="200" spans="1:1" ht="18.75" x14ac:dyDescent="0.25">
      <c r="A200" s="53">
        <v>101</v>
      </c>
    </row>
    <row r="201" spans="1:1" ht="18.75" x14ac:dyDescent="0.25">
      <c r="A201" s="52">
        <v>102</v>
      </c>
    </row>
    <row r="202" spans="1:1" ht="18.75" x14ac:dyDescent="0.25">
      <c r="A202" s="53">
        <v>103</v>
      </c>
    </row>
    <row r="203" spans="1:1" ht="18.75" x14ac:dyDescent="0.25">
      <c r="A203" s="54" t="s">
        <v>166</v>
      </c>
    </row>
    <row r="204" spans="1:1" ht="18.75" x14ac:dyDescent="0.25">
      <c r="A204" s="53">
        <v>104</v>
      </c>
    </row>
    <row r="205" spans="1:1" ht="18.75" x14ac:dyDescent="0.25">
      <c r="A205" s="54" t="s">
        <v>167</v>
      </c>
    </row>
    <row r="206" spans="1:1" ht="18.75" x14ac:dyDescent="0.25">
      <c r="A206" s="55" t="s">
        <v>168</v>
      </c>
    </row>
    <row r="207" spans="1:1" ht="18.75" x14ac:dyDescent="0.25">
      <c r="A207" s="54" t="s">
        <v>169</v>
      </c>
    </row>
    <row r="208" spans="1:1" ht="18.75" x14ac:dyDescent="0.25">
      <c r="A208" s="53">
        <v>105</v>
      </c>
    </row>
    <row r="209" spans="1:1" ht="18.75" x14ac:dyDescent="0.25">
      <c r="A209" s="54" t="s">
        <v>170</v>
      </c>
    </row>
    <row r="210" spans="1:1" ht="18.75" x14ac:dyDescent="0.25">
      <c r="A210" s="55" t="s">
        <v>171</v>
      </c>
    </row>
    <row r="211" spans="1:1" ht="18.75" x14ac:dyDescent="0.25">
      <c r="A211" s="54" t="s">
        <v>172</v>
      </c>
    </row>
    <row r="212" spans="1:1" ht="18.75" x14ac:dyDescent="0.25">
      <c r="A212" s="53">
        <v>106</v>
      </c>
    </row>
    <row r="213" spans="1:1" ht="18.75" x14ac:dyDescent="0.25">
      <c r="A213" s="54" t="s">
        <v>173</v>
      </c>
    </row>
    <row r="214" spans="1:1" ht="18.75" x14ac:dyDescent="0.25">
      <c r="A214" s="55" t="s">
        <v>174</v>
      </c>
    </row>
    <row r="215" spans="1:1" ht="18.75" x14ac:dyDescent="0.25">
      <c r="A215" s="54" t="s">
        <v>175</v>
      </c>
    </row>
    <row r="216" spans="1:1" ht="18.75" x14ac:dyDescent="0.25">
      <c r="A216" s="53">
        <v>107</v>
      </c>
    </row>
    <row r="217" spans="1:1" ht="18.75" x14ac:dyDescent="0.25">
      <c r="A217" s="54" t="s">
        <v>176</v>
      </c>
    </row>
    <row r="218" spans="1:1" ht="18.75" x14ac:dyDescent="0.25">
      <c r="A218" s="55" t="s">
        <v>177</v>
      </c>
    </row>
    <row r="219" spans="1:1" ht="18.75" x14ac:dyDescent="0.25">
      <c r="A219" s="54" t="s">
        <v>178</v>
      </c>
    </row>
    <row r="220" spans="1:1" ht="18.75" x14ac:dyDescent="0.25">
      <c r="A220" s="55" t="s">
        <v>179</v>
      </c>
    </row>
    <row r="221" spans="1:1" ht="18.75" x14ac:dyDescent="0.25">
      <c r="A221" s="54" t="s">
        <v>180</v>
      </c>
    </row>
    <row r="222" spans="1:1" ht="18.75" x14ac:dyDescent="0.25">
      <c r="A222" s="55" t="s">
        <v>181</v>
      </c>
    </row>
    <row r="223" spans="1:1" ht="18.75" x14ac:dyDescent="0.25">
      <c r="A223" s="52">
        <v>108</v>
      </c>
    </row>
    <row r="224" spans="1:1" ht="18.75" x14ac:dyDescent="0.25">
      <c r="A224" s="55" t="s">
        <v>182</v>
      </c>
    </row>
    <row r="225" spans="1:1" ht="18.75" x14ac:dyDescent="0.25">
      <c r="A225" s="52">
        <v>109</v>
      </c>
    </row>
    <row r="226" spans="1:1" ht="18.75" x14ac:dyDescent="0.25">
      <c r="A226" s="55" t="s">
        <v>183</v>
      </c>
    </row>
    <row r="227" spans="1:1" ht="18.75" x14ac:dyDescent="0.25">
      <c r="A227" s="52">
        <v>110</v>
      </c>
    </row>
    <row r="228" spans="1:1" ht="18.75" x14ac:dyDescent="0.25">
      <c r="A228" s="53">
        <v>111</v>
      </c>
    </row>
    <row r="229" spans="1:1" ht="18.75" x14ac:dyDescent="0.25">
      <c r="A229" s="52">
        <v>112</v>
      </c>
    </row>
    <row r="230" spans="1:1" ht="18.75" x14ac:dyDescent="0.25">
      <c r="A230" s="53">
        <v>113</v>
      </c>
    </row>
    <row r="231" spans="1:1" ht="18.75" x14ac:dyDescent="0.25">
      <c r="A231" s="52">
        <v>114</v>
      </c>
    </row>
    <row r="232" spans="1:1" ht="18.75" x14ac:dyDescent="0.25">
      <c r="A232" s="53">
        <v>115</v>
      </c>
    </row>
    <row r="233" spans="1:1" ht="18.75" x14ac:dyDescent="0.25">
      <c r="A233" s="54" t="s">
        <v>184</v>
      </c>
    </row>
    <row r="234" spans="1:1" ht="18.75" x14ac:dyDescent="0.25">
      <c r="A234" s="53">
        <v>116</v>
      </c>
    </row>
    <row r="235" spans="1:1" ht="18.75" x14ac:dyDescent="0.25">
      <c r="A235" s="52">
        <v>117</v>
      </c>
    </row>
    <row r="236" spans="1:1" ht="18.75" x14ac:dyDescent="0.25">
      <c r="A236" s="55" t="s">
        <v>185</v>
      </c>
    </row>
    <row r="237" spans="1:1" ht="18.75" x14ac:dyDescent="0.25">
      <c r="A237" s="52">
        <v>118</v>
      </c>
    </row>
    <row r="238" spans="1:1" ht="18.75" x14ac:dyDescent="0.25">
      <c r="A238" s="55" t="s">
        <v>186</v>
      </c>
    </row>
    <row r="239" spans="1:1" ht="18.75" x14ac:dyDescent="0.25">
      <c r="A239" s="52">
        <v>119</v>
      </c>
    </row>
    <row r="240" spans="1:1" ht="18.75" x14ac:dyDescent="0.25">
      <c r="A240" s="53">
        <v>120</v>
      </c>
    </row>
    <row r="241" spans="1:1" ht="18.75" x14ac:dyDescent="0.25">
      <c r="A241" s="52">
        <v>121</v>
      </c>
    </row>
    <row r="242" spans="1:1" ht="18.75" x14ac:dyDescent="0.25">
      <c r="A242" s="55" t="s">
        <v>187</v>
      </c>
    </row>
    <row r="243" spans="1:1" ht="18.75" x14ac:dyDescent="0.25">
      <c r="A243" s="52">
        <v>122</v>
      </c>
    </row>
    <row r="244" spans="1:1" ht="18.75" x14ac:dyDescent="0.25">
      <c r="A244" s="53">
        <v>123</v>
      </c>
    </row>
    <row r="245" spans="1:1" ht="18.75" x14ac:dyDescent="0.25">
      <c r="A245" s="52">
        <v>124</v>
      </c>
    </row>
    <row r="246" spans="1:1" ht="18.75" x14ac:dyDescent="0.25">
      <c r="A246" s="53">
        <v>125</v>
      </c>
    </row>
    <row r="247" spans="1:1" ht="18.75" x14ac:dyDescent="0.25">
      <c r="A247" s="52">
        <v>126</v>
      </c>
    </row>
    <row r="248" spans="1:1" ht="18.75" x14ac:dyDescent="0.25">
      <c r="A248" s="55" t="s">
        <v>188</v>
      </c>
    </row>
    <row r="249" spans="1:1" ht="18.75" x14ac:dyDescent="0.25">
      <c r="A249" s="54" t="s">
        <v>189</v>
      </c>
    </row>
    <row r="250" spans="1:1" ht="18.75" x14ac:dyDescent="0.25">
      <c r="A250" s="55" t="s">
        <v>190</v>
      </c>
    </row>
    <row r="251" spans="1:1" ht="18.75" x14ac:dyDescent="0.25">
      <c r="A251" s="54" t="s">
        <v>191</v>
      </c>
    </row>
    <row r="252" spans="1:1" ht="18.75" x14ac:dyDescent="0.25">
      <c r="A252" s="53">
        <v>127</v>
      </c>
    </row>
    <row r="253" spans="1:1" ht="18.75" x14ac:dyDescent="0.25">
      <c r="A253" s="52">
        <v>128</v>
      </c>
    </row>
    <row r="254" spans="1:1" ht="18.75" x14ac:dyDescent="0.25">
      <c r="A254" s="55" t="s">
        <v>192</v>
      </c>
    </row>
    <row r="255" spans="1:1" ht="18.75" x14ac:dyDescent="0.25">
      <c r="A255" s="52">
        <v>129</v>
      </c>
    </row>
    <row r="256" spans="1:1" ht="18.75" x14ac:dyDescent="0.25">
      <c r="A256" s="53">
        <v>130</v>
      </c>
    </row>
    <row r="257" spans="1:1" ht="18.75" x14ac:dyDescent="0.25">
      <c r="A257" s="52">
        <v>131</v>
      </c>
    </row>
    <row r="258" spans="1:1" ht="18.75" x14ac:dyDescent="0.25">
      <c r="A258" s="53">
        <v>132</v>
      </c>
    </row>
    <row r="259" spans="1:1" ht="18.75" x14ac:dyDescent="0.25">
      <c r="A259" s="52">
        <v>133</v>
      </c>
    </row>
    <row r="260" spans="1:1" ht="18.75" x14ac:dyDescent="0.25">
      <c r="A260" s="53">
        <v>134</v>
      </c>
    </row>
    <row r="261" spans="1:1" ht="18.75" x14ac:dyDescent="0.25">
      <c r="A261" s="52">
        <v>135</v>
      </c>
    </row>
    <row r="262" spans="1:1" ht="18.75" x14ac:dyDescent="0.25">
      <c r="A262" s="53">
        <v>136</v>
      </c>
    </row>
    <row r="263" spans="1:1" ht="18.75" x14ac:dyDescent="0.25">
      <c r="A263" s="54" t="s">
        <v>193</v>
      </c>
    </row>
    <row r="264" spans="1:1" ht="18.75" x14ac:dyDescent="0.25">
      <c r="A264" s="55" t="s">
        <v>194</v>
      </c>
    </row>
    <row r="265" spans="1:1" ht="18.75" x14ac:dyDescent="0.25">
      <c r="A265" s="54" t="s">
        <v>195</v>
      </c>
    </row>
    <row r="266" spans="1:1" ht="18.75" x14ac:dyDescent="0.25">
      <c r="A266" s="53">
        <v>137</v>
      </c>
    </row>
    <row r="267" spans="1:1" ht="18.75" x14ac:dyDescent="0.25">
      <c r="A267" s="54" t="s">
        <v>196</v>
      </c>
    </row>
    <row r="268" spans="1:1" ht="18.75" x14ac:dyDescent="0.25">
      <c r="A268" s="53">
        <v>138</v>
      </c>
    </row>
    <row r="269" spans="1:1" ht="18.75" x14ac:dyDescent="0.25">
      <c r="A269" s="52">
        <v>139</v>
      </c>
    </row>
    <row r="270" spans="1:1" ht="18.75" x14ac:dyDescent="0.25">
      <c r="A270" s="53">
        <v>140</v>
      </c>
    </row>
    <row r="271" spans="1:1" ht="18.75" x14ac:dyDescent="0.25">
      <c r="A271" s="52">
        <v>141</v>
      </c>
    </row>
    <row r="272" spans="1:1" ht="18.75" x14ac:dyDescent="0.25">
      <c r="A272" s="55" t="s">
        <v>197</v>
      </c>
    </row>
    <row r="273" spans="1:1" ht="18.75" x14ac:dyDescent="0.25">
      <c r="A273" s="54" t="s">
        <v>198</v>
      </c>
    </row>
    <row r="274" spans="1:1" ht="18.75" x14ac:dyDescent="0.25">
      <c r="A274" s="53">
        <v>142</v>
      </c>
    </row>
    <row r="275" spans="1:1" ht="18.75" x14ac:dyDescent="0.25">
      <c r="A275" s="52">
        <v>143</v>
      </c>
    </row>
    <row r="276" spans="1:1" ht="18.75" x14ac:dyDescent="0.25">
      <c r="A276" s="53">
        <v>144</v>
      </c>
    </row>
    <row r="277" spans="1:1" ht="18.75" x14ac:dyDescent="0.25">
      <c r="A277" s="52">
        <v>145</v>
      </c>
    </row>
    <row r="278" spans="1:1" ht="18.75" x14ac:dyDescent="0.25">
      <c r="A278" s="55" t="s">
        <v>199</v>
      </c>
    </row>
    <row r="279" spans="1:1" ht="18.75" x14ac:dyDescent="0.25">
      <c r="A279" s="54" t="s">
        <v>200</v>
      </c>
    </row>
    <row r="280" spans="1:1" ht="18.75" x14ac:dyDescent="0.25">
      <c r="A280" s="55" t="s">
        <v>201</v>
      </c>
    </row>
    <row r="281" spans="1:1" ht="18.75" x14ac:dyDescent="0.25">
      <c r="A281" s="52">
        <v>146</v>
      </c>
    </row>
    <row r="282" spans="1:1" ht="18.75" x14ac:dyDescent="0.25">
      <c r="A282" s="53">
        <v>147</v>
      </c>
    </row>
    <row r="283" spans="1:1" ht="18.75" x14ac:dyDescent="0.25">
      <c r="A283" s="52">
        <v>148</v>
      </c>
    </row>
    <row r="284" spans="1:1" ht="18.75" x14ac:dyDescent="0.25">
      <c r="A284" s="53">
        <v>149</v>
      </c>
    </row>
    <row r="285" spans="1:1" ht="18.75" x14ac:dyDescent="0.25">
      <c r="A285" s="54" t="s">
        <v>202</v>
      </c>
    </row>
    <row r="286" spans="1:1" ht="18.75" x14ac:dyDescent="0.25">
      <c r="A286" s="53">
        <v>150</v>
      </c>
    </row>
    <row r="287" spans="1:1" ht="18.75" x14ac:dyDescent="0.25">
      <c r="A287" s="52">
        <v>151</v>
      </c>
    </row>
    <row r="288" spans="1:1" ht="18.75" x14ac:dyDescent="0.25">
      <c r="A288" s="55" t="s">
        <v>203</v>
      </c>
    </row>
    <row r="289" spans="1:1" ht="18.75" x14ac:dyDescent="0.25">
      <c r="A289" s="52">
        <v>152</v>
      </c>
    </row>
    <row r="290" spans="1:1" ht="18.75" x14ac:dyDescent="0.25">
      <c r="A290" s="53">
        <v>153</v>
      </c>
    </row>
    <row r="291" spans="1:1" ht="18.75" x14ac:dyDescent="0.25">
      <c r="A291" s="54" t="s">
        <v>204</v>
      </c>
    </row>
    <row r="292" spans="1:1" ht="18.75" x14ac:dyDescent="0.25">
      <c r="A292" s="55" t="s">
        <v>205</v>
      </c>
    </row>
    <row r="293" spans="1:1" ht="18.75" x14ac:dyDescent="0.25">
      <c r="A293" s="52">
        <v>154</v>
      </c>
    </row>
    <row r="294" spans="1:1" ht="18.75" x14ac:dyDescent="0.25">
      <c r="A294" s="55" t="s">
        <v>206</v>
      </c>
    </row>
    <row r="295" spans="1:1" ht="18.75" x14ac:dyDescent="0.25">
      <c r="A295" s="52">
        <v>155</v>
      </c>
    </row>
    <row r="296" spans="1:1" ht="18.75" x14ac:dyDescent="0.25">
      <c r="A296" s="55" t="s">
        <v>207</v>
      </c>
    </row>
    <row r="297" spans="1:1" ht="18.75" x14ac:dyDescent="0.25">
      <c r="A297" s="54" t="s">
        <v>208</v>
      </c>
    </row>
    <row r="298" spans="1:1" ht="18.75" x14ac:dyDescent="0.25">
      <c r="A298" s="53">
        <v>156</v>
      </c>
    </row>
    <row r="299" spans="1:1" ht="18.75" x14ac:dyDescent="0.25">
      <c r="A299" s="54" t="s">
        <v>209</v>
      </c>
    </row>
    <row r="300" spans="1:1" ht="18.75" x14ac:dyDescent="0.25">
      <c r="A300" s="55" t="s">
        <v>210</v>
      </c>
    </row>
    <row r="301" spans="1:1" ht="18.75" x14ac:dyDescent="0.25">
      <c r="A301" s="54" t="s">
        <v>211</v>
      </c>
    </row>
    <row r="302" spans="1:1" ht="18.75" x14ac:dyDescent="0.25">
      <c r="A302" s="55" t="s">
        <v>212</v>
      </c>
    </row>
    <row r="303" spans="1:1" ht="18.75" x14ac:dyDescent="0.25">
      <c r="A303" s="52">
        <v>157</v>
      </c>
    </row>
    <row r="304" spans="1:1" ht="18.75" x14ac:dyDescent="0.25">
      <c r="A304" s="53">
        <v>158</v>
      </c>
    </row>
    <row r="305" spans="1:1" ht="18.75" x14ac:dyDescent="0.25">
      <c r="A305" s="52">
        <v>159</v>
      </c>
    </row>
    <row r="306" spans="1:1" ht="18.75" x14ac:dyDescent="0.25">
      <c r="A306" s="55" t="s">
        <v>213</v>
      </c>
    </row>
    <row r="307" spans="1:1" ht="18.75" x14ac:dyDescent="0.25">
      <c r="A307" s="54" t="s">
        <v>214</v>
      </c>
    </row>
    <row r="308" spans="1:1" ht="18.75" x14ac:dyDescent="0.25">
      <c r="A308" s="55" t="s">
        <v>215</v>
      </c>
    </row>
    <row r="309" spans="1:1" ht="18.75" x14ac:dyDescent="0.25">
      <c r="A309" s="54" t="s">
        <v>216</v>
      </c>
    </row>
    <row r="310" spans="1:1" ht="18.75" x14ac:dyDescent="0.25">
      <c r="A310" s="55" t="s">
        <v>217</v>
      </c>
    </row>
    <row r="311" spans="1:1" ht="18.75" x14ac:dyDescent="0.25">
      <c r="A311" s="52">
        <v>160</v>
      </c>
    </row>
    <row r="312" spans="1:1" ht="18.75" x14ac:dyDescent="0.25">
      <c r="A312" s="53">
        <v>161</v>
      </c>
    </row>
    <row r="313" spans="1:1" ht="18.75" x14ac:dyDescent="0.25">
      <c r="A313" s="52">
        <v>162</v>
      </c>
    </row>
    <row r="314" spans="1:1" ht="18.75" x14ac:dyDescent="0.25">
      <c r="A314" s="53">
        <v>163</v>
      </c>
    </row>
    <row r="315" spans="1:1" ht="18.75" x14ac:dyDescent="0.25">
      <c r="A315" s="52">
        <v>164</v>
      </c>
    </row>
    <row r="316" spans="1:1" ht="18.75" x14ac:dyDescent="0.25">
      <c r="A316" s="53">
        <v>173</v>
      </c>
    </row>
    <row r="317" spans="1:1" ht="18.75" x14ac:dyDescent="0.25">
      <c r="A317" s="52">
        <v>165</v>
      </c>
    </row>
    <row r="318" spans="1:1" ht="18.75" x14ac:dyDescent="0.25">
      <c r="A318" s="53">
        <v>166</v>
      </c>
    </row>
    <row r="319" spans="1:1" ht="18.75" x14ac:dyDescent="0.25">
      <c r="A319" s="52">
        <v>167</v>
      </c>
    </row>
    <row r="320" spans="1:1" ht="18.75" x14ac:dyDescent="0.25">
      <c r="A320" s="55" t="s">
        <v>218</v>
      </c>
    </row>
    <row r="321" spans="1:1" ht="18.75" x14ac:dyDescent="0.25">
      <c r="A321" s="52">
        <v>168</v>
      </c>
    </row>
    <row r="322" spans="1:1" ht="18.75" x14ac:dyDescent="0.25">
      <c r="A322" s="53">
        <v>169</v>
      </c>
    </row>
    <row r="323" spans="1:1" ht="18.75" x14ac:dyDescent="0.25">
      <c r="A323" s="52">
        <v>170</v>
      </c>
    </row>
    <row r="324" spans="1:1" ht="18.75" x14ac:dyDescent="0.25">
      <c r="A324" s="53">
        <v>171</v>
      </c>
    </row>
    <row r="325" spans="1:1" ht="18.75" x14ac:dyDescent="0.25">
      <c r="A325" s="52">
        <v>172</v>
      </c>
    </row>
    <row r="326" spans="1:1" ht="18.75" x14ac:dyDescent="0.25">
      <c r="A326" s="53">
        <v>174</v>
      </c>
    </row>
    <row r="327" spans="1:1" ht="18.75" x14ac:dyDescent="0.25">
      <c r="A327" s="52">
        <v>175</v>
      </c>
    </row>
    <row r="328" spans="1:1" ht="18.75" x14ac:dyDescent="0.25">
      <c r="A328" s="53">
        <v>176</v>
      </c>
    </row>
    <row r="329" spans="1:1" ht="18.75" x14ac:dyDescent="0.25">
      <c r="A329" s="54" t="s">
        <v>219</v>
      </c>
    </row>
    <row r="330" spans="1:1" ht="18.75" x14ac:dyDescent="0.25">
      <c r="A330" s="53">
        <v>177</v>
      </c>
    </row>
    <row r="331" spans="1:1" ht="18.75" x14ac:dyDescent="0.25">
      <c r="A331" s="54" t="s">
        <v>220</v>
      </c>
    </row>
    <row r="332" spans="1:1" ht="18.75" x14ac:dyDescent="0.25">
      <c r="A332" s="53">
        <v>178</v>
      </c>
    </row>
    <row r="333" spans="1:1" ht="18.75" x14ac:dyDescent="0.25">
      <c r="A333" s="52">
        <v>179</v>
      </c>
    </row>
    <row r="334" spans="1:1" ht="18.75" x14ac:dyDescent="0.25">
      <c r="A334" s="53">
        <v>180</v>
      </c>
    </row>
    <row r="335" spans="1:1" ht="18.75" x14ac:dyDescent="0.25">
      <c r="A335" s="52">
        <v>181</v>
      </c>
    </row>
    <row r="336" spans="1:1" ht="18.75" x14ac:dyDescent="0.25">
      <c r="A336" s="53">
        <v>182</v>
      </c>
    </row>
    <row r="337" spans="1:1" ht="18.75" x14ac:dyDescent="0.25">
      <c r="A337" s="52">
        <v>183</v>
      </c>
    </row>
    <row r="338" spans="1:1" ht="18.75" x14ac:dyDescent="0.25">
      <c r="A338" s="55" t="s">
        <v>221</v>
      </c>
    </row>
    <row r="339" spans="1:1" ht="18.75" x14ac:dyDescent="0.25">
      <c r="A339" s="54" t="s">
        <v>222</v>
      </c>
    </row>
    <row r="340" spans="1:1" ht="18.75" x14ac:dyDescent="0.25">
      <c r="A340" s="53">
        <v>185</v>
      </c>
    </row>
    <row r="341" spans="1:1" ht="18.75" x14ac:dyDescent="0.25">
      <c r="A341" s="52">
        <v>186</v>
      </c>
    </row>
    <row r="342" spans="1:1" ht="18.75" x14ac:dyDescent="0.25">
      <c r="A342" s="53">
        <v>187</v>
      </c>
    </row>
    <row r="343" spans="1:1" ht="18.75" x14ac:dyDescent="0.25">
      <c r="A343" s="52">
        <v>188</v>
      </c>
    </row>
    <row r="344" spans="1:1" ht="18.75" x14ac:dyDescent="0.25">
      <c r="A344" s="53">
        <v>189</v>
      </c>
    </row>
    <row r="345" spans="1:1" ht="18.75" x14ac:dyDescent="0.25">
      <c r="A345" s="54" t="s">
        <v>223</v>
      </c>
    </row>
    <row r="346" spans="1:1" ht="18.75" x14ac:dyDescent="0.25">
      <c r="A346" s="55" t="s">
        <v>224</v>
      </c>
    </row>
    <row r="347" spans="1:1" ht="18.75" x14ac:dyDescent="0.25">
      <c r="A347" s="54" t="s">
        <v>225</v>
      </c>
    </row>
    <row r="348" spans="1:1" ht="18.75" x14ac:dyDescent="0.25">
      <c r="A348" s="53">
        <v>190</v>
      </c>
    </row>
    <row r="349" spans="1:1" ht="18.75" x14ac:dyDescent="0.25">
      <c r="A349" s="52">
        <v>191</v>
      </c>
    </row>
    <row r="350" spans="1:1" ht="18.75" x14ac:dyDescent="0.25">
      <c r="A350" s="53">
        <v>192</v>
      </c>
    </row>
    <row r="351" spans="1:1" ht="18.75" x14ac:dyDescent="0.25">
      <c r="A351" s="52">
        <v>193</v>
      </c>
    </row>
    <row r="352" spans="1:1" ht="18.75" x14ac:dyDescent="0.25">
      <c r="A352" s="55" t="s">
        <v>226</v>
      </c>
    </row>
    <row r="353" spans="1:1" ht="18.75" x14ac:dyDescent="0.25">
      <c r="A353" s="52">
        <v>194</v>
      </c>
    </row>
    <row r="354" spans="1:1" ht="18.75" x14ac:dyDescent="0.25">
      <c r="A354" s="53">
        <v>195</v>
      </c>
    </row>
    <row r="355" spans="1:1" ht="18.75" x14ac:dyDescent="0.25">
      <c r="A355" s="54" t="s">
        <v>227</v>
      </c>
    </row>
    <row r="356" spans="1:1" ht="18.75" x14ac:dyDescent="0.25">
      <c r="A356" s="55" t="s">
        <v>228</v>
      </c>
    </row>
    <row r="357" spans="1:1" ht="18.75" x14ac:dyDescent="0.25">
      <c r="A357" s="54" t="s">
        <v>229</v>
      </c>
    </row>
    <row r="358" spans="1:1" ht="18.75" x14ac:dyDescent="0.25">
      <c r="A358" s="55" t="s">
        <v>230</v>
      </c>
    </row>
    <row r="359" spans="1:1" ht="18.75" x14ac:dyDescent="0.25">
      <c r="A359" s="52">
        <v>196</v>
      </c>
    </row>
    <row r="360" spans="1:1" ht="18.75" x14ac:dyDescent="0.25">
      <c r="A360" s="55" t="s">
        <v>231</v>
      </c>
    </row>
    <row r="361" spans="1:1" ht="18.75" x14ac:dyDescent="0.25">
      <c r="A361" s="54" t="s">
        <v>232</v>
      </c>
    </row>
    <row r="362" spans="1:1" ht="18.75" x14ac:dyDescent="0.25">
      <c r="A362" s="55" t="s">
        <v>233</v>
      </c>
    </row>
    <row r="363" spans="1:1" ht="18.75" x14ac:dyDescent="0.25">
      <c r="A363" s="52">
        <v>197</v>
      </c>
    </row>
    <row r="364" spans="1:1" ht="18.75" x14ac:dyDescent="0.25">
      <c r="A364" s="53">
        <v>198</v>
      </c>
    </row>
    <row r="365" spans="1:1" ht="18.75" x14ac:dyDescent="0.25">
      <c r="A365" s="52">
        <v>199</v>
      </c>
    </row>
    <row r="366" spans="1:1" ht="18.75" x14ac:dyDescent="0.25">
      <c r="A366" s="55" t="s">
        <v>234</v>
      </c>
    </row>
    <row r="367" spans="1:1" ht="18.75" x14ac:dyDescent="0.25">
      <c r="A367" s="52">
        <v>200</v>
      </c>
    </row>
    <row r="368" spans="1:1" ht="18.75" x14ac:dyDescent="0.25">
      <c r="A368" s="55" t="s">
        <v>235</v>
      </c>
    </row>
    <row r="369" spans="1:1" ht="18.75" x14ac:dyDescent="0.25">
      <c r="A369" s="52">
        <v>201</v>
      </c>
    </row>
    <row r="370" spans="1:1" ht="18.75" x14ac:dyDescent="0.25">
      <c r="A370" s="55" t="s">
        <v>236</v>
      </c>
    </row>
    <row r="371" spans="1:1" ht="18.75" x14ac:dyDescent="0.25">
      <c r="A371" s="54" t="s">
        <v>237</v>
      </c>
    </row>
    <row r="372" spans="1:1" ht="18.75" x14ac:dyDescent="0.25">
      <c r="A372" s="53">
        <v>202</v>
      </c>
    </row>
    <row r="373" spans="1:1" ht="18.75" x14ac:dyDescent="0.25">
      <c r="A373" s="52">
        <v>203</v>
      </c>
    </row>
    <row r="374" spans="1:1" ht="18.75" x14ac:dyDescent="0.25">
      <c r="A374" s="55" t="s">
        <v>238</v>
      </c>
    </row>
    <row r="375" spans="1:1" ht="18.75" x14ac:dyDescent="0.25">
      <c r="A375" s="54" t="s">
        <v>239</v>
      </c>
    </row>
    <row r="376" spans="1:1" ht="18.75" x14ac:dyDescent="0.25">
      <c r="A376" s="53">
        <v>184</v>
      </c>
    </row>
    <row r="377" spans="1:1" ht="18.75" x14ac:dyDescent="0.25">
      <c r="A377" s="52">
        <v>204</v>
      </c>
    </row>
    <row r="378" spans="1:1" ht="18.75" x14ac:dyDescent="0.25">
      <c r="A378" s="55" t="s">
        <v>240</v>
      </c>
    </row>
    <row r="379" spans="1:1" ht="18.75" x14ac:dyDescent="0.25">
      <c r="A379" s="54" t="s">
        <v>241</v>
      </c>
    </row>
    <row r="380" spans="1:1" ht="18.75" x14ac:dyDescent="0.25">
      <c r="A380" s="55" t="s">
        <v>242</v>
      </c>
    </row>
    <row r="381" spans="1:1" ht="18.75" x14ac:dyDescent="0.25">
      <c r="A381" s="54" t="s">
        <v>243</v>
      </c>
    </row>
    <row r="382" spans="1:1" ht="18.75" x14ac:dyDescent="0.25">
      <c r="A382" s="55" t="s">
        <v>244</v>
      </c>
    </row>
    <row r="383" spans="1:1" ht="18.75" x14ac:dyDescent="0.25">
      <c r="A383" s="54" t="s">
        <v>245</v>
      </c>
    </row>
    <row r="384" spans="1:1" ht="18.75" x14ac:dyDescent="0.25">
      <c r="A384" s="53">
        <v>205</v>
      </c>
    </row>
    <row r="385" spans="1:1" ht="18.75" x14ac:dyDescent="0.25">
      <c r="A385" s="52">
        <v>206</v>
      </c>
    </row>
    <row r="386" spans="1:1" ht="18.75" x14ac:dyDescent="0.25">
      <c r="A386" s="53">
        <v>207</v>
      </c>
    </row>
    <row r="387" spans="1:1" ht="18.75" x14ac:dyDescent="0.25">
      <c r="A387" s="52">
        <v>208</v>
      </c>
    </row>
    <row r="388" spans="1:1" ht="18.75" x14ac:dyDescent="0.25">
      <c r="A388" s="53">
        <v>211</v>
      </c>
    </row>
    <row r="389" spans="1:1" ht="18.75" x14ac:dyDescent="0.25">
      <c r="A389" s="52">
        <v>209</v>
      </c>
    </row>
    <row r="390" spans="1:1" ht="18.75" x14ac:dyDescent="0.25">
      <c r="A390" s="53">
        <v>210</v>
      </c>
    </row>
    <row r="391" spans="1:1" ht="18.75" x14ac:dyDescent="0.25">
      <c r="A391" s="52">
        <v>212</v>
      </c>
    </row>
    <row r="392" spans="1:1" ht="18.75" x14ac:dyDescent="0.25">
      <c r="A392" s="55" t="s">
        <v>246</v>
      </c>
    </row>
    <row r="393" spans="1:1" ht="18.75" x14ac:dyDescent="0.25">
      <c r="A393" s="54" t="s">
        <v>247</v>
      </c>
    </row>
    <row r="394" spans="1:1" ht="18.75" x14ac:dyDescent="0.25">
      <c r="A394" s="55" t="s">
        <v>248</v>
      </c>
    </row>
    <row r="395" spans="1:1" ht="18.75" x14ac:dyDescent="0.25">
      <c r="A395" s="54" t="s">
        <v>249</v>
      </c>
    </row>
    <row r="396" spans="1:1" ht="18.75" x14ac:dyDescent="0.25">
      <c r="A396" s="55" t="s">
        <v>250</v>
      </c>
    </row>
    <row r="397" spans="1:1" ht="18.75" x14ac:dyDescent="0.25">
      <c r="A397" s="54" t="s">
        <v>251</v>
      </c>
    </row>
    <row r="398" spans="1:1" ht="18.75" x14ac:dyDescent="0.25">
      <c r="A398" s="55" t="s">
        <v>252</v>
      </c>
    </row>
    <row r="399" spans="1:1" ht="18.75" x14ac:dyDescent="0.25">
      <c r="A399" s="52">
        <v>213</v>
      </c>
    </row>
    <row r="400" spans="1:1" ht="18.75" x14ac:dyDescent="0.25">
      <c r="A400" s="53">
        <v>214</v>
      </c>
    </row>
    <row r="401" spans="1:1" ht="18.75" x14ac:dyDescent="0.25">
      <c r="A401" s="52">
        <v>215</v>
      </c>
    </row>
    <row r="402" spans="1:1" ht="18.75" x14ac:dyDescent="0.25">
      <c r="A402" s="53">
        <v>216</v>
      </c>
    </row>
    <row r="403" spans="1:1" ht="18.75" x14ac:dyDescent="0.25">
      <c r="A403" s="52">
        <v>217</v>
      </c>
    </row>
    <row r="404" spans="1:1" ht="18.75" x14ac:dyDescent="0.25">
      <c r="A404" s="55" t="s">
        <v>253</v>
      </c>
    </row>
    <row r="405" spans="1:1" ht="18.75" x14ac:dyDescent="0.25">
      <c r="A405" s="54" t="s">
        <v>254</v>
      </c>
    </row>
    <row r="406" spans="1:1" ht="18.75" x14ac:dyDescent="0.25">
      <c r="A406" s="53">
        <v>218</v>
      </c>
    </row>
    <row r="407" spans="1:1" ht="18.75" x14ac:dyDescent="0.25">
      <c r="A407" s="52">
        <v>219</v>
      </c>
    </row>
    <row r="408" spans="1:1" ht="18.75" x14ac:dyDescent="0.25">
      <c r="A408" s="53">
        <v>220</v>
      </c>
    </row>
    <row r="409" spans="1:1" ht="18.75" x14ac:dyDescent="0.25">
      <c r="A409" s="52">
        <v>221</v>
      </c>
    </row>
    <row r="410" spans="1:1" ht="18.75" x14ac:dyDescent="0.25">
      <c r="A410" s="53">
        <v>222</v>
      </c>
    </row>
    <row r="411" spans="1:1" ht="18.75" x14ac:dyDescent="0.25">
      <c r="A411" s="54" t="s">
        <v>255</v>
      </c>
    </row>
    <row r="412" spans="1:1" ht="18.75" x14ac:dyDescent="0.25">
      <c r="A412" s="53">
        <v>223</v>
      </c>
    </row>
    <row r="413" spans="1:1" ht="18.75" x14ac:dyDescent="0.25">
      <c r="A413" s="52">
        <v>224</v>
      </c>
    </row>
    <row r="414" spans="1:1" ht="18.75" x14ac:dyDescent="0.25">
      <c r="A414" s="53">
        <v>225</v>
      </c>
    </row>
    <row r="415" spans="1:1" ht="18.75" x14ac:dyDescent="0.25">
      <c r="A415" s="52">
        <v>227</v>
      </c>
    </row>
    <row r="416" spans="1:1" ht="18.75" x14ac:dyDescent="0.25">
      <c r="A416" s="53">
        <v>226</v>
      </c>
    </row>
    <row r="417" spans="1:1" ht="18.75" x14ac:dyDescent="0.25">
      <c r="A417" s="52">
        <v>228</v>
      </c>
    </row>
    <row r="418" spans="1:1" ht="18.75" x14ac:dyDescent="0.25">
      <c r="A418" s="55" t="s">
        <v>256</v>
      </c>
    </row>
    <row r="419" spans="1:1" ht="18.75" x14ac:dyDescent="0.25">
      <c r="A419" s="52">
        <v>229</v>
      </c>
    </row>
    <row r="420" spans="1:1" ht="18.75" x14ac:dyDescent="0.25">
      <c r="A420" s="53">
        <v>230</v>
      </c>
    </row>
    <row r="421" spans="1:1" ht="18.75" x14ac:dyDescent="0.25">
      <c r="A421" s="52">
        <v>231</v>
      </c>
    </row>
    <row r="422" spans="1:1" ht="18.75" x14ac:dyDescent="0.25">
      <c r="A422" s="53">
        <v>232</v>
      </c>
    </row>
    <row r="423" spans="1:1" ht="18.75" x14ac:dyDescent="0.25">
      <c r="A423" s="52">
        <v>233</v>
      </c>
    </row>
    <row r="424" spans="1:1" ht="18.75" x14ac:dyDescent="0.25">
      <c r="A424" s="55" t="s">
        <v>257</v>
      </c>
    </row>
    <row r="425" spans="1:1" ht="18.75" x14ac:dyDescent="0.25">
      <c r="A425" s="54" t="s">
        <v>258</v>
      </c>
    </row>
    <row r="426" spans="1:1" ht="18.75" x14ac:dyDescent="0.25">
      <c r="A426" s="55" t="s">
        <v>259</v>
      </c>
    </row>
    <row r="427" spans="1:1" ht="18.75" x14ac:dyDescent="0.25">
      <c r="A427" s="54" t="s">
        <v>260</v>
      </c>
    </row>
    <row r="428" spans="1:1" ht="18.75" x14ac:dyDescent="0.25">
      <c r="A428" s="55" t="s">
        <v>261</v>
      </c>
    </row>
    <row r="429" spans="1:1" ht="18.75" x14ac:dyDescent="0.25">
      <c r="A429" s="52">
        <v>234</v>
      </c>
    </row>
    <row r="430" spans="1:1" ht="18.75" x14ac:dyDescent="0.25">
      <c r="A430" s="53">
        <v>235</v>
      </c>
    </row>
    <row r="431" spans="1:1" ht="18.75" x14ac:dyDescent="0.25">
      <c r="A431" s="54" t="s">
        <v>262</v>
      </c>
    </row>
    <row r="432" spans="1:1" ht="18.75" x14ac:dyDescent="0.25">
      <c r="A432" s="55" t="s">
        <v>263</v>
      </c>
    </row>
    <row r="433" spans="1:1" ht="18.75" x14ac:dyDescent="0.25">
      <c r="A433" s="54" t="s">
        <v>264</v>
      </c>
    </row>
    <row r="434" spans="1:1" ht="18.75" x14ac:dyDescent="0.25">
      <c r="A434" s="55" t="s">
        <v>265</v>
      </c>
    </row>
    <row r="435" spans="1:1" ht="18.75" x14ac:dyDescent="0.25">
      <c r="A435" s="52">
        <v>236</v>
      </c>
    </row>
    <row r="436" spans="1:1" ht="18.75" x14ac:dyDescent="0.25">
      <c r="A436" s="53">
        <v>237</v>
      </c>
    </row>
    <row r="437" spans="1:1" ht="18.75" x14ac:dyDescent="0.25">
      <c r="A437" s="52">
        <v>238</v>
      </c>
    </row>
    <row r="438" spans="1:1" ht="18.75" x14ac:dyDescent="0.25">
      <c r="A438" s="55" t="s">
        <v>266</v>
      </c>
    </row>
    <row r="439" spans="1:1" ht="18.75" x14ac:dyDescent="0.25">
      <c r="A439" s="54" t="s">
        <v>267</v>
      </c>
    </row>
    <row r="440" spans="1:1" ht="18.75" x14ac:dyDescent="0.25">
      <c r="A440" s="55" t="s">
        <v>268</v>
      </c>
    </row>
    <row r="441" spans="1:1" ht="18.75" x14ac:dyDescent="0.25">
      <c r="A441" s="54" t="s">
        <v>269</v>
      </c>
    </row>
    <row r="442" spans="1:1" ht="18.75" x14ac:dyDescent="0.25">
      <c r="A442" s="53">
        <v>239</v>
      </c>
    </row>
    <row r="443" spans="1:1" ht="18.75" x14ac:dyDescent="0.25">
      <c r="A443" s="52">
        <v>240</v>
      </c>
    </row>
    <row r="444" spans="1:1" ht="18.75" x14ac:dyDescent="0.25">
      <c r="A444" s="53">
        <v>241</v>
      </c>
    </row>
    <row r="445" spans="1:1" ht="18.75" x14ac:dyDescent="0.25">
      <c r="A445" s="52">
        <v>242</v>
      </c>
    </row>
    <row r="446" spans="1:1" ht="18.75" x14ac:dyDescent="0.25">
      <c r="A446" s="53">
        <v>244</v>
      </c>
    </row>
    <row r="447" spans="1:1" ht="18.75" x14ac:dyDescent="0.25">
      <c r="A447" s="54" t="s">
        <v>270</v>
      </c>
    </row>
    <row r="448" spans="1:1" ht="18.75" x14ac:dyDescent="0.25">
      <c r="A448" s="53">
        <v>243</v>
      </c>
    </row>
    <row r="449" spans="1:1" ht="18.75" x14ac:dyDescent="0.25">
      <c r="A449" s="54" t="s">
        <v>271</v>
      </c>
    </row>
    <row r="450" spans="1:1" ht="18.75" x14ac:dyDescent="0.25">
      <c r="A450" s="55" t="s">
        <v>272</v>
      </c>
    </row>
    <row r="451" spans="1:1" ht="18.75" x14ac:dyDescent="0.25">
      <c r="A451" s="54" t="s">
        <v>273</v>
      </c>
    </row>
    <row r="452" spans="1:1" ht="18.75" x14ac:dyDescent="0.25">
      <c r="A452" s="53">
        <v>245</v>
      </c>
    </row>
    <row r="453" spans="1:1" ht="18.75" x14ac:dyDescent="0.25">
      <c r="A453" s="54" t="s">
        <v>274</v>
      </c>
    </row>
    <row r="454" spans="1:1" ht="18.75" x14ac:dyDescent="0.25">
      <c r="A454" s="55" t="s">
        <v>275</v>
      </c>
    </row>
    <row r="455" spans="1:1" ht="18.75" x14ac:dyDescent="0.25">
      <c r="A455" s="52">
        <v>246</v>
      </c>
    </row>
    <row r="456" spans="1:1" ht="18.75" x14ac:dyDescent="0.25">
      <c r="A456" s="55" t="s">
        <v>276</v>
      </c>
    </row>
    <row r="457" spans="1:1" ht="18.75" x14ac:dyDescent="0.25">
      <c r="A457" s="54" t="s">
        <v>277</v>
      </c>
    </row>
    <row r="458" spans="1:1" ht="18.75" x14ac:dyDescent="0.25">
      <c r="A458" s="55" t="s">
        <v>278</v>
      </c>
    </row>
    <row r="459" spans="1:1" ht="18.75" x14ac:dyDescent="0.25">
      <c r="A459" s="52">
        <v>247</v>
      </c>
    </row>
    <row r="460" spans="1:1" ht="18.75" x14ac:dyDescent="0.25">
      <c r="A460" s="53">
        <v>249</v>
      </c>
    </row>
    <row r="461" spans="1:1" ht="18.75" x14ac:dyDescent="0.25">
      <c r="A461" s="54" t="s">
        <v>279</v>
      </c>
    </row>
    <row r="462" spans="1:1" ht="18.75" x14ac:dyDescent="0.25">
      <c r="A462" s="55" t="s">
        <v>280</v>
      </c>
    </row>
    <row r="463" spans="1:1" ht="18.75" x14ac:dyDescent="0.25">
      <c r="A463" s="54" t="s">
        <v>281</v>
      </c>
    </row>
    <row r="464" spans="1:1" ht="18.75" x14ac:dyDescent="0.25">
      <c r="A464" s="55" t="s">
        <v>282</v>
      </c>
    </row>
    <row r="465" spans="1:1" ht="18.75" x14ac:dyDescent="0.25">
      <c r="A465" s="54" t="s">
        <v>283</v>
      </c>
    </row>
    <row r="466" spans="1:1" ht="18.75" x14ac:dyDescent="0.25">
      <c r="A466" s="53">
        <v>248</v>
      </c>
    </row>
    <row r="467" spans="1:1" ht="18.75" x14ac:dyDescent="0.25">
      <c r="A467" s="52">
        <v>250</v>
      </c>
    </row>
    <row r="468" spans="1:1" ht="18.75" x14ac:dyDescent="0.25">
      <c r="A468" s="55" t="s">
        <v>284</v>
      </c>
    </row>
    <row r="469" spans="1:1" ht="18.75" x14ac:dyDescent="0.25">
      <c r="A469" s="52">
        <v>253</v>
      </c>
    </row>
    <row r="470" spans="1:1" ht="18.75" x14ac:dyDescent="0.25">
      <c r="A470" s="53">
        <v>254</v>
      </c>
    </row>
    <row r="471" spans="1:1" ht="18.75" x14ac:dyDescent="0.25">
      <c r="A471" s="52">
        <v>255</v>
      </c>
    </row>
    <row r="472" spans="1:1" ht="18.75" x14ac:dyDescent="0.25">
      <c r="A472" s="55" t="s">
        <v>285</v>
      </c>
    </row>
    <row r="473" spans="1:1" ht="18.75" x14ac:dyDescent="0.25">
      <c r="A473" s="54" t="s">
        <v>286</v>
      </c>
    </row>
    <row r="474" spans="1:1" ht="18.75" x14ac:dyDescent="0.25">
      <c r="A474" s="55" t="s">
        <v>287</v>
      </c>
    </row>
    <row r="475" spans="1:1" ht="18.75" x14ac:dyDescent="0.25">
      <c r="A475" s="54" t="s">
        <v>288</v>
      </c>
    </row>
    <row r="476" spans="1:1" ht="18.75" x14ac:dyDescent="0.25">
      <c r="A476" s="55" t="s">
        <v>289</v>
      </c>
    </row>
    <row r="477" spans="1:1" ht="18.75" x14ac:dyDescent="0.25">
      <c r="A477" s="52">
        <v>251</v>
      </c>
    </row>
    <row r="478" spans="1:1" ht="18.75" x14ac:dyDescent="0.25">
      <c r="A478" s="53">
        <v>256</v>
      </c>
    </row>
    <row r="479" spans="1:1" ht="18.75" x14ac:dyDescent="0.25">
      <c r="A479" s="52">
        <v>252</v>
      </c>
    </row>
    <row r="480" spans="1:1" ht="18.75" x14ac:dyDescent="0.25">
      <c r="A480" s="53">
        <v>257</v>
      </c>
    </row>
    <row r="481" spans="1:1" ht="18.75" x14ac:dyDescent="0.25">
      <c r="A481" s="52">
        <v>258</v>
      </c>
    </row>
    <row r="482" spans="1:1" ht="18.75" x14ac:dyDescent="0.25">
      <c r="A482" s="53">
        <v>259</v>
      </c>
    </row>
    <row r="483" spans="1:1" ht="18.75" x14ac:dyDescent="0.25">
      <c r="A483" s="52">
        <v>260</v>
      </c>
    </row>
    <row r="484" spans="1:1" ht="18.75" x14ac:dyDescent="0.25">
      <c r="A484" s="55" t="s">
        <v>290</v>
      </c>
    </row>
    <row r="485" spans="1:1" ht="18.75" x14ac:dyDescent="0.25">
      <c r="A485" s="54" t="s">
        <v>291</v>
      </c>
    </row>
    <row r="486" spans="1:1" ht="18.75" x14ac:dyDescent="0.25">
      <c r="A486" s="53">
        <v>261</v>
      </c>
    </row>
    <row r="487" spans="1:1" ht="18.75" x14ac:dyDescent="0.25">
      <c r="A487" s="52">
        <v>264</v>
      </c>
    </row>
    <row r="488" spans="1:1" ht="18.75" x14ac:dyDescent="0.25">
      <c r="A488" s="53">
        <v>265</v>
      </c>
    </row>
    <row r="489" spans="1:1" ht="18.75" x14ac:dyDescent="0.25">
      <c r="A489" s="54" t="s">
        <v>292</v>
      </c>
    </row>
    <row r="490" spans="1:1" ht="18.75" x14ac:dyDescent="0.25">
      <c r="A490" s="53">
        <v>263</v>
      </c>
    </row>
    <row r="491" spans="1:1" ht="18.75" x14ac:dyDescent="0.25">
      <c r="A491" s="52">
        <v>266</v>
      </c>
    </row>
    <row r="492" spans="1:1" ht="18.75" x14ac:dyDescent="0.25">
      <c r="A492" s="53">
        <v>267</v>
      </c>
    </row>
    <row r="493" spans="1:1" ht="18.75" x14ac:dyDescent="0.25">
      <c r="A493" s="52">
        <v>270</v>
      </c>
    </row>
    <row r="494" spans="1:1" ht="18.75" x14ac:dyDescent="0.25">
      <c r="A494" s="53">
        <v>269</v>
      </c>
    </row>
    <row r="495" spans="1:1" ht="18.75" x14ac:dyDescent="0.25">
      <c r="A495" s="52">
        <v>268</v>
      </c>
    </row>
    <row r="496" spans="1:1" ht="18.75" x14ac:dyDescent="0.25">
      <c r="A496" s="53">
        <v>271</v>
      </c>
    </row>
    <row r="497" spans="1:1" ht="18.75" x14ac:dyDescent="0.25">
      <c r="A497" s="54" t="s">
        <v>293</v>
      </c>
    </row>
    <row r="498" spans="1:1" ht="18.75" x14ac:dyDescent="0.25">
      <c r="A498" s="55" t="s">
        <v>294</v>
      </c>
    </row>
    <row r="499" spans="1:1" ht="18.75" x14ac:dyDescent="0.25">
      <c r="A499" s="54" t="s">
        <v>295</v>
      </c>
    </row>
    <row r="500" spans="1:1" ht="18.75" x14ac:dyDescent="0.25">
      <c r="A500" s="55" t="s">
        <v>296</v>
      </c>
    </row>
    <row r="501" spans="1:1" ht="18.75" x14ac:dyDescent="0.25">
      <c r="A501" s="52">
        <v>262</v>
      </c>
    </row>
    <row r="502" spans="1:1" ht="18.75" x14ac:dyDescent="0.25">
      <c r="A502" s="53">
        <v>272</v>
      </c>
    </row>
    <row r="503" spans="1:1" ht="18.75" x14ac:dyDescent="0.25">
      <c r="A503" s="52">
        <v>273</v>
      </c>
    </row>
    <row r="504" spans="1:1" ht="18.75" x14ac:dyDescent="0.25">
      <c r="A504" s="53">
        <v>274</v>
      </c>
    </row>
    <row r="505" spans="1:1" ht="18.75" x14ac:dyDescent="0.25">
      <c r="A505" s="52">
        <v>275</v>
      </c>
    </row>
    <row r="506" spans="1:1" ht="18.75" x14ac:dyDescent="0.25">
      <c r="A506" s="55" t="s">
        <v>297</v>
      </c>
    </row>
    <row r="507" spans="1:1" ht="18.75" x14ac:dyDescent="0.25">
      <c r="A507" s="54" t="s">
        <v>298</v>
      </c>
    </row>
    <row r="508" spans="1:1" ht="18.75" x14ac:dyDescent="0.25">
      <c r="A508" s="53">
        <v>276</v>
      </c>
    </row>
    <row r="509" spans="1:1" ht="18.75" x14ac:dyDescent="0.25">
      <c r="A509" s="52">
        <v>278</v>
      </c>
    </row>
    <row r="510" spans="1:1" ht="18.75" x14ac:dyDescent="0.25">
      <c r="A510" s="53">
        <v>279</v>
      </c>
    </row>
    <row r="511" spans="1:1" ht="18.75" x14ac:dyDescent="0.25">
      <c r="A511" s="52">
        <v>280</v>
      </c>
    </row>
    <row r="512" spans="1:1" ht="18.75" x14ac:dyDescent="0.25">
      <c r="A512" s="53">
        <v>282</v>
      </c>
    </row>
    <row r="513" spans="1:1" ht="18.75" x14ac:dyDescent="0.25">
      <c r="A513" s="52">
        <v>283</v>
      </c>
    </row>
    <row r="514" spans="1:1" ht="18.75" x14ac:dyDescent="0.25">
      <c r="A514" s="53">
        <v>277</v>
      </c>
    </row>
    <row r="515" spans="1:1" ht="18.75" x14ac:dyDescent="0.25">
      <c r="A515" s="52">
        <v>281</v>
      </c>
    </row>
    <row r="516" spans="1:1" ht="18.75" x14ac:dyDescent="0.25">
      <c r="A516" s="53">
        <v>284</v>
      </c>
    </row>
    <row r="517" spans="1:1" ht="18.75" x14ac:dyDescent="0.25">
      <c r="A517" s="52">
        <v>288</v>
      </c>
    </row>
    <row r="518" spans="1:1" ht="18.75" x14ac:dyDescent="0.25">
      <c r="A518" s="55" t="s">
        <v>299</v>
      </c>
    </row>
    <row r="519" spans="1:1" ht="18.75" x14ac:dyDescent="0.25">
      <c r="A519" s="54" t="s">
        <v>300</v>
      </c>
    </row>
    <row r="520" spans="1:1" ht="18.75" x14ac:dyDescent="0.25">
      <c r="A520" s="55" t="s">
        <v>301</v>
      </c>
    </row>
    <row r="521" spans="1:1" ht="18.75" x14ac:dyDescent="0.25">
      <c r="A521" s="54" t="s">
        <v>302</v>
      </c>
    </row>
    <row r="522" spans="1:1" ht="18.75" x14ac:dyDescent="0.25">
      <c r="A522" s="55" t="s">
        <v>303</v>
      </c>
    </row>
    <row r="523" spans="1:1" ht="18.75" x14ac:dyDescent="0.25">
      <c r="A523" s="52">
        <v>289</v>
      </c>
    </row>
    <row r="524" spans="1:1" ht="18.75" x14ac:dyDescent="0.25">
      <c r="A524" s="55" t="s">
        <v>304</v>
      </c>
    </row>
    <row r="525" spans="1:1" ht="18.75" x14ac:dyDescent="0.25">
      <c r="A525" s="54" t="s">
        <v>305</v>
      </c>
    </row>
    <row r="526" spans="1:1" ht="18.75" x14ac:dyDescent="0.25">
      <c r="A526" s="53">
        <v>285</v>
      </c>
    </row>
    <row r="527" spans="1:1" ht="18.75" x14ac:dyDescent="0.25">
      <c r="A527" s="52">
        <v>286</v>
      </c>
    </row>
    <row r="528" spans="1:1" ht="18.75" x14ac:dyDescent="0.25">
      <c r="A528" s="53">
        <v>287</v>
      </c>
    </row>
    <row r="529" spans="1:1" ht="18.75" x14ac:dyDescent="0.25">
      <c r="A529" s="52">
        <v>290</v>
      </c>
    </row>
    <row r="530" spans="1:1" ht="18.75" x14ac:dyDescent="0.25">
      <c r="A530" s="55" t="s">
        <v>306</v>
      </c>
    </row>
    <row r="531" spans="1:1" ht="18.75" x14ac:dyDescent="0.25">
      <c r="A531" s="52">
        <v>294</v>
      </c>
    </row>
    <row r="532" spans="1:1" ht="18.75" x14ac:dyDescent="0.25">
      <c r="A532" s="53">
        <v>292</v>
      </c>
    </row>
    <row r="533" spans="1:1" ht="18.75" x14ac:dyDescent="0.25">
      <c r="A533" s="54" t="s">
        <v>307</v>
      </c>
    </row>
    <row r="534" spans="1:1" ht="18.75" x14ac:dyDescent="0.25">
      <c r="A534" s="55" t="s">
        <v>308</v>
      </c>
    </row>
    <row r="535" spans="1:1" ht="18.75" x14ac:dyDescent="0.25">
      <c r="A535" s="54" t="s">
        <v>309</v>
      </c>
    </row>
    <row r="536" spans="1:1" ht="18.75" x14ac:dyDescent="0.25">
      <c r="A536" s="55" t="s">
        <v>310</v>
      </c>
    </row>
    <row r="537" spans="1:1" ht="18.75" x14ac:dyDescent="0.25">
      <c r="A537" s="54" t="s">
        <v>311</v>
      </c>
    </row>
    <row r="538" spans="1:1" ht="18.75" x14ac:dyDescent="0.25">
      <c r="A538" s="55" t="s">
        <v>312</v>
      </c>
    </row>
    <row r="539" spans="1:1" ht="18.75" x14ac:dyDescent="0.25">
      <c r="A539" s="54" t="s">
        <v>313</v>
      </c>
    </row>
    <row r="540" spans="1:1" ht="18.75" x14ac:dyDescent="0.25">
      <c r="A540" s="55" t="s">
        <v>314</v>
      </c>
    </row>
    <row r="541" spans="1:1" ht="18.75" x14ac:dyDescent="0.25">
      <c r="A541" s="54" t="s">
        <v>315</v>
      </c>
    </row>
    <row r="542" spans="1:1" ht="18.75" x14ac:dyDescent="0.25">
      <c r="A542" s="53">
        <v>293</v>
      </c>
    </row>
    <row r="543" spans="1:1" ht="18.75" x14ac:dyDescent="0.25">
      <c r="A543" s="54" t="s">
        <v>316</v>
      </c>
    </row>
    <row r="544" spans="1:1" ht="18.75" x14ac:dyDescent="0.25">
      <c r="A544" s="55" t="s">
        <v>317</v>
      </c>
    </row>
    <row r="545" spans="1:1" ht="18.75" x14ac:dyDescent="0.25">
      <c r="A545" s="54" t="s">
        <v>318</v>
      </c>
    </row>
    <row r="546" spans="1:1" ht="18.75" x14ac:dyDescent="0.25">
      <c r="A546" s="55" t="s">
        <v>319</v>
      </c>
    </row>
    <row r="547" spans="1:1" ht="18.75" x14ac:dyDescent="0.25">
      <c r="A547" s="52">
        <v>291</v>
      </c>
    </row>
    <row r="548" spans="1:1" ht="18.75" x14ac:dyDescent="0.25">
      <c r="A548" s="53">
        <v>295</v>
      </c>
    </row>
    <row r="549" spans="1:1" ht="18.75" x14ac:dyDescent="0.25">
      <c r="A549" s="52">
        <v>296</v>
      </c>
    </row>
    <row r="550" spans="1:1" ht="18.75" x14ac:dyDescent="0.25">
      <c r="A550" s="53">
        <v>297</v>
      </c>
    </row>
    <row r="551" spans="1:1" ht="18.75" x14ac:dyDescent="0.25">
      <c r="A551" s="52">
        <v>298</v>
      </c>
    </row>
    <row r="552" spans="1:1" ht="18.75" x14ac:dyDescent="0.25">
      <c r="A552" s="53">
        <v>299</v>
      </c>
    </row>
    <row r="553" spans="1:1" ht="18.75" x14ac:dyDescent="0.25">
      <c r="A553" s="54" t="s">
        <v>320</v>
      </c>
    </row>
    <row r="554" spans="1:1" ht="18.75" x14ac:dyDescent="0.25">
      <c r="A554" s="55" t="s">
        <v>321</v>
      </c>
    </row>
    <row r="555" spans="1:1" ht="18.75" x14ac:dyDescent="0.25">
      <c r="A555" s="54" t="s">
        <v>322</v>
      </c>
    </row>
    <row r="556" spans="1:1" ht="18.75" x14ac:dyDescent="0.25">
      <c r="A556" s="55" t="s">
        <v>323</v>
      </c>
    </row>
    <row r="557" spans="1:1" ht="18.75" x14ac:dyDescent="0.25">
      <c r="A557" s="54" t="s">
        <v>324</v>
      </c>
    </row>
    <row r="558" spans="1:1" ht="18.75" x14ac:dyDescent="0.25">
      <c r="A558" s="53">
        <v>300</v>
      </c>
    </row>
    <row r="559" spans="1:1" ht="18.75" x14ac:dyDescent="0.25">
      <c r="A559" s="54" t="s">
        <v>325</v>
      </c>
    </row>
    <row r="560" spans="1:1" ht="18.75" x14ac:dyDescent="0.25">
      <c r="A560" s="55" t="s">
        <v>326</v>
      </c>
    </row>
    <row r="561" spans="1:1" ht="18.75" x14ac:dyDescent="0.25">
      <c r="A561" s="54" t="s">
        <v>327</v>
      </c>
    </row>
    <row r="562" spans="1:1" ht="18.75" x14ac:dyDescent="0.25">
      <c r="A562" s="55" t="s">
        <v>328</v>
      </c>
    </row>
    <row r="563" spans="1:1" ht="18.75" x14ac:dyDescent="0.25">
      <c r="A563" s="54" t="s">
        <v>329</v>
      </c>
    </row>
    <row r="564" spans="1:1" ht="18.75" x14ac:dyDescent="0.25">
      <c r="A564" s="55" t="s">
        <v>330</v>
      </c>
    </row>
    <row r="565" spans="1:1" ht="18.75" x14ac:dyDescent="0.25">
      <c r="A565" s="54" t="s">
        <v>331</v>
      </c>
    </row>
    <row r="566" spans="1:1" ht="18.75" x14ac:dyDescent="0.25">
      <c r="A566" s="55" t="s">
        <v>332</v>
      </c>
    </row>
    <row r="567" spans="1:1" ht="18.75" x14ac:dyDescent="0.25">
      <c r="A567" s="54" t="s">
        <v>333</v>
      </c>
    </row>
    <row r="568" spans="1:1" ht="18.75" x14ac:dyDescent="0.25">
      <c r="A568" s="55" t="s">
        <v>334</v>
      </c>
    </row>
    <row r="569" spans="1:1" ht="18.75" x14ac:dyDescent="0.25">
      <c r="A569" s="54" t="s">
        <v>335</v>
      </c>
    </row>
    <row r="570" spans="1:1" ht="18.75" x14ac:dyDescent="0.25">
      <c r="A570" s="53">
        <v>301</v>
      </c>
    </row>
    <row r="571" spans="1:1" ht="18.75" x14ac:dyDescent="0.25">
      <c r="A571" s="54" t="s">
        <v>336</v>
      </c>
    </row>
    <row r="572" spans="1:1" ht="18.75" x14ac:dyDescent="0.25">
      <c r="A572" s="53">
        <v>302</v>
      </c>
    </row>
    <row r="573" spans="1:1" ht="18.75" x14ac:dyDescent="0.25">
      <c r="A573" s="52">
        <v>303</v>
      </c>
    </row>
    <row r="574" spans="1:1" ht="18.75" x14ac:dyDescent="0.25">
      <c r="A574" s="53">
        <v>304</v>
      </c>
    </row>
    <row r="575" spans="1:1" ht="18.75" x14ac:dyDescent="0.25">
      <c r="A575" s="54" t="s">
        <v>337</v>
      </c>
    </row>
    <row r="576" spans="1:1" ht="18.75" x14ac:dyDescent="0.25">
      <c r="A576" s="55" t="s">
        <v>338</v>
      </c>
    </row>
    <row r="577" spans="1:1" ht="18.75" x14ac:dyDescent="0.25">
      <c r="A577" s="52">
        <v>305</v>
      </c>
    </row>
    <row r="578" spans="1:1" ht="18.75" x14ac:dyDescent="0.25">
      <c r="A578" s="53">
        <v>306</v>
      </c>
    </row>
    <row r="579" spans="1:1" ht="18.75" x14ac:dyDescent="0.25">
      <c r="A579" s="54" t="s">
        <v>339</v>
      </c>
    </row>
    <row r="580" spans="1:1" ht="18.75" x14ac:dyDescent="0.25">
      <c r="A580" s="55" t="s">
        <v>340</v>
      </c>
    </row>
    <row r="581" spans="1:1" ht="18.75" x14ac:dyDescent="0.25">
      <c r="A581" s="54" t="s">
        <v>341</v>
      </c>
    </row>
    <row r="582" spans="1:1" ht="18.75" x14ac:dyDescent="0.25">
      <c r="A582" s="55" t="s">
        <v>342</v>
      </c>
    </row>
    <row r="583" spans="1:1" ht="18.75" x14ac:dyDescent="0.25">
      <c r="A583" s="54" t="s">
        <v>343</v>
      </c>
    </row>
    <row r="584" spans="1:1" ht="18.75" x14ac:dyDescent="0.25">
      <c r="A584" s="53">
        <v>309</v>
      </c>
    </row>
    <row r="585" spans="1:1" ht="18.75" x14ac:dyDescent="0.25">
      <c r="A585" s="54" t="s">
        <v>344</v>
      </c>
    </row>
    <row r="586" spans="1:1" ht="18.75" x14ac:dyDescent="0.25">
      <c r="A586" s="55" t="s">
        <v>345</v>
      </c>
    </row>
    <row r="587" spans="1:1" ht="18.75" x14ac:dyDescent="0.25">
      <c r="A587" s="54" t="s">
        <v>346</v>
      </c>
    </row>
    <row r="588" spans="1:1" ht="18.75" x14ac:dyDescent="0.25">
      <c r="A588" s="53">
        <v>307</v>
      </c>
    </row>
    <row r="589" spans="1:1" ht="18.75" x14ac:dyDescent="0.25">
      <c r="A589" s="54" t="s">
        <v>347</v>
      </c>
    </row>
    <row r="590" spans="1:1" ht="18.75" x14ac:dyDescent="0.25">
      <c r="A590" s="53">
        <v>310</v>
      </c>
    </row>
    <row r="591" spans="1:1" ht="18.75" x14ac:dyDescent="0.25">
      <c r="A591" s="52">
        <v>312</v>
      </c>
    </row>
    <row r="592" spans="1:1" ht="18.75" x14ac:dyDescent="0.25">
      <c r="A592" s="55" t="s">
        <v>348</v>
      </c>
    </row>
    <row r="593" spans="1:1" ht="18.75" x14ac:dyDescent="0.25">
      <c r="A593" s="52">
        <v>311</v>
      </c>
    </row>
    <row r="594" spans="1:1" ht="18.75" x14ac:dyDescent="0.25">
      <c r="A594" s="55" t="s">
        <v>349</v>
      </c>
    </row>
    <row r="595" spans="1:1" ht="18.75" x14ac:dyDescent="0.25">
      <c r="A595" s="54" t="s">
        <v>350</v>
      </c>
    </row>
    <row r="596" spans="1:1" ht="18.75" x14ac:dyDescent="0.25">
      <c r="A596" s="55" t="s">
        <v>351</v>
      </c>
    </row>
    <row r="597" spans="1:1" ht="18.75" x14ac:dyDescent="0.25">
      <c r="A597" s="54" t="s">
        <v>352</v>
      </c>
    </row>
    <row r="598" spans="1:1" ht="18.75" x14ac:dyDescent="0.25">
      <c r="A598" s="55" t="s">
        <v>353</v>
      </c>
    </row>
    <row r="599" spans="1:1" ht="18.75" x14ac:dyDescent="0.25">
      <c r="A599" s="54" t="s">
        <v>354</v>
      </c>
    </row>
    <row r="600" spans="1:1" ht="18.75" x14ac:dyDescent="0.25">
      <c r="A600" s="55" t="s">
        <v>355</v>
      </c>
    </row>
    <row r="601" spans="1:1" ht="18.75" x14ac:dyDescent="0.25">
      <c r="A601" s="54" t="s">
        <v>356</v>
      </c>
    </row>
    <row r="602" spans="1:1" ht="18.75" x14ac:dyDescent="0.25">
      <c r="A602" s="53">
        <v>313</v>
      </c>
    </row>
    <row r="603" spans="1:1" ht="18.75" x14ac:dyDescent="0.25">
      <c r="A603" s="52">
        <v>317</v>
      </c>
    </row>
    <row r="604" spans="1:1" ht="18.75" x14ac:dyDescent="0.25">
      <c r="A604" s="53">
        <v>308</v>
      </c>
    </row>
    <row r="605" spans="1:1" ht="18.75" x14ac:dyDescent="0.25">
      <c r="A605" s="52">
        <v>315</v>
      </c>
    </row>
    <row r="606" spans="1:1" ht="18.75" x14ac:dyDescent="0.25">
      <c r="A606" s="53">
        <v>316</v>
      </c>
    </row>
    <row r="607" spans="1:1" ht="18.75" x14ac:dyDescent="0.25">
      <c r="A607" s="52">
        <v>319</v>
      </c>
    </row>
    <row r="608" spans="1:1" ht="18.75" x14ac:dyDescent="0.25">
      <c r="A608" s="53">
        <v>320</v>
      </c>
    </row>
    <row r="609" spans="1:1" ht="18.75" x14ac:dyDescent="0.25">
      <c r="A609" s="54" t="s">
        <v>357</v>
      </c>
    </row>
    <row r="610" spans="1:1" ht="18.75" x14ac:dyDescent="0.25">
      <c r="A610" s="55" t="s">
        <v>358</v>
      </c>
    </row>
    <row r="611" spans="1:1" ht="18.75" x14ac:dyDescent="0.25">
      <c r="A611" s="52">
        <v>318</v>
      </c>
    </row>
    <row r="612" spans="1:1" ht="18.75" x14ac:dyDescent="0.25">
      <c r="A612" s="55" t="s">
        <v>359</v>
      </c>
    </row>
    <row r="613" spans="1:1" ht="18.75" x14ac:dyDescent="0.25">
      <c r="A613" s="54" t="s">
        <v>360</v>
      </c>
    </row>
    <row r="614" spans="1:1" ht="18.75" x14ac:dyDescent="0.25">
      <c r="A614" s="55" t="s">
        <v>361</v>
      </c>
    </row>
    <row r="615" spans="1:1" ht="18.75" x14ac:dyDescent="0.25">
      <c r="A615" s="52">
        <v>323</v>
      </c>
    </row>
    <row r="616" spans="1:1" ht="18.75" x14ac:dyDescent="0.25">
      <c r="A616" s="53">
        <v>324</v>
      </c>
    </row>
    <row r="617" spans="1:1" ht="18.75" x14ac:dyDescent="0.25">
      <c r="A617" s="54" t="s">
        <v>362</v>
      </c>
    </row>
    <row r="618" spans="1:1" ht="18.75" x14ac:dyDescent="0.25">
      <c r="A618" s="53">
        <v>325</v>
      </c>
    </row>
    <row r="619" spans="1:1" ht="18.75" x14ac:dyDescent="0.25">
      <c r="A619" s="54" t="s">
        <v>363</v>
      </c>
    </row>
    <row r="620" spans="1:1" ht="18.75" x14ac:dyDescent="0.25">
      <c r="A620" s="53">
        <v>321</v>
      </c>
    </row>
    <row r="621" spans="1:1" ht="18.75" x14ac:dyDescent="0.25">
      <c r="A621" s="54" t="s">
        <v>364</v>
      </c>
    </row>
    <row r="622" spans="1:1" ht="18.75" x14ac:dyDescent="0.25">
      <c r="A622" s="55" t="s">
        <v>365</v>
      </c>
    </row>
    <row r="623" spans="1:1" ht="18.75" x14ac:dyDescent="0.25">
      <c r="A623" s="52">
        <v>326</v>
      </c>
    </row>
    <row r="624" spans="1:1" ht="18.75" x14ac:dyDescent="0.25">
      <c r="A624" s="53">
        <v>327</v>
      </c>
    </row>
    <row r="625" spans="1:1" ht="18.75" x14ac:dyDescent="0.25">
      <c r="A625" s="52">
        <v>314</v>
      </c>
    </row>
    <row r="626" spans="1:1" ht="18.75" x14ac:dyDescent="0.25">
      <c r="A626" s="53">
        <v>329</v>
      </c>
    </row>
    <row r="627" spans="1:1" ht="18.75" x14ac:dyDescent="0.25">
      <c r="A627" s="52">
        <v>328</v>
      </c>
    </row>
    <row r="628" spans="1:1" ht="18.75" x14ac:dyDescent="0.25">
      <c r="A628" s="53">
        <v>330</v>
      </c>
    </row>
    <row r="629" spans="1:1" ht="18.75" x14ac:dyDescent="0.25">
      <c r="A629" s="52">
        <v>331</v>
      </c>
    </row>
    <row r="630" spans="1:1" ht="18.75" x14ac:dyDescent="0.25">
      <c r="A630" s="53">
        <v>333</v>
      </c>
    </row>
    <row r="631" spans="1:1" ht="18.75" x14ac:dyDescent="0.25">
      <c r="A631" s="54" t="s">
        <v>366</v>
      </c>
    </row>
    <row r="632" spans="1:1" ht="18.75" x14ac:dyDescent="0.25">
      <c r="A632" s="53">
        <v>334</v>
      </c>
    </row>
    <row r="633" spans="1:1" ht="18.75" x14ac:dyDescent="0.25">
      <c r="A633" s="52">
        <v>322</v>
      </c>
    </row>
    <row r="634" spans="1:1" ht="18.75" x14ac:dyDescent="0.25">
      <c r="A634" s="53">
        <v>335</v>
      </c>
    </row>
    <row r="635" spans="1:1" ht="18.75" x14ac:dyDescent="0.25">
      <c r="A635" s="52">
        <v>336</v>
      </c>
    </row>
    <row r="636" spans="1:1" ht="18.75" x14ac:dyDescent="0.25">
      <c r="A636" s="53">
        <v>337</v>
      </c>
    </row>
    <row r="637" spans="1:1" ht="18.75" x14ac:dyDescent="0.25">
      <c r="A637" s="52">
        <v>338</v>
      </c>
    </row>
    <row r="638" spans="1:1" ht="18.75" x14ac:dyDescent="0.25">
      <c r="A638" s="55" t="s">
        <v>367</v>
      </c>
    </row>
    <row r="639" spans="1:1" ht="18.75" x14ac:dyDescent="0.25">
      <c r="A639" s="54" t="s">
        <v>368</v>
      </c>
    </row>
    <row r="640" spans="1:1" ht="18.75" x14ac:dyDescent="0.25">
      <c r="A640" s="53">
        <v>339</v>
      </c>
    </row>
    <row r="641" spans="1:1" ht="18.75" x14ac:dyDescent="0.25">
      <c r="A641" s="52">
        <v>341</v>
      </c>
    </row>
    <row r="642" spans="1:1" ht="18.75" x14ac:dyDescent="0.25">
      <c r="A642" s="55" t="s">
        <v>369</v>
      </c>
    </row>
    <row r="643" spans="1:1" ht="18.75" x14ac:dyDescent="0.25">
      <c r="A643" s="52">
        <v>343</v>
      </c>
    </row>
    <row r="644" spans="1:1" ht="18.75" x14ac:dyDescent="0.25">
      <c r="A644" s="53">
        <v>332</v>
      </c>
    </row>
    <row r="645" spans="1:1" ht="18.75" x14ac:dyDescent="0.25">
      <c r="A645" s="52">
        <v>345</v>
      </c>
    </row>
    <row r="646" spans="1:1" ht="18.75" x14ac:dyDescent="0.25">
      <c r="A646" s="53">
        <v>346</v>
      </c>
    </row>
    <row r="647" spans="1:1" ht="18.75" x14ac:dyDescent="0.25">
      <c r="A647" s="54" t="s">
        <v>370</v>
      </c>
    </row>
    <row r="648" spans="1:1" ht="18.75" x14ac:dyDescent="0.25">
      <c r="A648" s="53">
        <v>349</v>
      </c>
    </row>
    <row r="649" spans="1:1" ht="18.75" x14ac:dyDescent="0.25">
      <c r="A649" s="52">
        <v>350</v>
      </c>
    </row>
    <row r="650" spans="1:1" ht="18.75" x14ac:dyDescent="0.25">
      <c r="A650" s="53">
        <v>347</v>
      </c>
    </row>
    <row r="651" spans="1:1" ht="18.75" x14ac:dyDescent="0.25">
      <c r="A651" s="52">
        <v>348</v>
      </c>
    </row>
    <row r="652" spans="1:1" ht="18.75" x14ac:dyDescent="0.25">
      <c r="A652" s="55" t="s">
        <v>371</v>
      </c>
    </row>
    <row r="653" spans="1:1" ht="18.75" x14ac:dyDescent="0.25">
      <c r="A653" s="52">
        <v>344</v>
      </c>
    </row>
    <row r="654" spans="1:1" ht="18.75" x14ac:dyDescent="0.25">
      <c r="A654" s="53">
        <v>342</v>
      </c>
    </row>
    <row r="655" spans="1:1" ht="18.75" x14ac:dyDescent="0.25">
      <c r="A655" s="52">
        <v>356</v>
      </c>
    </row>
    <row r="656" spans="1:1" ht="18.75" x14ac:dyDescent="0.25">
      <c r="A656" s="55" t="s">
        <v>372</v>
      </c>
    </row>
    <row r="657" spans="1:1" ht="18.75" x14ac:dyDescent="0.25">
      <c r="A657" s="52">
        <v>340</v>
      </c>
    </row>
    <row r="658" spans="1:1" ht="18.75" x14ac:dyDescent="0.25">
      <c r="A658" s="55" t="s">
        <v>373</v>
      </c>
    </row>
    <row r="659" spans="1:1" ht="18.75" x14ac:dyDescent="0.25">
      <c r="A659" s="52">
        <v>359</v>
      </c>
    </row>
    <row r="660" spans="1:1" ht="18.75" x14ac:dyDescent="0.25">
      <c r="A660" s="53">
        <v>364</v>
      </c>
    </row>
    <row r="661" spans="1:1" ht="18.75" x14ac:dyDescent="0.25">
      <c r="A661" s="52">
        <v>362</v>
      </c>
    </row>
    <row r="662" spans="1:1" ht="18.75" x14ac:dyDescent="0.25">
      <c r="A662" s="53">
        <v>365</v>
      </c>
    </row>
    <row r="663" spans="1:1" ht="18.75" x14ac:dyDescent="0.25">
      <c r="A663" s="52">
        <v>358</v>
      </c>
    </row>
    <row r="664" spans="1:1" ht="18.75" x14ac:dyDescent="0.25">
      <c r="A664" s="53">
        <v>363</v>
      </c>
    </row>
    <row r="665" spans="1:1" ht="18.75" x14ac:dyDescent="0.25">
      <c r="A665" s="52">
        <v>357</v>
      </c>
    </row>
    <row r="666" spans="1:1" ht="18.75" x14ac:dyDescent="0.25">
      <c r="A666" s="53">
        <v>360</v>
      </c>
    </row>
    <row r="667" spans="1:1" ht="18.75" x14ac:dyDescent="0.25">
      <c r="A667" s="52">
        <v>361</v>
      </c>
    </row>
    <row r="668" spans="1:1" ht="18.75" x14ac:dyDescent="0.25">
      <c r="A668" s="53">
        <v>409</v>
      </c>
    </row>
    <row r="669" spans="1:1" ht="18.75" x14ac:dyDescent="0.25">
      <c r="A669" s="52">
        <v>367</v>
      </c>
    </row>
    <row r="670" spans="1:1" ht="18.75" x14ac:dyDescent="0.25">
      <c r="A670" s="53">
        <v>354</v>
      </c>
    </row>
    <row r="671" spans="1:1" ht="18.75" x14ac:dyDescent="0.25">
      <c r="A671" s="52">
        <v>351</v>
      </c>
    </row>
    <row r="672" spans="1:1" ht="18.75" x14ac:dyDescent="0.25">
      <c r="A672" s="53">
        <v>352</v>
      </c>
    </row>
    <row r="673" spans="1:1" ht="18.75" x14ac:dyDescent="0.25">
      <c r="A673" s="52">
        <v>353</v>
      </c>
    </row>
    <row r="674" spans="1:1" ht="18.75" x14ac:dyDescent="0.25">
      <c r="A674" s="53">
        <v>355</v>
      </c>
    </row>
    <row r="675" spans="1:1" ht="18.75" x14ac:dyDescent="0.25">
      <c r="A675" s="52">
        <v>368</v>
      </c>
    </row>
    <row r="676" spans="1:1" ht="18.75" x14ac:dyDescent="0.25">
      <c r="A676" s="53">
        <v>369</v>
      </c>
    </row>
    <row r="677" spans="1:1" ht="18.75" x14ac:dyDescent="0.25">
      <c r="A677" s="52">
        <v>370</v>
      </c>
    </row>
    <row r="678" spans="1:1" ht="18.75" x14ac:dyDescent="0.25">
      <c r="A678" s="53">
        <v>371</v>
      </c>
    </row>
    <row r="679" spans="1:1" ht="18.75" x14ac:dyDescent="0.25">
      <c r="A679" s="52">
        <v>381</v>
      </c>
    </row>
    <row r="680" spans="1:1" ht="18.75" x14ac:dyDescent="0.25">
      <c r="A680" s="53">
        <v>366</v>
      </c>
    </row>
    <row r="681" spans="1:1" ht="18.75" x14ac:dyDescent="0.25">
      <c r="A681" s="54" t="s">
        <v>374</v>
      </c>
    </row>
    <row r="682" spans="1:1" ht="18.75" x14ac:dyDescent="0.25">
      <c r="A682" s="53">
        <v>372</v>
      </c>
    </row>
    <row r="683" spans="1:1" ht="18.75" x14ac:dyDescent="0.25">
      <c r="A683" s="52">
        <v>373</v>
      </c>
    </row>
    <row r="684" spans="1:1" ht="18.75" x14ac:dyDescent="0.25">
      <c r="A684" s="53">
        <v>374</v>
      </c>
    </row>
    <row r="685" spans="1:1" ht="18.75" x14ac:dyDescent="0.25">
      <c r="A685" s="52">
        <v>375</v>
      </c>
    </row>
    <row r="686" spans="1:1" ht="18.75" x14ac:dyDescent="0.25">
      <c r="A686" s="53">
        <v>376</v>
      </c>
    </row>
    <row r="687" spans="1:1" ht="18.75" x14ac:dyDescent="0.25">
      <c r="A687" s="52">
        <v>377</v>
      </c>
    </row>
    <row r="688" spans="1:1" ht="18.75" x14ac:dyDescent="0.25">
      <c r="A688" s="53">
        <v>378</v>
      </c>
    </row>
    <row r="689" spans="1:1" ht="18.75" x14ac:dyDescent="0.25">
      <c r="A689" s="52">
        <v>379</v>
      </c>
    </row>
    <row r="690" spans="1:1" ht="18.75" x14ac:dyDescent="0.25">
      <c r="A690" s="53">
        <v>380</v>
      </c>
    </row>
    <row r="691" spans="1:1" ht="18.75" x14ac:dyDescent="0.25">
      <c r="A691" s="54" t="s">
        <v>375</v>
      </c>
    </row>
    <row r="692" spans="1:1" ht="18.75" x14ac:dyDescent="0.25">
      <c r="A692" s="53">
        <v>382</v>
      </c>
    </row>
    <row r="693" spans="1:1" ht="18.75" x14ac:dyDescent="0.25">
      <c r="A693" s="52">
        <v>383</v>
      </c>
    </row>
    <row r="694" spans="1:1" ht="18.75" x14ac:dyDescent="0.25">
      <c r="A694" s="53">
        <v>384</v>
      </c>
    </row>
    <row r="695" spans="1:1" ht="18.75" x14ac:dyDescent="0.25">
      <c r="A695" s="52">
        <v>385</v>
      </c>
    </row>
    <row r="696" spans="1:1" ht="18.75" x14ac:dyDescent="0.25">
      <c r="A696" s="53">
        <v>386</v>
      </c>
    </row>
    <row r="697" spans="1:1" ht="18.75" x14ac:dyDescent="0.25">
      <c r="A697" s="52">
        <v>387</v>
      </c>
    </row>
    <row r="698" spans="1:1" ht="18.75" x14ac:dyDescent="0.25">
      <c r="A698" s="53">
        <v>389</v>
      </c>
    </row>
    <row r="699" spans="1:1" ht="18.75" x14ac:dyDescent="0.25">
      <c r="A699" s="52">
        <v>390</v>
      </c>
    </row>
    <row r="700" spans="1:1" ht="18.75" x14ac:dyDescent="0.25">
      <c r="A700" s="53">
        <v>388</v>
      </c>
    </row>
    <row r="701" spans="1:1" ht="18.75" x14ac:dyDescent="0.25">
      <c r="A701" s="52">
        <v>392</v>
      </c>
    </row>
    <row r="702" spans="1:1" ht="18.75" x14ac:dyDescent="0.25">
      <c r="A702" s="53">
        <v>393</v>
      </c>
    </row>
    <row r="703" spans="1:1" ht="18.75" x14ac:dyDescent="0.25">
      <c r="A703" s="52">
        <v>394</v>
      </c>
    </row>
    <row r="704" spans="1:1" ht="18.75" x14ac:dyDescent="0.25">
      <c r="A704" s="53">
        <v>395</v>
      </c>
    </row>
    <row r="705" spans="1:1" ht="18.75" x14ac:dyDescent="0.25">
      <c r="A705" s="52">
        <v>396</v>
      </c>
    </row>
    <row r="706" spans="1:1" ht="18.75" x14ac:dyDescent="0.25">
      <c r="A706" s="53">
        <v>397</v>
      </c>
    </row>
    <row r="707" spans="1:1" ht="18.75" x14ac:dyDescent="0.25">
      <c r="A707" s="52">
        <v>398</v>
      </c>
    </row>
    <row r="708" spans="1:1" ht="18.75" x14ac:dyDescent="0.25">
      <c r="A708" s="53">
        <v>399</v>
      </c>
    </row>
    <row r="709" spans="1:1" ht="18.75" x14ac:dyDescent="0.25">
      <c r="A709" s="52">
        <v>400</v>
      </c>
    </row>
    <row r="710" spans="1:1" ht="18.75" x14ac:dyDescent="0.25">
      <c r="A710" s="53">
        <v>391</v>
      </c>
    </row>
    <row r="711" spans="1:1" ht="18.75" x14ac:dyDescent="0.25">
      <c r="A711" s="52">
        <v>401</v>
      </c>
    </row>
    <row r="712" spans="1:1" ht="18.75" x14ac:dyDescent="0.25">
      <c r="A712" s="53">
        <v>402</v>
      </c>
    </row>
    <row r="713" spans="1:1" ht="18.75" x14ac:dyDescent="0.25">
      <c r="A713" s="52">
        <v>403</v>
      </c>
    </row>
    <row r="714" spans="1:1" ht="18.75" x14ac:dyDescent="0.25">
      <c r="A714" s="53">
        <v>404</v>
      </c>
    </row>
    <row r="715" spans="1:1" ht="18.75" x14ac:dyDescent="0.25">
      <c r="A715" s="52">
        <v>405</v>
      </c>
    </row>
    <row r="716" spans="1:1" ht="18.75" x14ac:dyDescent="0.25">
      <c r="A716" s="53">
        <v>406</v>
      </c>
    </row>
    <row r="717" spans="1:1" ht="18.75" x14ac:dyDescent="0.25">
      <c r="A717" s="52">
        <v>407</v>
      </c>
    </row>
    <row r="718" spans="1:1" ht="18.75" x14ac:dyDescent="0.25">
      <c r="A718" s="53">
        <v>408</v>
      </c>
    </row>
    <row r="719" spans="1:1" ht="18.75" x14ac:dyDescent="0.25">
      <c r="A719" s="52">
        <v>410</v>
      </c>
    </row>
    <row r="720" spans="1:1" ht="18.75" x14ac:dyDescent="0.25">
      <c r="A720" s="53">
        <v>411</v>
      </c>
    </row>
    <row r="721" spans="1:1" ht="18.75" x14ac:dyDescent="0.25">
      <c r="A721" s="52">
        <v>412</v>
      </c>
    </row>
    <row r="722" spans="1:1" ht="18.75" x14ac:dyDescent="0.25">
      <c r="A722" s="53">
        <v>413</v>
      </c>
    </row>
    <row r="723" spans="1:1" ht="18.75" x14ac:dyDescent="0.25">
      <c r="A723" s="52">
        <v>414</v>
      </c>
    </row>
    <row r="724" spans="1:1" ht="18.75" x14ac:dyDescent="0.25">
      <c r="A724" s="53">
        <v>415</v>
      </c>
    </row>
    <row r="725" spans="1:1" ht="18.75" x14ac:dyDescent="0.25">
      <c r="A725" s="52" t="s">
        <v>376</v>
      </c>
    </row>
    <row r="726" spans="1:1" ht="18.75" x14ac:dyDescent="0.25">
      <c r="A726" s="53" t="s">
        <v>377</v>
      </c>
    </row>
    <row r="727" spans="1:1" ht="18.75" x14ac:dyDescent="0.25">
      <c r="A727" s="52">
        <v>416</v>
      </c>
    </row>
    <row r="728" spans="1:1" ht="18.75" x14ac:dyDescent="0.25">
      <c r="A728" s="53">
        <v>417</v>
      </c>
    </row>
    <row r="729" spans="1:1" ht="18.75" x14ac:dyDescent="0.25">
      <c r="A729" s="52">
        <v>418</v>
      </c>
    </row>
    <row r="730" spans="1:1" ht="18.75" x14ac:dyDescent="0.25">
      <c r="A730" s="53">
        <v>419</v>
      </c>
    </row>
    <row r="731" spans="1:1" ht="18.75" x14ac:dyDescent="0.25">
      <c r="A731" s="52" t="s">
        <v>378</v>
      </c>
    </row>
    <row r="732" spans="1:1" ht="18.75" x14ac:dyDescent="0.25">
      <c r="A732" s="53">
        <v>420</v>
      </c>
    </row>
    <row r="733" spans="1:1" ht="18.75" x14ac:dyDescent="0.25">
      <c r="A733" s="52">
        <v>421</v>
      </c>
    </row>
    <row r="734" spans="1:1" ht="18.75" x14ac:dyDescent="0.25">
      <c r="A734" s="53">
        <v>422</v>
      </c>
    </row>
    <row r="735" spans="1:1" ht="18.75" x14ac:dyDescent="0.25">
      <c r="A735" s="52">
        <v>423</v>
      </c>
    </row>
    <row r="736" spans="1:1" ht="18.75" x14ac:dyDescent="0.25">
      <c r="A736" s="53">
        <v>424</v>
      </c>
    </row>
    <row r="737" spans="1:1" ht="18.75" x14ac:dyDescent="0.25">
      <c r="A737" s="52">
        <v>425</v>
      </c>
    </row>
    <row r="738" spans="1:1" ht="18.75" x14ac:dyDescent="0.25">
      <c r="A738" s="53">
        <v>426</v>
      </c>
    </row>
    <row r="739" spans="1:1" ht="18.75" x14ac:dyDescent="0.25">
      <c r="A739" s="52">
        <v>427</v>
      </c>
    </row>
    <row r="740" spans="1:1" ht="18.75" x14ac:dyDescent="0.25">
      <c r="A740" s="55" t="s">
        <v>379</v>
      </c>
    </row>
    <row r="741" spans="1:1" ht="18.75" x14ac:dyDescent="0.25">
      <c r="A741" s="54" t="s">
        <v>380</v>
      </c>
    </row>
    <row r="742" spans="1:1" ht="18.75" x14ac:dyDescent="0.25">
      <c r="A742" s="53">
        <v>434</v>
      </c>
    </row>
    <row r="743" spans="1:1" ht="18.75" x14ac:dyDescent="0.25">
      <c r="A743" s="52">
        <v>428</v>
      </c>
    </row>
    <row r="744" spans="1:1" ht="18.75" x14ac:dyDescent="0.25">
      <c r="A744" s="53">
        <v>429</v>
      </c>
    </row>
    <row r="745" spans="1:1" ht="18.75" x14ac:dyDescent="0.25">
      <c r="A745" s="52">
        <v>430</v>
      </c>
    </row>
    <row r="746" spans="1:1" ht="18.75" x14ac:dyDescent="0.25">
      <c r="A746" s="53">
        <v>431</v>
      </c>
    </row>
    <row r="747" spans="1:1" ht="18.75" x14ac:dyDescent="0.25">
      <c r="A747" s="52">
        <v>432</v>
      </c>
    </row>
    <row r="748" spans="1:1" ht="18.75" x14ac:dyDescent="0.25">
      <c r="A748" s="53">
        <v>433</v>
      </c>
    </row>
    <row r="749" spans="1:1" ht="18.75" x14ac:dyDescent="0.25">
      <c r="A749" s="52">
        <v>435</v>
      </c>
    </row>
    <row r="750" spans="1:1" ht="18.75" x14ac:dyDescent="0.25">
      <c r="A750" s="53">
        <v>436</v>
      </c>
    </row>
    <row r="751" spans="1:1" ht="18.75" x14ac:dyDescent="0.25">
      <c r="A751" s="52">
        <v>437</v>
      </c>
    </row>
    <row r="752" spans="1:1" ht="18.75" x14ac:dyDescent="0.25">
      <c r="A752" s="53">
        <v>438</v>
      </c>
    </row>
    <row r="753" spans="1:1" ht="18.75" x14ac:dyDescent="0.25">
      <c r="A753" s="52">
        <v>439</v>
      </c>
    </row>
    <row r="754" spans="1:1" ht="18.75" x14ac:dyDescent="0.25">
      <c r="A754" s="53">
        <v>440</v>
      </c>
    </row>
    <row r="755" spans="1:1" ht="18.75" x14ac:dyDescent="0.25">
      <c r="A755" s="52">
        <v>441</v>
      </c>
    </row>
    <row r="756" spans="1:1" ht="18.75" x14ac:dyDescent="0.25">
      <c r="A756" s="53">
        <v>442</v>
      </c>
    </row>
    <row r="757" spans="1:1" ht="18.75" x14ac:dyDescent="0.25">
      <c r="A757" s="52">
        <v>443</v>
      </c>
    </row>
    <row r="758" spans="1:1" ht="18.75" x14ac:dyDescent="0.25">
      <c r="A758" s="55" t="s">
        <v>381</v>
      </c>
    </row>
    <row r="759" spans="1:1" ht="18.75" x14ac:dyDescent="0.25">
      <c r="A759" s="54" t="s">
        <v>382</v>
      </c>
    </row>
    <row r="760" spans="1:1" ht="18.75" x14ac:dyDescent="0.25">
      <c r="A760" s="55" t="s">
        <v>383</v>
      </c>
    </row>
    <row r="761" spans="1:1" ht="18.75" x14ac:dyDescent="0.25">
      <c r="A761" s="54" t="s">
        <v>384</v>
      </c>
    </row>
    <row r="762" spans="1:1" ht="18.75" x14ac:dyDescent="0.25">
      <c r="A762" s="55" t="s">
        <v>385</v>
      </c>
    </row>
    <row r="763" spans="1:1" ht="18.75" x14ac:dyDescent="0.25">
      <c r="A763" s="52">
        <v>444</v>
      </c>
    </row>
    <row r="764" spans="1:1" ht="18.75" x14ac:dyDescent="0.25">
      <c r="A764" s="53">
        <v>445</v>
      </c>
    </row>
    <row r="765" spans="1:1" ht="18.75" x14ac:dyDescent="0.25">
      <c r="A765" s="52">
        <v>446</v>
      </c>
    </row>
    <row r="766" spans="1:1" ht="18.75" x14ac:dyDescent="0.25">
      <c r="A766" s="53">
        <v>447</v>
      </c>
    </row>
    <row r="767" spans="1:1" ht="18.75" x14ac:dyDescent="0.25">
      <c r="A767" s="52">
        <v>448</v>
      </c>
    </row>
    <row r="768" spans="1:1" ht="18.75" x14ac:dyDescent="0.25">
      <c r="A768" s="53">
        <v>449</v>
      </c>
    </row>
    <row r="769" spans="1:1" ht="18.75" x14ac:dyDescent="0.25">
      <c r="A769" s="52">
        <v>450</v>
      </c>
    </row>
    <row r="770" spans="1:1" ht="18.75" x14ac:dyDescent="0.25">
      <c r="A770" s="55" t="s">
        <v>386</v>
      </c>
    </row>
    <row r="771" spans="1:1" ht="18.75" x14ac:dyDescent="0.25">
      <c r="A771" s="54" t="s">
        <v>387</v>
      </c>
    </row>
    <row r="772" spans="1:1" ht="18.75" x14ac:dyDescent="0.25">
      <c r="A772" s="53">
        <v>451</v>
      </c>
    </row>
    <row r="773" spans="1:1" ht="18.75" x14ac:dyDescent="0.25">
      <c r="A773" s="52">
        <v>452</v>
      </c>
    </row>
    <row r="774" spans="1:1" ht="18.75" x14ac:dyDescent="0.25">
      <c r="A774" s="53">
        <v>453</v>
      </c>
    </row>
    <row r="775" spans="1:1" ht="18.75" x14ac:dyDescent="0.25">
      <c r="A775" s="52">
        <v>454</v>
      </c>
    </row>
    <row r="776" spans="1:1" ht="18.75" x14ac:dyDescent="0.25">
      <c r="A776" s="53">
        <v>455</v>
      </c>
    </row>
    <row r="777" spans="1:1" ht="18.75" x14ac:dyDescent="0.25">
      <c r="A777" s="52">
        <v>456</v>
      </c>
    </row>
    <row r="778" spans="1:1" ht="18.75" x14ac:dyDescent="0.25">
      <c r="A778" s="53">
        <v>457</v>
      </c>
    </row>
    <row r="779" spans="1:1" ht="18.75" x14ac:dyDescent="0.25">
      <c r="A779" s="52">
        <v>458</v>
      </c>
    </row>
    <row r="780" spans="1:1" ht="18.75" x14ac:dyDescent="0.25">
      <c r="A780" s="53">
        <v>459</v>
      </c>
    </row>
    <row r="781" spans="1:1" ht="18.75" x14ac:dyDescent="0.25">
      <c r="A781" s="52">
        <v>460</v>
      </c>
    </row>
    <row r="782" spans="1:1" ht="18.75" x14ac:dyDescent="0.25">
      <c r="A782" s="53">
        <v>461</v>
      </c>
    </row>
    <row r="783" spans="1:1" ht="18.75" x14ac:dyDescent="0.25">
      <c r="A783" s="52">
        <v>462</v>
      </c>
    </row>
    <row r="784" spans="1:1" ht="18.75" x14ac:dyDescent="0.25">
      <c r="A784" s="53">
        <v>463</v>
      </c>
    </row>
    <row r="785" spans="1:1" ht="18.75" x14ac:dyDescent="0.25">
      <c r="A785" s="54" t="s">
        <v>388</v>
      </c>
    </row>
    <row r="786" spans="1:1" ht="18.75" x14ac:dyDescent="0.25">
      <c r="A786" s="55" t="s">
        <v>389</v>
      </c>
    </row>
    <row r="787" spans="1:1" ht="18.75" x14ac:dyDescent="0.25">
      <c r="A787" s="54" t="s">
        <v>390</v>
      </c>
    </row>
    <row r="788" spans="1:1" ht="18.75" x14ac:dyDescent="0.25">
      <c r="A788" s="55" t="s">
        <v>391</v>
      </c>
    </row>
    <row r="789" spans="1:1" ht="18.75" x14ac:dyDescent="0.25">
      <c r="A789" s="54" t="s">
        <v>392</v>
      </c>
    </row>
    <row r="790" spans="1:1" ht="18.75" x14ac:dyDescent="0.25">
      <c r="A790" s="55" t="s">
        <v>393</v>
      </c>
    </row>
    <row r="791" spans="1:1" ht="18.75" x14ac:dyDescent="0.25">
      <c r="A791" s="54" t="s">
        <v>394</v>
      </c>
    </row>
    <row r="792" spans="1:1" ht="18.75" x14ac:dyDescent="0.25">
      <c r="A792" s="55" t="s">
        <v>395</v>
      </c>
    </row>
    <row r="793" spans="1:1" ht="18.75" x14ac:dyDescent="0.25">
      <c r="A793" s="54" t="s">
        <v>396</v>
      </c>
    </row>
    <row r="794" spans="1:1" ht="18.75" x14ac:dyDescent="0.25">
      <c r="A794" s="55" t="s">
        <v>397</v>
      </c>
    </row>
    <row r="795" spans="1:1" ht="18.75" x14ac:dyDescent="0.25">
      <c r="A795" s="52">
        <v>464</v>
      </c>
    </row>
    <row r="796" spans="1:1" ht="18.75" x14ac:dyDescent="0.25">
      <c r="A796" s="53">
        <v>465</v>
      </c>
    </row>
    <row r="797" spans="1:1" ht="18.75" x14ac:dyDescent="0.25">
      <c r="A797" s="52">
        <v>466</v>
      </c>
    </row>
    <row r="798" spans="1:1" ht="18.75" x14ac:dyDescent="0.25">
      <c r="A798" s="53">
        <v>467</v>
      </c>
    </row>
    <row r="799" spans="1:1" ht="18.75" x14ac:dyDescent="0.25">
      <c r="A799" s="52">
        <v>468</v>
      </c>
    </row>
    <row r="800" spans="1:1" ht="18.75" x14ac:dyDescent="0.25">
      <c r="A800" s="53">
        <v>469</v>
      </c>
    </row>
    <row r="801" spans="1:1" ht="18.75" x14ac:dyDescent="0.25">
      <c r="A801" s="52">
        <v>618</v>
      </c>
    </row>
    <row r="802" spans="1:1" ht="18.75" x14ac:dyDescent="0.25">
      <c r="A802" s="53">
        <v>612</v>
      </c>
    </row>
    <row r="803" spans="1:1" ht="18.75" x14ac:dyDescent="0.25">
      <c r="A803" s="52">
        <v>620</v>
      </c>
    </row>
    <row r="804" spans="1:1" ht="18.75" x14ac:dyDescent="0.25">
      <c r="A804" s="53">
        <v>619</v>
      </c>
    </row>
    <row r="805" spans="1:1" ht="18.75" x14ac:dyDescent="0.25">
      <c r="A805" s="52">
        <v>617</v>
      </c>
    </row>
    <row r="806" spans="1:1" ht="18.75" x14ac:dyDescent="0.25">
      <c r="A806" s="53">
        <v>616</v>
      </c>
    </row>
    <row r="807" spans="1:1" ht="18.75" x14ac:dyDescent="0.25">
      <c r="A807" s="52">
        <v>613</v>
      </c>
    </row>
    <row r="808" spans="1:1" ht="18.75" x14ac:dyDescent="0.25">
      <c r="A808" s="53">
        <v>614</v>
      </c>
    </row>
    <row r="809" spans="1:1" ht="18.75" x14ac:dyDescent="0.25">
      <c r="A809" s="52" t="s">
        <v>398</v>
      </c>
    </row>
    <row r="810" spans="1:1" ht="18.75" x14ac:dyDescent="0.25">
      <c r="A810" s="55" t="s">
        <v>399</v>
      </c>
    </row>
    <row r="811" spans="1:1" ht="18.75" x14ac:dyDescent="0.25">
      <c r="A811" s="52" t="s">
        <v>400</v>
      </c>
    </row>
    <row r="812" spans="1:1" ht="18.75" x14ac:dyDescent="0.25">
      <c r="A812" s="53">
        <v>625</v>
      </c>
    </row>
    <row r="813" spans="1:1" ht="18.75" x14ac:dyDescent="0.25">
      <c r="A813" s="52">
        <v>627</v>
      </c>
    </row>
    <row r="814" spans="1:1" ht="18.75" x14ac:dyDescent="0.25">
      <c r="A814" s="53">
        <v>633</v>
      </c>
    </row>
    <row r="815" spans="1:1" ht="18.75" x14ac:dyDescent="0.25">
      <c r="A815" s="52">
        <v>624</v>
      </c>
    </row>
    <row r="816" spans="1:1" ht="18.75" x14ac:dyDescent="0.25">
      <c r="A816" s="53">
        <v>635</v>
      </c>
    </row>
    <row r="817" spans="1:1" ht="18.75" x14ac:dyDescent="0.25">
      <c r="A817" s="52">
        <v>632</v>
      </c>
    </row>
    <row r="818" spans="1:1" ht="18.75" x14ac:dyDescent="0.25">
      <c r="A818" s="53">
        <v>643</v>
      </c>
    </row>
    <row r="819" spans="1:1" ht="18.75" x14ac:dyDescent="0.25">
      <c r="A819" s="52">
        <v>630</v>
      </c>
    </row>
    <row r="820" spans="1:1" ht="18.75" x14ac:dyDescent="0.25">
      <c r="A820" s="53">
        <v>634</v>
      </c>
    </row>
    <row r="821" spans="1:1" ht="18.75" x14ac:dyDescent="0.25">
      <c r="A821" s="52">
        <v>642</v>
      </c>
    </row>
    <row r="822" spans="1:1" ht="18.75" x14ac:dyDescent="0.25">
      <c r="A822" s="53">
        <v>631</v>
      </c>
    </row>
    <row r="823" spans="1:1" ht="18.75" x14ac:dyDescent="0.25">
      <c r="A823" s="52" t="s">
        <v>401</v>
      </c>
    </row>
    <row r="824" spans="1:1" ht="18.75" x14ac:dyDescent="0.25">
      <c r="A824" s="53" t="s">
        <v>402</v>
      </c>
    </row>
    <row r="825" spans="1:1" ht="18.75" x14ac:dyDescent="0.25">
      <c r="A825" s="52">
        <v>652</v>
      </c>
    </row>
    <row r="826" spans="1:1" ht="18.75" x14ac:dyDescent="0.25">
      <c r="A826" s="53">
        <v>657</v>
      </c>
    </row>
    <row r="827" spans="1:1" ht="18.75" x14ac:dyDescent="0.25">
      <c r="A827" s="52" t="s">
        <v>403</v>
      </c>
    </row>
    <row r="828" spans="1:1" ht="18.75" x14ac:dyDescent="0.25">
      <c r="A828" s="53" t="s">
        <v>404</v>
      </c>
    </row>
    <row r="829" spans="1:1" ht="18.75" x14ac:dyDescent="0.25">
      <c r="A829" s="52" t="s">
        <v>405</v>
      </c>
    </row>
    <row r="830" spans="1:1" ht="18.75" x14ac:dyDescent="0.25">
      <c r="A830" s="53" t="s">
        <v>406</v>
      </c>
    </row>
    <row r="831" spans="1:1" ht="18.75" x14ac:dyDescent="0.25">
      <c r="A831" s="52">
        <v>670</v>
      </c>
    </row>
    <row r="832" spans="1:1" ht="18.75" x14ac:dyDescent="0.25">
      <c r="A832" s="53">
        <v>673</v>
      </c>
    </row>
    <row r="833" spans="1:1" ht="18.75" x14ac:dyDescent="0.25">
      <c r="A833" s="52">
        <v>659</v>
      </c>
    </row>
    <row r="834" spans="1:1" ht="18.75" x14ac:dyDescent="0.25">
      <c r="A834" s="53" t="s">
        <v>407</v>
      </c>
    </row>
    <row r="835" spans="1:1" ht="18.75" x14ac:dyDescent="0.25">
      <c r="A835" s="52" t="s">
        <v>408</v>
      </c>
    </row>
    <row r="836" spans="1:1" ht="18.75" x14ac:dyDescent="0.25">
      <c r="A836" s="53" t="s">
        <v>409</v>
      </c>
    </row>
    <row r="837" spans="1:1" ht="18.75" x14ac:dyDescent="0.25">
      <c r="A837" s="52" t="s">
        <v>410</v>
      </c>
    </row>
    <row r="838" spans="1:1" ht="18.75" x14ac:dyDescent="0.25">
      <c r="A838" s="53" t="s">
        <v>411</v>
      </c>
    </row>
    <row r="839" spans="1:1" ht="18.75" x14ac:dyDescent="0.25">
      <c r="A839" s="52" t="s">
        <v>412</v>
      </c>
    </row>
    <row r="840" spans="1:1" ht="18.75" x14ac:dyDescent="0.25">
      <c r="A840" s="53">
        <v>653</v>
      </c>
    </row>
    <row r="841" spans="1:1" ht="18.75" x14ac:dyDescent="0.25">
      <c r="A841" s="52">
        <v>669</v>
      </c>
    </row>
    <row r="842" spans="1:1" ht="18.75" x14ac:dyDescent="0.25">
      <c r="A842" s="53">
        <v>601</v>
      </c>
    </row>
    <row r="843" spans="1:1" ht="18.75" x14ac:dyDescent="0.25">
      <c r="A843" s="52" t="s">
        <v>413</v>
      </c>
    </row>
    <row r="844" spans="1:1" ht="18.75" x14ac:dyDescent="0.25">
      <c r="A844" s="53" t="s">
        <v>414</v>
      </c>
    </row>
    <row r="845" spans="1:1" ht="18.75" x14ac:dyDescent="0.25">
      <c r="A845" s="52">
        <v>638</v>
      </c>
    </row>
    <row r="846" spans="1:1" ht="18.75" x14ac:dyDescent="0.25">
      <c r="A846" s="53">
        <v>676</v>
      </c>
    </row>
    <row r="847" spans="1:1" ht="18.75" x14ac:dyDescent="0.25">
      <c r="A847" s="52">
        <v>681</v>
      </c>
    </row>
    <row r="848" spans="1:1" ht="18.75" x14ac:dyDescent="0.25">
      <c r="A848" s="53">
        <v>608</v>
      </c>
    </row>
    <row r="849" spans="1:1" ht="18.75" x14ac:dyDescent="0.25">
      <c r="A849" s="52">
        <v>679</v>
      </c>
    </row>
    <row r="850" spans="1:1" ht="18.75" x14ac:dyDescent="0.25">
      <c r="A850" s="53" t="s">
        <v>415</v>
      </c>
    </row>
    <row r="851" spans="1:1" ht="18.75" x14ac:dyDescent="0.25">
      <c r="A851" s="52">
        <v>668</v>
      </c>
    </row>
    <row r="852" spans="1:1" ht="18.75" x14ac:dyDescent="0.25">
      <c r="A852" s="53">
        <v>689</v>
      </c>
    </row>
    <row r="853" spans="1:1" ht="18.75" x14ac:dyDescent="0.25">
      <c r="A853" s="52">
        <v>691</v>
      </c>
    </row>
    <row r="854" spans="1:1" ht="18.75" x14ac:dyDescent="0.25">
      <c r="A854" s="53">
        <v>699</v>
      </c>
    </row>
    <row r="855" spans="1:1" ht="18.75" x14ac:dyDescent="0.25">
      <c r="A855" s="52" t="s">
        <v>416</v>
      </c>
    </row>
    <row r="856" spans="1:1" ht="18.75" x14ac:dyDescent="0.25">
      <c r="A856" s="53" t="s">
        <v>417</v>
      </c>
    </row>
    <row r="857" spans="1:1" ht="18.75" x14ac:dyDescent="0.25">
      <c r="A857" s="52" t="s">
        <v>418</v>
      </c>
    </row>
    <row r="858" spans="1:1" ht="18.75" x14ac:dyDescent="0.25">
      <c r="A858" s="53">
        <v>658</v>
      </c>
    </row>
    <row r="859" spans="1:1" ht="18.75" x14ac:dyDescent="0.25">
      <c r="A859" s="52">
        <v>667</v>
      </c>
    </row>
    <row r="860" spans="1:1" ht="18.75" x14ac:dyDescent="0.25">
      <c r="A860" s="53">
        <v>671</v>
      </c>
    </row>
    <row r="861" spans="1:1" ht="18.75" x14ac:dyDescent="0.25">
      <c r="A861" s="52">
        <v>674</v>
      </c>
    </row>
    <row r="862" spans="1:1" ht="18.75" x14ac:dyDescent="0.25">
      <c r="A862" s="53">
        <v>705</v>
      </c>
    </row>
    <row r="863" spans="1:1" ht="18.75" x14ac:dyDescent="0.25">
      <c r="A863" s="52">
        <v>694</v>
      </c>
    </row>
    <row r="864" spans="1:1" ht="18.75" x14ac:dyDescent="0.25">
      <c r="A864" s="53">
        <v>660</v>
      </c>
    </row>
    <row r="865" spans="1:1" ht="18.75" x14ac:dyDescent="0.25">
      <c r="A865" s="52">
        <v>706</v>
      </c>
    </row>
    <row r="866" spans="1:1" ht="18.75" x14ac:dyDescent="0.25">
      <c r="A866" s="53">
        <v>700</v>
      </c>
    </row>
    <row r="867" spans="1:1" ht="18.75" x14ac:dyDescent="0.25">
      <c r="A867" s="52">
        <v>704</v>
      </c>
    </row>
    <row r="868" spans="1:1" ht="18.75" x14ac:dyDescent="0.25">
      <c r="A868" s="53" t="s">
        <v>419</v>
      </c>
    </row>
    <row r="869" spans="1:1" ht="18.75" x14ac:dyDescent="0.25">
      <c r="A869" s="52">
        <v>680</v>
      </c>
    </row>
    <row r="870" spans="1:1" ht="18.75" x14ac:dyDescent="0.25">
      <c r="A870" s="53">
        <v>683</v>
      </c>
    </row>
    <row r="871" spans="1:1" ht="18.75" x14ac:dyDescent="0.25">
      <c r="A871" s="52">
        <v>685</v>
      </c>
    </row>
    <row r="872" spans="1:1" ht="18.75" x14ac:dyDescent="0.25">
      <c r="A872" s="53">
        <v>686</v>
      </c>
    </row>
    <row r="873" spans="1:1" ht="18.75" x14ac:dyDescent="0.25">
      <c r="A873" s="52">
        <v>692</v>
      </c>
    </row>
    <row r="874" spans="1:1" ht="18.75" x14ac:dyDescent="0.25">
      <c r="A874" s="53">
        <v>701</v>
      </c>
    </row>
    <row r="875" spans="1:1" ht="18.75" x14ac:dyDescent="0.25">
      <c r="A875" s="52">
        <v>708</v>
      </c>
    </row>
    <row r="876" spans="1:1" ht="18.75" x14ac:dyDescent="0.25">
      <c r="A876" s="53">
        <v>707</v>
      </c>
    </row>
    <row r="877" spans="1:1" ht="18.75" x14ac:dyDescent="0.25">
      <c r="A877" s="52">
        <v>714</v>
      </c>
    </row>
    <row r="878" spans="1:1" ht="18.75" x14ac:dyDescent="0.25">
      <c r="A878" s="53">
        <v>718</v>
      </c>
    </row>
    <row r="879" spans="1:1" ht="18.75" x14ac:dyDescent="0.25">
      <c r="A879" s="52">
        <v>724</v>
      </c>
    </row>
    <row r="880" spans="1:1" ht="18.75" x14ac:dyDescent="0.25">
      <c r="A880" s="53">
        <v>723</v>
      </c>
    </row>
    <row r="881" spans="1:1" ht="18.75" x14ac:dyDescent="0.25">
      <c r="A881" s="52">
        <v>720</v>
      </c>
    </row>
    <row r="882" spans="1:1" ht="18.75" x14ac:dyDescent="0.25">
      <c r="A882" s="53">
        <v>711</v>
      </c>
    </row>
    <row r="883" spans="1:1" ht="18.75" x14ac:dyDescent="0.25">
      <c r="A883" s="52">
        <v>722</v>
      </c>
    </row>
    <row r="884" spans="1:1" ht="18.75" x14ac:dyDescent="0.25">
      <c r="A884" s="53">
        <v>721</v>
      </c>
    </row>
    <row r="885" spans="1:1" ht="18.75" x14ac:dyDescent="0.25">
      <c r="A885" s="52">
        <v>719</v>
      </c>
    </row>
    <row r="886" spans="1:1" ht="18.75" x14ac:dyDescent="0.25">
      <c r="A886" s="53" t="s">
        <v>420</v>
      </c>
    </row>
    <row r="887" spans="1:1" ht="18.75" x14ac:dyDescent="0.25">
      <c r="A887" s="52" t="s">
        <v>421</v>
      </c>
    </row>
    <row r="888" spans="1:1" ht="18.75" x14ac:dyDescent="0.25">
      <c r="A888" s="53" t="s">
        <v>422</v>
      </c>
    </row>
    <row r="889" spans="1:1" ht="18.75" x14ac:dyDescent="0.25">
      <c r="A889" s="52" t="s">
        <v>423</v>
      </c>
    </row>
    <row r="890" spans="1:1" ht="18.75" x14ac:dyDescent="0.25">
      <c r="A890" s="53">
        <v>716</v>
      </c>
    </row>
    <row r="891" spans="1:1" ht="18.75" x14ac:dyDescent="0.25">
      <c r="A891" s="52">
        <v>693</v>
      </c>
    </row>
    <row r="892" spans="1:1" ht="18.75" x14ac:dyDescent="0.25">
      <c r="A892" s="53" t="s">
        <v>424</v>
      </c>
    </row>
    <row r="893" spans="1:1" ht="18.75" x14ac:dyDescent="0.25">
      <c r="A893" s="52">
        <v>735</v>
      </c>
    </row>
    <row r="894" spans="1:1" ht="18.75" x14ac:dyDescent="0.25">
      <c r="A894" s="53" t="s">
        <v>425</v>
      </c>
    </row>
    <row r="895" spans="1:1" ht="18.75" x14ac:dyDescent="0.25">
      <c r="A895" s="52" t="s">
        <v>426</v>
      </c>
    </row>
    <row r="896" spans="1:1" ht="18.75" x14ac:dyDescent="0.25">
      <c r="A896" s="53" t="s">
        <v>427</v>
      </c>
    </row>
    <row r="897" spans="1:1" ht="18.75" x14ac:dyDescent="0.25">
      <c r="A897" s="52">
        <v>734</v>
      </c>
    </row>
    <row r="898" spans="1:1" ht="18.75" x14ac:dyDescent="0.25">
      <c r="A898" s="53">
        <v>730</v>
      </c>
    </row>
    <row r="899" spans="1:1" ht="18.75" x14ac:dyDescent="0.25">
      <c r="A899" s="52">
        <v>729</v>
      </c>
    </row>
    <row r="900" spans="1:1" ht="18.75" x14ac:dyDescent="0.25">
      <c r="A900" s="53">
        <v>732</v>
      </c>
    </row>
    <row r="901" spans="1:1" ht="18.75" x14ac:dyDescent="0.25">
      <c r="A901" s="52">
        <v>740</v>
      </c>
    </row>
    <row r="902" spans="1:1" ht="18.75" x14ac:dyDescent="0.25">
      <c r="A902" s="53">
        <v>731</v>
      </c>
    </row>
    <row r="903" spans="1:1" ht="18.75" x14ac:dyDescent="0.25">
      <c r="A903" s="52">
        <v>753</v>
      </c>
    </row>
    <row r="904" spans="1:1" ht="18.75" x14ac:dyDescent="0.25">
      <c r="A904" s="53">
        <v>744</v>
      </c>
    </row>
    <row r="905" spans="1:1" ht="18.75" x14ac:dyDescent="0.25">
      <c r="A905" s="52">
        <v>743</v>
      </c>
    </row>
    <row r="906" spans="1:1" ht="18.75" x14ac:dyDescent="0.25">
      <c r="A906" s="53" t="s">
        <v>428</v>
      </c>
    </row>
    <row r="907" spans="1:1" ht="18.75" x14ac:dyDescent="0.25">
      <c r="A907" s="52">
        <v>758</v>
      </c>
    </row>
    <row r="908" spans="1:1" ht="18.75" x14ac:dyDescent="0.25">
      <c r="A908" s="53">
        <v>759</v>
      </c>
    </row>
    <row r="909" spans="1:1" ht="18.75" x14ac:dyDescent="0.25">
      <c r="A909" s="52">
        <v>733</v>
      </c>
    </row>
    <row r="910" spans="1:1" ht="18.75" x14ac:dyDescent="0.25">
      <c r="A910" s="53">
        <v>757</v>
      </c>
    </row>
    <row r="911" spans="1:1" ht="18.75" x14ac:dyDescent="0.25">
      <c r="A911" s="52">
        <v>760</v>
      </c>
    </row>
    <row r="912" spans="1:1" ht="18.75" x14ac:dyDescent="0.25">
      <c r="A912" s="53">
        <v>755</v>
      </c>
    </row>
    <row r="913" spans="1:1" ht="18.75" x14ac:dyDescent="0.25">
      <c r="A913" s="52">
        <v>767</v>
      </c>
    </row>
    <row r="914" spans="1:1" ht="18.75" x14ac:dyDescent="0.25">
      <c r="A914" s="53">
        <v>742</v>
      </c>
    </row>
    <row r="915" spans="1:1" ht="18.75" x14ac:dyDescent="0.25">
      <c r="A915" s="52">
        <v>772</v>
      </c>
    </row>
    <row r="916" spans="1:1" ht="18.75" x14ac:dyDescent="0.25">
      <c r="A916" s="53">
        <v>761</v>
      </c>
    </row>
    <row r="917" spans="1:1" ht="18.75" x14ac:dyDescent="0.25">
      <c r="A917" s="52" t="s">
        <v>429</v>
      </c>
    </row>
    <row r="918" spans="1:1" ht="18.75" x14ac:dyDescent="0.25">
      <c r="A918" s="53" t="s">
        <v>430</v>
      </c>
    </row>
    <row r="919" spans="1:1" ht="18.75" x14ac:dyDescent="0.25">
      <c r="A919" s="52">
        <v>678</v>
      </c>
    </row>
    <row r="920" spans="1:1" ht="18.75" x14ac:dyDescent="0.25">
      <c r="A920" s="53" t="s">
        <v>431</v>
      </c>
    </row>
    <row r="921" spans="1:1" ht="18.75" x14ac:dyDescent="0.25">
      <c r="A921" s="52">
        <v>766</v>
      </c>
    </row>
    <row r="922" spans="1:1" ht="18.75" x14ac:dyDescent="0.25">
      <c r="A922" s="53" t="s">
        <v>432</v>
      </c>
    </row>
    <row r="923" spans="1:1" ht="18.75" x14ac:dyDescent="0.25">
      <c r="A923" s="52">
        <v>773</v>
      </c>
    </row>
    <row r="924" spans="1:1" ht="18.75" x14ac:dyDescent="0.25">
      <c r="A924" s="53">
        <v>774</v>
      </c>
    </row>
    <row r="925" spans="1:1" ht="18.75" x14ac:dyDescent="0.25">
      <c r="A925" s="52">
        <v>781</v>
      </c>
    </row>
    <row r="926" spans="1:1" ht="18.75" x14ac:dyDescent="0.25">
      <c r="A926" s="53">
        <v>769</v>
      </c>
    </row>
    <row r="927" spans="1:1" ht="18.75" x14ac:dyDescent="0.25">
      <c r="A927" s="52">
        <v>770</v>
      </c>
    </row>
    <row r="928" spans="1:1" ht="18.75" x14ac:dyDescent="0.25">
      <c r="A928" s="53">
        <v>768</v>
      </c>
    </row>
    <row r="929" spans="1:1" ht="18.75" x14ac:dyDescent="0.25">
      <c r="A929" s="52">
        <v>788</v>
      </c>
    </row>
    <row r="930" spans="1:1" ht="18.75" x14ac:dyDescent="0.25">
      <c r="A930" s="53">
        <v>771</v>
      </c>
    </row>
    <row r="931" spans="1:1" ht="18.75" x14ac:dyDescent="0.25">
      <c r="A931" s="52">
        <v>780</v>
      </c>
    </row>
    <row r="932" spans="1:1" ht="18.75" x14ac:dyDescent="0.25">
      <c r="A932" s="53">
        <v>779</v>
      </c>
    </row>
    <row r="933" spans="1:1" ht="18.75" x14ac:dyDescent="0.25">
      <c r="A933" s="52">
        <v>777</v>
      </c>
    </row>
    <row r="934" spans="1:1" ht="18.75" x14ac:dyDescent="0.25">
      <c r="A934" s="53">
        <v>784</v>
      </c>
    </row>
    <row r="935" spans="1:1" ht="18.75" x14ac:dyDescent="0.25">
      <c r="A935" s="52">
        <v>783</v>
      </c>
    </row>
    <row r="936" spans="1:1" ht="18.75" x14ac:dyDescent="0.25">
      <c r="A936" s="53" t="s">
        <v>433</v>
      </c>
    </row>
    <row r="937" spans="1:1" ht="18.75" x14ac:dyDescent="0.25">
      <c r="A937" s="52">
        <v>791</v>
      </c>
    </row>
    <row r="938" spans="1:1" ht="18.75" x14ac:dyDescent="0.25">
      <c r="A938" s="53">
        <v>792</v>
      </c>
    </row>
    <row r="939" spans="1:1" ht="18.75" x14ac:dyDescent="0.25">
      <c r="A939" s="52">
        <v>794</v>
      </c>
    </row>
    <row r="940" spans="1:1" ht="18.75" x14ac:dyDescent="0.25">
      <c r="A940" s="53" t="s">
        <v>434</v>
      </c>
    </row>
    <row r="941" spans="1:1" ht="18.75" x14ac:dyDescent="0.25">
      <c r="A941" s="52">
        <v>795</v>
      </c>
    </row>
    <row r="942" spans="1:1" ht="18.75" x14ac:dyDescent="0.25">
      <c r="A942" s="53">
        <v>750</v>
      </c>
    </row>
    <row r="943" spans="1:1" ht="18.75" x14ac:dyDescent="0.25">
      <c r="A943" s="52" t="s">
        <v>435</v>
      </c>
    </row>
    <row r="944" spans="1:1" ht="18.75" x14ac:dyDescent="0.25">
      <c r="A944" s="53">
        <v>752</v>
      </c>
    </row>
    <row r="945" spans="1:1" ht="18.75" x14ac:dyDescent="0.25">
      <c r="A945" s="52">
        <v>736</v>
      </c>
    </row>
    <row r="946" spans="1:1" ht="18.75" x14ac:dyDescent="0.25">
      <c r="A946" s="53">
        <v>737</v>
      </c>
    </row>
    <row r="947" spans="1:1" ht="18.75" x14ac:dyDescent="0.25">
      <c r="A947" s="52">
        <v>799</v>
      </c>
    </row>
    <row r="948" spans="1:1" ht="18.75" x14ac:dyDescent="0.25">
      <c r="A948" s="53">
        <v>785</v>
      </c>
    </row>
    <row r="949" spans="1:1" ht="18.75" x14ac:dyDescent="0.25">
      <c r="A949" s="52">
        <v>775</v>
      </c>
    </row>
    <row r="950" spans="1:1" ht="18.75" x14ac:dyDescent="0.25">
      <c r="A950" s="53">
        <v>898</v>
      </c>
    </row>
    <row r="951" spans="1:1" ht="18.75" x14ac:dyDescent="0.25">
      <c r="A951" s="52">
        <v>796</v>
      </c>
    </row>
    <row r="952" spans="1:1" ht="18.75" x14ac:dyDescent="0.25">
      <c r="A952" s="53">
        <v>787</v>
      </c>
    </row>
    <row r="953" spans="1:1" ht="18.75" x14ac:dyDescent="0.25">
      <c r="A953" s="52" t="s">
        <v>436</v>
      </c>
    </row>
    <row r="954" spans="1:1" ht="18.75" x14ac:dyDescent="0.25">
      <c r="A954" s="53">
        <v>805</v>
      </c>
    </row>
    <row r="955" spans="1:1" ht="18.75" x14ac:dyDescent="0.25">
      <c r="A955" s="52" t="s">
        <v>437</v>
      </c>
    </row>
    <row r="956" spans="1:1" ht="18.75" x14ac:dyDescent="0.25">
      <c r="A956" s="53">
        <v>803</v>
      </c>
    </row>
    <row r="957" spans="1:1" ht="18.75" x14ac:dyDescent="0.25">
      <c r="A957" s="52">
        <v>801</v>
      </c>
    </row>
    <row r="958" spans="1:1" ht="18.75" x14ac:dyDescent="0.25">
      <c r="A958" s="53">
        <v>786</v>
      </c>
    </row>
    <row r="959" spans="1:1" ht="18.75" x14ac:dyDescent="0.25">
      <c r="A959" s="52">
        <v>797</v>
      </c>
    </row>
    <row r="960" spans="1:1" ht="18.75" x14ac:dyDescent="0.25">
      <c r="A960" s="53">
        <v>802</v>
      </c>
    </row>
    <row r="961" spans="1:1" ht="18.75" x14ac:dyDescent="0.25">
      <c r="A961" s="52">
        <v>804</v>
      </c>
    </row>
    <row r="962" spans="1:1" ht="18.75" x14ac:dyDescent="0.25">
      <c r="A962" s="53">
        <v>806</v>
      </c>
    </row>
    <row r="963" spans="1:1" ht="18.75" x14ac:dyDescent="0.25">
      <c r="A963" s="52">
        <v>807</v>
      </c>
    </row>
    <row r="964" spans="1:1" ht="18.75" x14ac:dyDescent="0.25">
      <c r="A964" s="53">
        <v>782</v>
      </c>
    </row>
    <row r="965" spans="1:1" ht="18.75" x14ac:dyDescent="0.25">
      <c r="A965" s="52">
        <v>811</v>
      </c>
    </row>
    <row r="966" spans="1:1" ht="18.75" x14ac:dyDescent="0.25">
      <c r="A966" s="53">
        <v>812</v>
      </c>
    </row>
    <row r="967" spans="1:1" ht="18.75" x14ac:dyDescent="0.25">
      <c r="A967" s="52">
        <v>817</v>
      </c>
    </row>
    <row r="968" spans="1:1" ht="18.75" x14ac:dyDescent="0.25">
      <c r="A968" s="53">
        <v>815</v>
      </c>
    </row>
    <row r="969" spans="1:1" ht="18.75" x14ac:dyDescent="0.25">
      <c r="A969" s="52">
        <v>813</v>
      </c>
    </row>
    <row r="970" spans="1:1" ht="18.75" x14ac:dyDescent="0.25">
      <c r="A970" s="53">
        <v>778</v>
      </c>
    </row>
    <row r="971" spans="1:1" ht="18.75" x14ac:dyDescent="0.25">
      <c r="A971" s="52">
        <v>824</v>
      </c>
    </row>
    <row r="972" spans="1:1" ht="18.75" x14ac:dyDescent="0.25">
      <c r="A972" s="53">
        <v>821</v>
      </c>
    </row>
    <row r="973" spans="1:1" ht="18.75" x14ac:dyDescent="0.25">
      <c r="A973" s="52">
        <v>819</v>
      </c>
    </row>
    <row r="974" spans="1:1" ht="18.75" x14ac:dyDescent="0.25">
      <c r="A974" s="53">
        <v>900</v>
      </c>
    </row>
    <row r="975" spans="1:1" ht="18.75" x14ac:dyDescent="0.25">
      <c r="A975" s="52">
        <v>901</v>
      </c>
    </row>
    <row r="976" spans="1:1" ht="18.75" x14ac:dyDescent="0.25">
      <c r="A976" s="53">
        <v>902</v>
      </c>
    </row>
    <row r="977" spans="1:1" ht="18.75" x14ac:dyDescent="0.25">
      <c r="A977" s="52">
        <v>903</v>
      </c>
    </row>
    <row r="978" spans="1:1" ht="18.75" x14ac:dyDescent="0.25">
      <c r="A978" s="53">
        <v>904</v>
      </c>
    </row>
    <row r="979" spans="1:1" ht="18.75" x14ac:dyDescent="0.25">
      <c r="A979" s="52">
        <v>905</v>
      </c>
    </row>
    <row r="980" spans="1:1" ht="18.75" x14ac:dyDescent="0.25">
      <c r="A980" s="53" t="s">
        <v>438</v>
      </c>
    </row>
    <row r="981" spans="1:1" ht="18.75" x14ac:dyDescent="0.25">
      <c r="A981" s="52">
        <v>818</v>
      </c>
    </row>
    <row r="982" spans="1:1" ht="18.75" x14ac:dyDescent="0.25">
      <c r="A982" s="53">
        <v>725</v>
      </c>
    </row>
    <row r="983" spans="1:1" ht="18.75" x14ac:dyDescent="0.25">
      <c r="A983" s="52">
        <v>816</v>
      </c>
    </row>
    <row r="984" spans="1:1" ht="18.75" x14ac:dyDescent="0.25">
      <c r="A984" s="53" t="s">
        <v>439</v>
      </c>
    </row>
    <row r="985" spans="1:1" ht="18.75" x14ac:dyDescent="0.25">
      <c r="A985" s="52">
        <v>825</v>
      </c>
    </row>
    <row r="986" spans="1:1" ht="18.75" x14ac:dyDescent="0.25">
      <c r="A986" s="53">
        <v>822</v>
      </c>
    </row>
    <row r="987" spans="1:1" ht="18.75" x14ac:dyDescent="0.25">
      <c r="A987" s="52">
        <v>826</v>
      </c>
    </row>
    <row r="988" spans="1:1" ht="18.75" x14ac:dyDescent="0.25">
      <c r="A988" s="53">
        <v>827</v>
      </c>
    </row>
    <row r="989" spans="1:1" ht="18.75" x14ac:dyDescent="0.25">
      <c r="A989" s="52" t="s">
        <v>440</v>
      </c>
    </row>
    <row r="990" spans="1:1" ht="18.75" x14ac:dyDescent="0.25">
      <c r="A990" s="55" t="s">
        <v>441</v>
      </c>
    </row>
    <row r="991" spans="1:1" ht="18.75" x14ac:dyDescent="0.25">
      <c r="A991" s="52">
        <v>831</v>
      </c>
    </row>
    <row r="992" spans="1:1" ht="18.75" x14ac:dyDescent="0.25">
      <c r="A992" s="53">
        <v>835</v>
      </c>
    </row>
    <row r="993" spans="1:1" ht="18.75" x14ac:dyDescent="0.25">
      <c r="A993" s="52">
        <v>838</v>
      </c>
    </row>
    <row r="994" spans="1:1" ht="18.75" x14ac:dyDescent="0.25">
      <c r="A994" s="53">
        <v>832</v>
      </c>
    </row>
    <row r="995" spans="1:1" ht="18.75" x14ac:dyDescent="0.25">
      <c r="A995" s="52">
        <v>837</v>
      </c>
    </row>
    <row r="996" spans="1:1" ht="18.75" x14ac:dyDescent="0.25">
      <c r="A996" s="53">
        <v>836</v>
      </c>
    </row>
    <row r="997" spans="1:1" ht="18.75" x14ac:dyDescent="0.25">
      <c r="A997" s="52" t="s">
        <v>442</v>
      </c>
    </row>
    <row r="998" spans="1:1" ht="18.75" x14ac:dyDescent="0.25">
      <c r="A998" s="53">
        <v>830</v>
      </c>
    </row>
    <row r="999" spans="1:1" ht="18.75" x14ac:dyDescent="0.25">
      <c r="A999" s="52">
        <v>843</v>
      </c>
    </row>
    <row r="1000" spans="1:1" ht="18.75" x14ac:dyDescent="0.25">
      <c r="A1000" s="53">
        <v>839</v>
      </c>
    </row>
    <row r="1001" spans="1:1" ht="18.75" x14ac:dyDescent="0.25">
      <c r="A1001" s="52">
        <v>841</v>
      </c>
    </row>
    <row r="1002" spans="1:1" ht="18.75" x14ac:dyDescent="0.25">
      <c r="A1002" s="53" t="s">
        <v>443</v>
      </c>
    </row>
    <row r="1003" spans="1:1" ht="18.75" x14ac:dyDescent="0.25">
      <c r="A1003" s="52">
        <v>828</v>
      </c>
    </row>
    <row r="1004" spans="1:1" ht="18.75" x14ac:dyDescent="0.25">
      <c r="A1004" s="53">
        <v>848</v>
      </c>
    </row>
    <row r="1005" spans="1:1" ht="18.75" x14ac:dyDescent="0.25">
      <c r="A1005" s="52">
        <v>842</v>
      </c>
    </row>
    <row r="1006" spans="1:1" ht="18.75" x14ac:dyDescent="0.25">
      <c r="A1006" s="53">
        <v>849</v>
      </c>
    </row>
    <row r="1007" spans="1:1" ht="18.75" x14ac:dyDescent="0.25">
      <c r="A1007" s="52">
        <v>854</v>
      </c>
    </row>
    <row r="1008" spans="1:1" ht="18.75" x14ac:dyDescent="0.25">
      <c r="A1008" s="55" t="s">
        <v>444</v>
      </c>
    </row>
    <row r="1009" spans="1:1" ht="18.75" x14ac:dyDescent="0.25">
      <c r="A1009" s="52">
        <v>853</v>
      </c>
    </row>
    <row r="1010" spans="1:1" ht="18.75" x14ac:dyDescent="0.25">
      <c r="A1010" s="53">
        <v>850</v>
      </c>
    </row>
    <row r="1011" spans="1:1" ht="18.75" x14ac:dyDescent="0.25">
      <c r="A1011" s="52">
        <v>851</v>
      </c>
    </row>
    <row r="1012" spans="1:1" ht="18.75" x14ac:dyDescent="0.25">
      <c r="A1012" s="53">
        <v>852</v>
      </c>
    </row>
    <row r="1013" spans="1:1" ht="18.75" x14ac:dyDescent="0.25">
      <c r="A1013" s="52">
        <v>861</v>
      </c>
    </row>
    <row r="1014" spans="1:1" ht="18.75" x14ac:dyDescent="0.25">
      <c r="A1014" s="53">
        <v>860</v>
      </c>
    </row>
    <row r="1015" spans="1:1" ht="18.75" x14ac:dyDescent="0.25">
      <c r="A1015" s="52">
        <v>862</v>
      </c>
    </row>
    <row r="1016" spans="1:1" ht="18.75" x14ac:dyDescent="0.25">
      <c r="A1016" s="53">
        <v>859</v>
      </c>
    </row>
    <row r="1017" spans="1:1" ht="18.75" x14ac:dyDescent="0.25">
      <c r="A1017" s="52">
        <v>857</v>
      </c>
    </row>
    <row r="1018" spans="1:1" ht="18.75" x14ac:dyDescent="0.25">
      <c r="A1018" s="53">
        <v>864</v>
      </c>
    </row>
    <row r="1019" spans="1:1" ht="18.75" x14ac:dyDescent="0.25">
      <c r="A1019" s="52">
        <v>855</v>
      </c>
    </row>
    <row r="1020" spans="1:1" ht="18.75" x14ac:dyDescent="0.25">
      <c r="A1020" s="53">
        <v>845</v>
      </c>
    </row>
    <row r="1021" spans="1:1" ht="18.75" x14ac:dyDescent="0.25">
      <c r="A1021" s="52" t="s">
        <v>445</v>
      </c>
    </row>
    <row r="1022" spans="1:1" ht="18.75" x14ac:dyDescent="0.25">
      <c r="A1022" s="53">
        <v>844</v>
      </c>
    </row>
    <row r="1023" spans="1:1" ht="18.75" x14ac:dyDescent="0.25">
      <c r="A1023" s="52">
        <v>856</v>
      </c>
    </row>
    <row r="1024" spans="1:1" ht="18.75" x14ac:dyDescent="0.25">
      <c r="A1024" s="53">
        <v>865</v>
      </c>
    </row>
    <row r="1025" spans="1:1" ht="18.75" x14ac:dyDescent="0.25">
      <c r="A1025" s="52">
        <v>847</v>
      </c>
    </row>
    <row r="1026" spans="1:1" ht="18.75" x14ac:dyDescent="0.25">
      <c r="A1026" s="53">
        <v>869</v>
      </c>
    </row>
    <row r="1027" spans="1:1" ht="18.75" x14ac:dyDescent="0.25">
      <c r="A1027" s="52">
        <v>868</v>
      </c>
    </row>
    <row r="1028" spans="1:1" ht="18.75" x14ac:dyDescent="0.25">
      <c r="A1028" s="53">
        <v>866</v>
      </c>
    </row>
    <row r="1029" spans="1:1" ht="18.75" x14ac:dyDescent="0.25">
      <c r="A1029" s="52">
        <v>872</v>
      </c>
    </row>
    <row r="1030" spans="1:1" ht="18.75" x14ac:dyDescent="0.25">
      <c r="A1030" s="53">
        <v>870</v>
      </c>
    </row>
    <row r="1031" spans="1:1" ht="18.75" x14ac:dyDescent="0.25">
      <c r="A1031" s="52">
        <v>871</v>
      </c>
    </row>
    <row r="1032" spans="1:1" ht="18.75" x14ac:dyDescent="0.25">
      <c r="A1032" s="53">
        <v>874</v>
      </c>
    </row>
    <row r="1033" spans="1:1" ht="18.75" x14ac:dyDescent="0.25">
      <c r="A1033" s="52">
        <v>873</v>
      </c>
    </row>
    <row r="1034" spans="1:1" ht="18.75" x14ac:dyDescent="0.25">
      <c r="A1034" s="53">
        <v>867</v>
      </c>
    </row>
    <row r="1035" spans="1:1" ht="18.75" x14ac:dyDescent="0.25">
      <c r="A1035" s="52">
        <v>882</v>
      </c>
    </row>
    <row r="1036" spans="1:1" ht="18.75" x14ac:dyDescent="0.25">
      <c r="A1036" s="53">
        <v>878</v>
      </c>
    </row>
    <row r="1037" spans="1:1" ht="18.75" x14ac:dyDescent="0.25">
      <c r="A1037" s="54" t="s">
        <v>446</v>
      </c>
    </row>
    <row r="1038" spans="1:1" ht="18.75" x14ac:dyDescent="0.25">
      <c r="A1038" s="53">
        <v>881</v>
      </c>
    </row>
    <row r="1039" spans="1:1" ht="18.75" x14ac:dyDescent="0.25">
      <c r="A1039" s="52">
        <v>883</v>
      </c>
    </row>
    <row r="1040" spans="1:1" ht="18.75" x14ac:dyDescent="0.25">
      <c r="A1040" s="53">
        <v>879</v>
      </c>
    </row>
    <row r="1041" spans="1:1" ht="18.75" x14ac:dyDescent="0.25">
      <c r="A1041" s="52">
        <v>877</v>
      </c>
    </row>
    <row r="1042" spans="1:1" ht="18.75" x14ac:dyDescent="0.25">
      <c r="A1042" s="53">
        <v>863</v>
      </c>
    </row>
    <row r="1043" spans="1:1" ht="18.75" x14ac:dyDescent="0.25">
      <c r="A1043" s="52">
        <v>888</v>
      </c>
    </row>
    <row r="1044" spans="1:1" ht="18.75" x14ac:dyDescent="0.25">
      <c r="A1044" s="53">
        <v>890</v>
      </c>
    </row>
    <row r="1045" spans="1:1" ht="18.75" x14ac:dyDescent="0.25">
      <c r="A1045" s="52">
        <v>885</v>
      </c>
    </row>
    <row r="1046" spans="1:1" ht="18.75" x14ac:dyDescent="0.25">
      <c r="A1046" s="53">
        <v>840</v>
      </c>
    </row>
    <row r="1047" spans="1:1" ht="18.75" x14ac:dyDescent="0.25">
      <c r="A1047" s="52">
        <v>887</v>
      </c>
    </row>
    <row r="1048" spans="1:1" ht="18.75" x14ac:dyDescent="0.25">
      <c r="A1048" s="53">
        <v>896</v>
      </c>
    </row>
    <row r="1049" spans="1:1" ht="18.75" x14ac:dyDescent="0.25">
      <c r="A1049" s="52">
        <v>895</v>
      </c>
    </row>
    <row r="1050" spans="1:1" ht="18.75" x14ac:dyDescent="0.25">
      <c r="A1050" s="53">
        <v>897</v>
      </c>
    </row>
    <row r="1051" spans="1:1" ht="18.75" x14ac:dyDescent="0.25">
      <c r="A1051" s="52">
        <v>875</v>
      </c>
    </row>
    <row r="1052" spans="1:1" ht="18.75" x14ac:dyDescent="0.25">
      <c r="A1052" s="53">
        <v>876</v>
      </c>
    </row>
    <row r="1053" spans="1:1" ht="18.75" x14ac:dyDescent="0.25">
      <c r="A1053" s="52">
        <v>894</v>
      </c>
    </row>
    <row r="1054" spans="1:1" ht="18.75" x14ac:dyDescent="0.25">
      <c r="A1054" s="53">
        <v>858</v>
      </c>
    </row>
    <row r="1055" spans="1:1" ht="18.75" x14ac:dyDescent="0.25">
      <c r="A1055" s="52">
        <v>892</v>
      </c>
    </row>
    <row r="1056" spans="1:1" ht="18.75" x14ac:dyDescent="0.25">
      <c r="A1056" s="53">
        <v>886</v>
      </c>
    </row>
    <row r="1057" spans="1:1" ht="18.75" x14ac:dyDescent="0.25">
      <c r="A1057" s="52">
        <v>899</v>
      </c>
    </row>
    <row r="1058" spans="1:1" ht="18.75" x14ac:dyDescent="0.25">
      <c r="A1058" s="53">
        <v>950</v>
      </c>
    </row>
    <row r="1059" spans="1:1" ht="18.75" x14ac:dyDescent="0.25">
      <c r="A1059" s="52">
        <v>953</v>
      </c>
    </row>
    <row r="1060" spans="1:1" ht="18.75" x14ac:dyDescent="0.25">
      <c r="A1060" s="53">
        <v>909</v>
      </c>
    </row>
    <row r="1061" spans="1:1" ht="18.75" x14ac:dyDescent="0.25">
      <c r="A1061" s="52">
        <v>893</v>
      </c>
    </row>
    <row r="1062" spans="1:1" ht="18.75" x14ac:dyDescent="0.25">
      <c r="A1062" s="53">
        <v>954</v>
      </c>
    </row>
    <row r="1063" spans="1:1" ht="18.75" x14ac:dyDescent="0.25">
      <c r="A1063" s="52">
        <v>636</v>
      </c>
    </row>
    <row r="1064" spans="1:1" ht="18.75" x14ac:dyDescent="0.25">
      <c r="A1064" s="53">
        <v>911</v>
      </c>
    </row>
    <row r="1065" spans="1:1" ht="18.75" x14ac:dyDescent="0.25">
      <c r="A1065" s="52">
        <v>908</v>
      </c>
    </row>
    <row r="1066" spans="1:1" ht="18.75" x14ac:dyDescent="0.25">
      <c r="A1066" s="53">
        <v>884</v>
      </c>
    </row>
    <row r="1067" spans="1:1" ht="18.75" x14ac:dyDescent="0.25">
      <c r="A1067" s="52">
        <v>891</v>
      </c>
    </row>
    <row r="1068" spans="1:1" ht="18.75" x14ac:dyDescent="0.25">
      <c r="A1068" s="53">
        <v>907</v>
      </c>
    </row>
    <row r="1069" spans="1:1" ht="18.75" x14ac:dyDescent="0.25">
      <c r="A1069" s="52">
        <v>948</v>
      </c>
    </row>
    <row r="1070" spans="1:1" ht="18.75" x14ac:dyDescent="0.25">
      <c r="A1070" s="53">
        <v>910</v>
      </c>
    </row>
    <row r="1071" spans="1:1" ht="18.75" x14ac:dyDescent="0.25">
      <c r="A1071" s="52">
        <v>919</v>
      </c>
    </row>
    <row r="1072" spans="1:1" ht="18.75" x14ac:dyDescent="0.25">
      <c r="A1072" s="53">
        <v>913</v>
      </c>
    </row>
    <row r="1073" spans="1:1" ht="18.75" x14ac:dyDescent="0.25">
      <c r="A1073" s="52">
        <v>918</v>
      </c>
    </row>
    <row r="1074" spans="1:1" ht="18.75" x14ac:dyDescent="0.25">
      <c r="A1074" s="53">
        <v>912</v>
      </c>
    </row>
    <row r="1075" spans="1:1" ht="18.75" x14ac:dyDescent="0.25">
      <c r="A1075" s="52">
        <v>914</v>
      </c>
    </row>
    <row r="1076" spans="1:1" ht="18.75" x14ac:dyDescent="0.25">
      <c r="A1076" s="53">
        <v>916</v>
      </c>
    </row>
    <row r="1077" spans="1:1" ht="18.75" x14ac:dyDescent="0.25">
      <c r="A1077" s="52">
        <v>925</v>
      </c>
    </row>
    <row r="1078" spans="1:1" ht="18.75" x14ac:dyDescent="0.25">
      <c r="A1078" s="53">
        <v>922</v>
      </c>
    </row>
    <row r="1079" spans="1:1" ht="18.75" x14ac:dyDescent="0.25">
      <c r="A1079" s="52">
        <v>930</v>
      </c>
    </row>
    <row r="1080" spans="1:1" ht="18.75" x14ac:dyDescent="0.25">
      <c r="A1080" s="53">
        <v>927</v>
      </c>
    </row>
    <row r="1081" spans="1:1" ht="18.75" x14ac:dyDescent="0.25">
      <c r="A1081" s="52">
        <v>923</v>
      </c>
    </row>
    <row r="1082" spans="1:1" ht="18.75" x14ac:dyDescent="0.25">
      <c r="A1082" s="53">
        <v>941</v>
      </c>
    </row>
    <row r="1083" spans="1:1" ht="18.75" x14ac:dyDescent="0.25">
      <c r="A1083" s="52">
        <v>929</v>
      </c>
    </row>
    <row r="1084" spans="1:1" ht="18.75" x14ac:dyDescent="0.25">
      <c r="A1084" s="53">
        <v>938</v>
      </c>
    </row>
    <row r="1085" spans="1:1" ht="18.75" x14ac:dyDescent="0.25">
      <c r="A1085" s="52">
        <v>939</v>
      </c>
    </row>
    <row r="1086" spans="1:1" ht="18.75" x14ac:dyDescent="0.25">
      <c r="A1086" s="53">
        <v>917</v>
      </c>
    </row>
    <row r="1087" spans="1:1" ht="18.75" x14ac:dyDescent="0.25">
      <c r="A1087" s="52">
        <v>943</v>
      </c>
    </row>
    <row r="1088" spans="1:1" ht="18.75" x14ac:dyDescent="0.25">
      <c r="A1088" s="53" t="s">
        <v>447</v>
      </c>
    </row>
    <row r="1089" spans="1:1" ht="18.75" x14ac:dyDescent="0.25">
      <c r="A1089" s="52">
        <v>940</v>
      </c>
    </row>
    <row r="1090" spans="1:1" ht="18.75" x14ac:dyDescent="0.25">
      <c r="A1090" s="53">
        <v>926</v>
      </c>
    </row>
    <row r="1091" spans="1:1" ht="18.75" x14ac:dyDescent="0.25">
      <c r="A1091" s="52">
        <v>932</v>
      </c>
    </row>
    <row r="1092" spans="1:1" ht="18.75" x14ac:dyDescent="0.25">
      <c r="A1092" s="53">
        <v>944</v>
      </c>
    </row>
    <row r="1093" spans="1:1" ht="18.75" x14ac:dyDescent="0.25">
      <c r="A1093" s="52">
        <v>960</v>
      </c>
    </row>
    <row r="1094" spans="1:1" ht="18.75" x14ac:dyDescent="0.25">
      <c r="A1094" s="53">
        <v>958</v>
      </c>
    </row>
    <row r="1095" spans="1:1" ht="18.75" x14ac:dyDescent="0.25">
      <c r="A1095" s="52">
        <v>957</v>
      </c>
    </row>
    <row r="1096" spans="1:1" ht="18.75" x14ac:dyDescent="0.25">
      <c r="A1096" s="53">
        <v>956</v>
      </c>
    </row>
    <row r="1097" spans="1:1" ht="18.75" x14ac:dyDescent="0.25">
      <c r="A1097" s="52">
        <v>955</v>
      </c>
    </row>
    <row r="1098" spans="1:1" ht="18.75" x14ac:dyDescent="0.25">
      <c r="A1098" s="53" t="s">
        <v>448</v>
      </c>
    </row>
    <row r="1099" spans="1:1" ht="18.75" x14ac:dyDescent="0.25">
      <c r="A1099" s="52">
        <v>889</v>
      </c>
    </row>
    <row r="1100" spans="1:1" ht="18.75" x14ac:dyDescent="0.25">
      <c r="A1100" s="53">
        <v>964</v>
      </c>
    </row>
    <row r="1101" spans="1:1" ht="18.75" x14ac:dyDescent="0.25">
      <c r="A1101" s="52">
        <v>961</v>
      </c>
    </row>
    <row r="1102" spans="1:1" ht="18.75" x14ac:dyDescent="0.25">
      <c r="A1102" s="53">
        <v>962</v>
      </c>
    </row>
    <row r="1103" spans="1:1" ht="18.75" x14ac:dyDescent="0.25">
      <c r="A1103" s="52">
        <v>963</v>
      </c>
    </row>
    <row r="1104" spans="1:1" ht="18.75" x14ac:dyDescent="0.25">
      <c r="A1104" s="53">
        <v>942</v>
      </c>
    </row>
    <row r="1105" spans="1:1" ht="18.75" x14ac:dyDescent="0.25">
      <c r="A1105" s="52" t="s">
        <v>449</v>
      </c>
    </row>
    <row r="1106" spans="1:1" ht="18.75" x14ac:dyDescent="0.25">
      <c r="A1106" s="53">
        <v>945</v>
      </c>
    </row>
    <row r="1107" spans="1:1" ht="18.75" x14ac:dyDescent="0.25">
      <c r="A1107" s="52">
        <v>966</v>
      </c>
    </row>
    <row r="1108" spans="1:1" ht="18.75" x14ac:dyDescent="0.25">
      <c r="A1108" s="53">
        <v>967</v>
      </c>
    </row>
    <row r="1109" spans="1:1" ht="18.75" x14ac:dyDescent="0.25">
      <c r="A1109" s="52">
        <v>969</v>
      </c>
    </row>
    <row r="1110" spans="1:1" ht="18.75" x14ac:dyDescent="0.25">
      <c r="A1110" s="53">
        <v>970</v>
      </c>
    </row>
    <row r="1111" spans="1:1" ht="18.75" x14ac:dyDescent="0.25">
      <c r="A1111" s="52">
        <v>971</v>
      </c>
    </row>
    <row r="1112" spans="1:1" ht="18.75" x14ac:dyDescent="0.25">
      <c r="A1112" s="53">
        <v>972</v>
      </c>
    </row>
    <row r="1113" spans="1:1" ht="18.75" x14ac:dyDescent="0.25">
      <c r="A1113" s="52">
        <v>976</v>
      </c>
    </row>
    <row r="1114" spans="1:1" ht="18.75" x14ac:dyDescent="0.25">
      <c r="A1114" s="53">
        <v>975</v>
      </c>
    </row>
    <row r="1115" spans="1:1" ht="18.75" x14ac:dyDescent="0.25">
      <c r="A1115" s="52">
        <v>981</v>
      </c>
    </row>
    <row r="1116" spans="1:1" ht="18.75" x14ac:dyDescent="0.25">
      <c r="A1116" s="53">
        <v>979</v>
      </c>
    </row>
    <row r="1117" spans="1:1" ht="18.75" x14ac:dyDescent="0.25">
      <c r="A1117" s="52">
        <v>978</v>
      </c>
    </row>
    <row r="1118" spans="1:1" ht="18.75" x14ac:dyDescent="0.25">
      <c r="A1118" s="53">
        <v>980</v>
      </c>
    </row>
    <row r="1119" spans="1:1" ht="18.75" x14ac:dyDescent="0.25">
      <c r="A1119" s="52">
        <v>982</v>
      </c>
    </row>
    <row r="1120" spans="1:1" ht="18.75" x14ac:dyDescent="0.25">
      <c r="A1120" s="53">
        <v>986</v>
      </c>
    </row>
    <row r="1121" spans="1:1" ht="18.75" x14ac:dyDescent="0.25">
      <c r="A1121" s="52">
        <v>984</v>
      </c>
    </row>
    <row r="1122" spans="1:1" ht="18.75" x14ac:dyDescent="0.25">
      <c r="A1122" s="53">
        <v>992</v>
      </c>
    </row>
    <row r="1123" spans="1:1" ht="18.75" x14ac:dyDescent="0.25">
      <c r="A1123" s="52">
        <v>989</v>
      </c>
    </row>
    <row r="1124" spans="1:1" ht="18.75" x14ac:dyDescent="0.25">
      <c r="A1124" s="53">
        <v>987</v>
      </c>
    </row>
    <row r="1125" spans="1:1" ht="18.75" x14ac:dyDescent="0.25">
      <c r="A1125" s="52">
        <v>993</v>
      </c>
    </row>
    <row r="1126" spans="1:1" ht="18.75" x14ac:dyDescent="0.25">
      <c r="A1126" s="53">
        <v>998</v>
      </c>
    </row>
    <row r="1127" spans="1:1" ht="18.75" x14ac:dyDescent="0.25">
      <c r="A1127" s="52">
        <v>985</v>
      </c>
    </row>
    <row r="1128" spans="1:1" ht="18.75" x14ac:dyDescent="0.25">
      <c r="A1128" s="53">
        <v>999</v>
      </c>
    </row>
    <row r="1129" spans="1:1" ht="18.75" x14ac:dyDescent="0.25">
      <c r="A1129" s="52">
        <v>1000</v>
      </c>
    </row>
    <row r="1130" spans="1:1" ht="18.75" x14ac:dyDescent="0.25">
      <c r="A1130" s="53">
        <v>1002</v>
      </c>
    </row>
    <row r="1131" spans="1:1" ht="18.75" x14ac:dyDescent="0.25">
      <c r="A1131" s="52">
        <v>997</v>
      </c>
    </row>
    <row r="1132" spans="1:1" ht="18.75" x14ac:dyDescent="0.25">
      <c r="A1132" s="53">
        <v>990</v>
      </c>
    </row>
    <row r="1133" spans="1:1" ht="18.75" x14ac:dyDescent="0.25">
      <c r="A1133" s="52">
        <v>1001</v>
      </c>
    </row>
    <row r="1134" spans="1:1" ht="18.75" x14ac:dyDescent="0.25">
      <c r="A1134" s="53">
        <v>996</v>
      </c>
    </row>
    <row r="1135" spans="1:1" ht="18.75" x14ac:dyDescent="0.25">
      <c r="A1135" s="52">
        <v>1009</v>
      </c>
    </row>
    <row r="1136" spans="1:1" ht="18.75" x14ac:dyDescent="0.25">
      <c r="A1136" s="53">
        <v>1005</v>
      </c>
    </row>
    <row r="1137" spans="1:1" ht="18.75" x14ac:dyDescent="0.25">
      <c r="A1137" s="52" t="s">
        <v>450</v>
      </c>
    </row>
    <row r="1138" spans="1:1" ht="18.75" x14ac:dyDescent="0.25">
      <c r="A1138" s="53">
        <v>1007</v>
      </c>
    </row>
    <row r="1139" spans="1:1" ht="18.75" x14ac:dyDescent="0.25">
      <c r="A1139" s="52">
        <v>1006</v>
      </c>
    </row>
    <row r="1140" spans="1:1" ht="18.75" x14ac:dyDescent="0.25">
      <c r="A1140" s="53">
        <v>1008</v>
      </c>
    </row>
    <row r="1141" spans="1:1" ht="18.75" x14ac:dyDescent="0.25">
      <c r="A1141" s="52">
        <v>1010</v>
      </c>
    </row>
    <row r="1142" spans="1:1" ht="18.75" x14ac:dyDescent="0.25">
      <c r="A1142" s="53">
        <v>1015</v>
      </c>
    </row>
    <row r="1143" spans="1:1" ht="18.75" x14ac:dyDescent="0.25">
      <c r="A1143" s="52">
        <v>1016</v>
      </c>
    </row>
    <row r="1144" spans="1:1" ht="18.75" x14ac:dyDescent="0.25">
      <c r="A1144" s="53">
        <v>1018</v>
      </c>
    </row>
    <row r="1145" spans="1:1" ht="18.75" x14ac:dyDescent="0.25">
      <c r="A1145" s="52">
        <v>1019</v>
      </c>
    </row>
    <row r="1146" spans="1:1" ht="18.75" x14ac:dyDescent="0.25">
      <c r="A1146" s="53">
        <v>1021</v>
      </c>
    </row>
    <row r="1147" spans="1:1" ht="18.75" x14ac:dyDescent="0.25">
      <c r="A1147" s="52">
        <v>1025</v>
      </c>
    </row>
    <row r="1148" spans="1:1" ht="18.75" x14ac:dyDescent="0.25">
      <c r="A1148" s="53">
        <v>1024</v>
      </c>
    </row>
    <row r="1149" spans="1:1" ht="18.75" x14ac:dyDescent="0.25">
      <c r="A1149" s="52">
        <v>1020</v>
      </c>
    </row>
    <row r="1150" spans="1:1" ht="18.75" x14ac:dyDescent="0.25">
      <c r="A1150" s="53">
        <v>1022</v>
      </c>
    </row>
    <row r="1151" spans="1:1" ht="18.75" x14ac:dyDescent="0.25">
      <c r="A1151" s="52">
        <v>1023</v>
      </c>
    </row>
    <row r="1152" spans="1:1" ht="18.75" x14ac:dyDescent="0.25">
      <c r="A1152" s="53">
        <v>1028</v>
      </c>
    </row>
    <row r="1153" spans="1:1" ht="18.75" x14ac:dyDescent="0.25">
      <c r="A1153" s="52">
        <v>1027</v>
      </c>
    </row>
    <row r="1154" spans="1:1" ht="18.75" x14ac:dyDescent="0.25">
      <c r="A1154" s="53">
        <v>1029</v>
      </c>
    </row>
    <row r="1155" spans="1:1" ht="18.75" x14ac:dyDescent="0.25">
      <c r="A1155" s="52">
        <v>1033</v>
      </c>
    </row>
    <row r="1156" spans="1:1" ht="18.75" x14ac:dyDescent="0.25">
      <c r="A1156" s="53">
        <v>1031</v>
      </c>
    </row>
    <row r="1157" spans="1:1" ht="18.75" x14ac:dyDescent="0.25">
      <c r="A1157" s="52">
        <v>1035</v>
      </c>
    </row>
    <row r="1158" spans="1:1" ht="18.75" x14ac:dyDescent="0.25">
      <c r="A1158" s="53">
        <v>1030</v>
      </c>
    </row>
    <row r="1159" spans="1:1" ht="18.75" x14ac:dyDescent="0.25">
      <c r="A1159" s="52">
        <v>1038</v>
      </c>
    </row>
    <row r="1160" spans="1:1" ht="18.75" x14ac:dyDescent="0.25">
      <c r="A1160" s="53">
        <v>1040</v>
      </c>
    </row>
    <row r="1161" spans="1:1" ht="18.75" x14ac:dyDescent="0.25">
      <c r="A1161" s="52">
        <v>1042</v>
      </c>
    </row>
    <row r="1162" spans="1:1" ht="18.75" x14ac:dyDescent="0.25">
      <c r="A1162" s="53">
        <v>1041</v>
      </c>
    </row>
    <row r="1163" spans="1:1" ht="18.75" x14ac:dyDescent="0.25">
      <c r="A1163" s="52" t="s">
        <v>451</v>
      </c>
    </row>
    <row r="1164" spans="1:1" ht="18.75" x14ac:dyDescent="0.25">
      <c r="A1164" s="53">
        <v>1044</v>
      </c>
    </row>
    <row r="1165" spans="1:1" ht="18.75" x14ac:dyDescent="0.25">
      <c r="A1165" s="52">
        <v>1045</v>
      </c>
    </row>
    <row r="1166" spans="1:1" ht="18.75" x14ac:dyDescent="0.25">
      <c r="A1166" s="53">
        <v>1043</v>
      </c>
    </row>
    <row r="1167" spans="1:1" ht="18.75" x14ac:dyDescent="0.25">
      <c r="A1167" s="52">
        <v>1055</v>
      </c>
    </row>
    <row r="1168" spans="1:1" ht="18.75" x14ac:dyDescent="0.25">
      <c r="A1168" s="53">
        <v>1054</v>
      </c>
    </row>
    <row r="1169" spans="1:1" ht="18.75" x14ac:dyDescent="0.25">
      <c r="A1169" s="52">
        <v>1052</v>
      </c>
    </row>
    <row r="1170" spans="1:1" ht="18.75" x14ac:dyDescent="0.25">
      <c r="A1170" s="53">
        <v>1050</v>
      </c>
    </row>
    <row r="1171" spans="1:1" ht="18.75" x14ac:dyDescent="0.25">
      <c r="A1171" s="52">
        <v>1011</v>
      </c>
    </row>
    <row r="1172" spans="1:1" ht="18.75" x14ac:dyDescent="0.25">
      <c r="A1172" s="53">
        <v>1049</v>
      </c>
    </row>
    <row r="1173" spans="1:1" ht="18.75" x14ac:dyDescent="0.25">
      <c r="A1173" s="52">
        <v>1047</v>
      </c>
    </row>
    <row r="1174" spans="1:1" ht="18.75" x14ac:dyDescent="0.25">
      <c r="A1174" s="53">
        <v>1048</v>
      </c>
    </row>
    <row r="1175" spans="1:1" ht="18.75" x14ac:dyDescent="0.25">
      <c r="A1175" s="52">
        <v>1053</v>
      </c>
    </row>
    <row r="1176" spans="1:1" ht="18.75" x14ac:dyDescent="0.25">
      <c r="A1176" s="53">
        <v>1058</v>
      </c>
    </row>
    <row r="1177" spans="1:1" ht="18.75" x14ac:dyDescent="0.25">
      <c r="A1177" s="52">
        <v>1057</v>
      </c>
    </row>
    <row r="1178" spans="1:1" ht="18.75" x14ac:dyDescent="0.25">
      <c r="A1178" s="53">
        <v>1059</v>
      </c>
    </row>
    <row r="1179" spans="1:1" ht="18.75" x14ac:dyDescent="0.25">
      <c r="A1179" s="52">
        <v>1062</v>
      </c>
    </row>
    <row r="1180" spans="1:1" ht="18.75" x14ac:dyDescent="0.25">
      <c r="A1180" s="53">
        <v>1051</v>
      </c>
    </row>
    <row r="1181" spans="1:1" ht="18.75" x14ac:dyDescent="0.25">
      <c r="A1181" s="52">
        <v>1061</v>
      </c>
    </row>
    <row r="1182" spans="1:1" ht="18.75" x14ac:dyDescent="0.25">
      <c r="A1182" s="53">
        <v>1065</v>
      </c>
    </row>
    <row r="1183" spans="1:1" ht="18.75" x14ac:dyDescent="0.25">
      <c r="A1183" s="52">
        <v>1060</v>
      </c>
    </row>
    <row r="1184" spans="1:1" ht="18.75" x14ac:dyDescent="0.25">
      <c r="A1184" s="53">
        <v>1063</v>
      </c>
    </row>
    <row r="1185" spans="1:1" ht="18.75" x14ac:dyDescent="0.25">
      <c r="A1185" s="52">
        <v>1068</v>
      </c>
    </row>
    <row r="1186" spans="1:1" ht="18.75" x14ac:dyDescent="0.25">
      <c r="A1186" s="53">
        <v>1066</v>
      </c>
    </row>
    <row r="1187" spans="1:1" ht="18.75" x14ac:dyDescent="0.25">
      <c r="A1187" s="52">
        <v>1067</v>
      </c>
    </row>
    <row r="1188" spans="1:1" ht="18.75" x14ac:dyDescent="0.25">
      <c r="A1188" s="53">
        <v>1071</v>
      </c>
    </row>
    <row r="1189" spans="1:1" ht="18.75" x14ac:dyDescent="0.25">
      <c r="A1189" s="52">
        <v>1079</v>
      </c>
    </row>
    <row r="1190" spans="1:1" ht="18.75" x14ac:dyDescent="0.25">
      <c r="A1190" s="53">
        <v>1077</v>
      </c>
    </row>
    <row r="1191" spans="1:1" ht="18.75" x14ac:dyDescent="0.25">
      <c r="A1191" s="52">
        <v>1072</v>
      </c>
    </row>
    <row r="1192" spans="1:1" ht="18.75" x14ac:dyDescent="0.25">
      <c r="A1192" s="53">
        <v>1083</v>
      </c>
    </row>
    <row r="1193" spans="1:1" ht="18.75" x14ac:dyDescent="0.25">
      <c r="A1193" s="52">
        <v>1075</v>
      </c>
    </row>
    <row r="1194" spans="1:1" ht="18.75" x14ac:dyDescent="0.25">
      <c r="A1194" s="53">
        <v>1076</v>
      </c>
    </row>
    <row r="1195" spans="1:1" ht="18.75" x14ac:dyDescent="0.25">
      <c r="A1195" s="52">
        <v>1080</v>
      </c>
    </row>
    <row r="1196" spans="1:1" ht="18.75" x14ac:dyDescent="0.25">
      <c r="A1196" s="53">
        <v>1084</v>
      </c>
    </row>
    <row r="1197" spans="1:1" ht="18.75" x14ac:dyDescent="0.25">
      <c r="A1197" s="52">
        <v>1082</v>
      </c>
    </row>
    <row r="1198" spans="1:1" ht="18.75" x14ac:dyDescent="0.25">
      <c r="A1198" s="53">
        <v>1085</v>
      </c>
    </row>
    <row r="1199" spans="1:1" ht="18.75" x14ac:dyDescent="0.25">
      <c r="A1199" s="52">
        <v>1087</v>
      </c>
    </row>
    <row r="1200" spans="1:1" ht="18.75" x14ac:dyDescent="0.25">
      <c r="A1200" s="53">
        <v>1074</v>
      </c>
    </row>
    <row r="1201" spans="1:1" ht="18.75" x14ac:dyDescent="0.25">
      <c r="A1201" s="52">
        <v>1090</v>
      </c>
    </row>
    <row r="1202" spans="1:1" ht="18.75" x14ac:dyDescent="0.25">
      <c r="A1202" s="53">
        <v>1094</v>
      </c>
    </row>
    <row r="1203" spans="1:1" ht="18.75" x14ac:dyDescent="0.25">
      <c r="A1203" s="52">
        <v>1095</v>
      </c>
    </row>
    <row r="1204" spans="1:1" ht="18.75" x14ac:dyDescent="0.25">
      <c r="A1204" s="53">
        <v>1056</v>
      </c>
    </row>
    <row r="1205" spans="1:1" ht="18.75" x14ac:dyDescent="0.25">
      <c r="A1205" s="52">
        <v>1103</v>
      </c>
    </row>
    <row r="1206" spans="1:1" ht="18.75" x14ac:dyDescent="0.25">
      <c r="A1206" s="53">
        <v>1105</v>
      </c>
    </row>
    <row r="1207" spans="1:1" ht="18.75" x14ac:dyDescent="0.25">
      <c r="A1207" s="52" t="s">
        <v>452</v>
      </c>
    </row>
    <row r="1208" spans="1:1" ht="18.75" x14ac:dyDescent="0.25">
      <c r="A1208" s="53">
        <v>1096</v>
      </c>
    </row>
    <row r="1209" spans="1:1" ht="18.75" x14ac:dyDescent="0.25">
      <c r="A1209" s="52">
        <v>1081</v>
      </c>
    </row>
    <row r="1210" spans="1:1" ht="18.75" x14ac:dyDescent="0.25">
      <c r="A1210" s="53">
        <v>1064</v>
      </c>
    </row>
    <row r="1211" spans="1:1" ht="18.75" x14ac:dyDescent="0.25">
      <c r="A1211" s="52">
        <v>1104</v>
      </c>
    </row>
    <row r="1212" spans="1:1" ht="18.75" x14ac:dyDescent="0.25">
      <c r="A1212" s="53">
        <v>1093</v>
      </c>
    </row>
    <row r="1213" spans="1:1" ht="18.75" x14ac:dyDescent="0.25">
      <c r="A1213" s="52">
        <v>1111</v>
      </c>
    </row>
    <row r="1214" spans="1:1" ht="18.75" x14ac:dyDescent="0.25">
      <c r="A1214" s="53">
        <v>1117</v>
      </c>
    </row>
    <row r="1215" spans="1:1" ht="18.75" x14ac:dyDescent="0.25">
      <c r="A1215" s="52">
        <v>1110</v>
      </c>
    </row>
    <row r="1216" spans="1:1" ht="18.75" x14ac:dyDescent="0.25">
      <c r="A1216" s="53">
        <v>1113</v>
      </c>
    </row>
    <row r="1217" spans="1:1" ht="18.75" x14ac:dyDescent="0.25">
      <c r="A1217" s="52">
        <v>1118</v>
      </c>
    </row>
    <row r="1218" spans="1:1" ht="18.75" x14ac:dyDescent="0.25">
      <c r="A1218" s="53">
        <v>1102</v>
      </c>
    </row>
    <row r="1219" spans="1:1" ht="18.75" x14ac:dyDescent="0.25">
      <c r="A1219" s="52">
        <v>1115</v>
      </c>
    </row>
    <row r="1220" spans="1:1" ht="18.75" x14ac:dyDescent="0.25">
      <c r="A1220" s="53">
        <v>1116</v>
      </c>
    </row>
    <row r="1221" spans="1:1" ht="18.75" x14ac:dyDescent="0.25">
      <c r="A1221" s="52">
        <v>1114</v>
      </c>
    </row>
    <row r="1222" spans="1:1" ht="18.75" x14ac:dyDescent="0.25">
      <c r="A1222" s="53">
        <v>1078</v>
      </c>
    </row>
    <row r="1223" spans="1:1" ht="18.75" x14ac:dyDescent="0.25">
      <c r="A1223" s="52">
        <v>1112</v>
      </c>
    </row>
    <row r="1224" spans="1:1" ht="18.75" x14ac:dyDescent="0.25">
      <c r="A1224" s="53">
        <v>1125</v>
      </c>
    </row>
    <row r="1225" spans="1:1" ht="18.75" x14ac:dyDescent="0.25">
      <c r="A1225" s="52">
        <v>1108</v>
      </c>
    </row>
    <row r="1226" spans="1:1" ht="18.75" x14ac:dyDescent="0.25">
      <c r="A1226" s="53">
        <v>1126</v>
      </c>
    </row>
    <row r="1227" spans="1:1" ht="18.75" x14ac:dyDescent="0.25">
      <c r="A1227" s="52">
        <v>1127</v>
      </c>
    </row>
    <row r="1228" spans="1:1" ht="18.75" x14ac:dyDescent="0.25">
      <c r="A1228" s="53">
        <v>1122</v>
      </c>
    </row>
    <row r="1229" spans="1:1" ht="18.75" x14ac:dyDescent="0.25">
      <c r="A1229" s="52">
        <v>1128</v>
      </c>
    </row>
    <row r="1230" spans="1:1" ht="18.75" x14ac:dyDescent="0.25">
      <c r="A1230" s="53">
        <v>1134</v>
      </c>
    </row>
    <row r="1231" spans="1:1" ht="18.75" x14ac:dyDescent="0.25">
      <c r="A1231" s="52">
        <v>1132</v>
      </c>
    </row>
    <row r="1232" spans="1:1" ht="18.75" x14ac:dyDescent="0.25">
      <c r="A1232" s="53">
        <v>1141</v>
      </c>
    </row>
    <row r="1233" spans="1:1" ht="18.75" x14ac:dyDescent="0.25">
      <c r="A1233" s="52">
        <v>1138</v>
      </c>
    </row>
    <row r="1234" spans="1:1" ht="18.75" x14ac:dyDescent="0.25">
      <c r="A1234" s="53">
        <v>1120</v>
      </c>
    </row>
    <row r="1235" spans="1:1" ht="18.75" x14ac:dyDescent="0.25">
      <c r="A1235" s="52">
        <v>1109</v>
      </c>
    </row>
    <row r="1236" spans="1:1" ht="18.75" x14ac:dyDescent="0.25">
      <c r="A1236" s="53">
        <v>1139</v>
      </c>
    </row>
    <row r="1237" spans="1:1" ht="18.75" x14ac:dyDescent="0.25">
      <c r="A1237" s="52">
        <v>1144</v>
      </c>
    </row>
    <row r="1238" spans="1:1" ht="18.75" x14ac:dyDescent="0.25">
      <c r="A1238" s="53">
        <v>1133</v>
      </c>
    </row>
    <row r="1239" spans="1:1" ht="18.75" x14ac:dyDescent="0.25">
      <c r="A1239" s="52">
        <v>1142</v>
      </c>
    </row>
    <row r="1240" spans="1:1" ht="18.75" x14ac:dyDescent="0.25">
      <c r="A1240" s="53" t="s">
        <v>453</v>
      </c>
    </row>
    <row r="1241" spans="1:1" ht="18.75" x14ac:dyDescent="0.25">
      <c r="A1241" s="52">
        <v>1148</v>
      </c>
    </row>
    <row r="1242" spans="1:1" ht="18.75" x14ac:dyDescent="0.25">
      <c r="A1242" s="53">
        <v>1091</v>
      </c>
    </row>
    <row r="1243" spans="1:1" ht="18.75" x14ac:dyDescent="0.25">
      <c r="A1243" s="52">
        <v>1121</v>
      </c>
    </row>
    <row r="1244" spans="1:1" ht="18.75" x14ac:dyDescent="0.25">
      <c r="A1244" s="53">
        <v>1101</v>
      </c>
    </row>
    <row r="1245" spans="1:1" ht="18.75" x14ac:dyDescent="0.25">
      <c r="A1245" s="52">
        <v>1147</v>
      </c>
    </row>
    <row r="1246" spans="1:1" ht="18.75" x14ac:dyDescent="0.25">
      <c r="A1246" s="53">
        <v>1150</v>
      </c>
    </row>
    <row r="1247" spans="1:1" ht="18.75" x14ac:dyDescent="0.25">
      <c r="A1247" s="52">
        <v>1146</v>
      </c>
    </row>
    <row r="1248" spans="1:1" ht="18.75" x14ac:dyDescent="0.25">
      <c r="A1248" s="53">
        <v>1169</v>
      </c>
    </row>
    <row r="1249" spans="1:1" ht="18.75" x14ac:dyDescent="0.25">
      <c r="A1249" s="52">
        <v>1166</v>
      </c>
    </row>
    <row r="1250" spans="1:1" ht="18.75" x14ac:dyDescent="0.25">
      <c r="A1250" s="53">
        <v>1167</v>
      </c>
    </row>
    <row r="1251" spans="1:1" ht="18.75" x14ac:dyDescent="0.25">
      <c r="A1251" s="52">
        <v>1172</v>
      </c>
    </row>
    <row r="1252" spans="1:1" ht="18.75" x14ac:dyDescent="0.25">
      <c r="A1252" s="53">
        <v>1171</v>
      </c>
    </row>
    <row r="1253" spans="1:1" ht="18.75" x14ac:dyDescent="0.25">
      <c r="A1253" s="52">
        <v>1168</v>
      </c>
    </row>
    <row r="1254" spans="1:1" ht="18.75" x14ac:dyDescent="0.25">
      <c r="A1254" s="53">
        <v>1173</v>
      </c>
    </row>
    <row r="1255" spans="1:1" ht="18.75" x14ac:dyDescent="0.25">
      <c r="A1255" s="52">
        <v>1189</v>
      </c>
    </row>
    <row r="1256" spans="1:1" ht="18.75" x14ac:dyDescent="0.25">
      <c r="A1256" s="53">
        <v>1188</v>
      </c>
    </row>
    <row r="1257" spans="1:1" ht="18.75" x14ac:dyDescent="0.25">
      <c r="A1257" s="52">
        <v>1186</v>
      </c>
    </row>
    <row r="1258" spans="1:1" ht="18.75" x14ac:dyDescent="0.25">
      <c r="A1258" s="53">
        <v>1185</v>
      </c>
    </row>
    <row r="1259" spans="1:1" ht="18.75" x14ac:dyDescent="0.25">
      <c r="A1259" s="52">
        <v>1184</v>
      </c>
    </row>
    <row r="1260" spans="1:1" ht="18.75" x14ac:dyDescent="0.25">
      <c r="A1260" s="53">
        <v>1193</v>
      </c>
    </row>
    <row r="1261" spans="1:1" ht="18.75" x14ac:dyDescent="0.25">
      <c r="A1261" s="52">
        <v>1192</v>
      </c>
    </row>
    <row r="1262" spans="1:1" ht="18.75" x14ac:dyDescent="0.25">
      <c r="A1262" s="53">
        <v>1191</v>
      </c>
    </row>
    <row r="1263" spans="1:1" ht="18.75" x14ac:dyDescent="0.25">
      <c r="A1263" s="52">
        <v>1194</v>
      </c>
    </row>
    <row r="1264" spans="1:1" ht="18.75" x14ac:dyDescent="0.25">
      <c r="A1264" s="53">
        <v>1197</v>
      </c>
    </row>
    <row r="1265" spans="1:1" ht="18.75" x14ac:dyDescent="0.25">
      <c r="A1265" s="52">
        <v>1199</v>
      </c>
    </row>
    <row r="1266" spans="1:1" ht="18.75" x14ac:dyDescent="0.25">
      <c r="A1266" s="53">
        <v>1200</v>
      </c>
    </row>
    <row r="1267" spans="1:1" ht="18.75" x14ac:dyDescent="0.25">
      <c r="A1267" s="52">
        <v>1201</v>
      </c>
    </row>
    <row r="1268" spans="1:1" ht="18.75" x14ac:dyDescent="0.25">
      <c r="A1268" s="53">
        <v>1202</v>
      </c>
    </row>
    <row r="1269" spans="1:1" ht="18.75" x14ac:dyDescent="0.25">
      <c r="A1269" s="52">
        <v>1208</v>
      </c>
    </row>
    <row r="1270" spans="1:1" ht="18.75" x14ac:dyDescent="0.25">
      <c r="A1270" s="53">
        <v>1210</v>
      </c>
    </row>
    <row r="1271" spans="1:1" ht="18.75" x14ac:dyDescent="0.25">
      <c r="A1271" s="52">
        <v>1212</v>
      </c>
    </row>
    <row r="1272" spans="1:1" ht="18.75" x14ac:dyDescent="0.25">
      <c r="A1272" s="53">
        <v>1209</v>
      </c>
    </row>
    <row r="1273" spans="1:1" ht="18.75" x14ac:dyDescent="0.25">
      <c r="A1273" s="52">
        <v>1216</v>
      </c>
    </row>
    <row r="1274" spans="1:1" ht="18.75" x14ac:dyDescent="0.25">
      <c r="A1274" s="53">
        <v>1213</v>
      </c>
    </row>
    <row r="1275" spans="1:1" ht="18.75" x14ac:dyDescent="0.25">
      <c r="A1275" s="52">
        <v>1214</v>
      </c>
    </row>
    <row r="1276" spans="1:1" ht="18.75" x14ac:dyDescent="0.25">
      <c r="A1276" s="53">
        <v>1218</v>
      </c>
    </row>
    <row r="1277" spans="1:1" ht="18.75" x14ac:dyDescent="0.25">
      <c r="A1277" s="52">
        <v>1220</v>
      </c>
    </row>
    <row r="1278" spans="1:1" ht="18.75" x14ac:dyDescent="0.25">
      <c r="A1278" s="53" t="s">
        <v>454</v>
      </c>
    </row>
    <row r="1279" spans="1:1" ht="18.75" x14ac:dyDescent="0.25">
      <c r="A1279" s="52">
        <v>1223</v>
      </c>
    </row>
    <row r="1280" spans="1:1" ht="18.75" x14ac:dyDescent="0.25">
      <c r="A1280" s="53">
        <v>1226</v>
      </c>
    </row>
    <row r="1281" spans="1:1" ht="18.75" x14ac:dyDescent="0.25">
      <c r="A1281" s="52">
        <v>1225</v>
      </c>
    </row>
    <row r="1282" spans="1:1" ht="18.75" x14ac:dyDescent="0.25">
      <c r="A1282" s="53">
        <v>1224</v>
      </c>
    </row>
    <row r="1283" spans="1:1" ht="18.75" x14ac:dyDescent="0.25">
      <c r="A1283" s="52">
        <v>1233</v>
      </c>
    </row>
    <row r="1284" spans="1:1" ht="18.75" x14ac:dyDescent="0.25">
      <c r="A1284" s="53">
        <v>1234</v>
      </c>
    </row>
    <row r="1285" spans="1:1" ht="18.75" x14ac:dyDescent="0.25">
      <c r="A1285" s="52">
        <v>1235</v>
      </c>
    </row>
    <row r="1286" spans="1:1" ht="18.75" x14ac:dyDescent="0.25">
      <c r="A1286" s="53">
        <v>1164</v>
      </c>
    </row>
    <row r="1287" spans="1:1" ht="18.75" x14ac:dyDescent="0.25">
      <c r="A1287" s="52">
        <v>1227</v>
      </c>
    </row>
    <row r="1288" spans="1:1" ht="18.75" x14ac:dyDescent="0.25">
      <c r="A1288" s="53">
        <v>1211</v>
      </c>
    </row>
    <row r="1289" spans="1:1" ht="18.75" x14ac:dyDescent="0.25">
      <c r="A1289" s="52">
        <v>1215</v>
      </c>
    </row>
    <row r="1290" spans="1:1" ht="18.75" x14ac:dyDescent="0.25">
      <c r="A1290" s="53">
        <v>1228</v>
      </c>
    </row>
  </sheetData>
  <sheetProtection algorithmName="SHA-512" hashValue="BgkoNgaqTDMoXUIAraLlcCiX7mU8k+HW8lByOdmdpHFoF3XLf1JaKKZCw2ZFnXwJADCdcsFSvs5Vg1SCtg3xhA==" saltValue="Q0vUJmNz/3juGlC1jJlrCQ==" spinCount="100000" sheet="1" objects="1" scenarios="1"/>
  <pageMargins left="0.7" right="0.7" top="0.75" bottom="0.75" header="0.3" footer="0.3"/>
  <pageSetup orientation="portrait" r:id="rId1"/>
  <headerFooter>
    <oddHeader>&amp;C&amp;K139119&amp;10&amp;"Calibri"&amp;BPublic - عام&amp;B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517E-4966-43EE-A27D-FF0B9FDA690F}">
  <dimension ref="A1:Z11"/>
  <sheetViews>
    <sheetView showGridLines="0" rightToLeft="1" workbookViewId="0">
      <selection activeCell="H1" sqref="H1"/>
    </sheetView>
  </sheetViews>
  <sheetFormatPr defaultRowHeight="15" x14ac:dyDescent="0.25"/>
  <cols>
    <col min="1" max="1" width="1.85546875" bestFit="1" customWidth="1"/>
    <col min="2" max="2" width="8.42578125" bestFit="1" customWidth="1"/>
    <col min="3" max="3" width="8.42578125" customWidth="1"/>
    <col min="4" max="4" width="7.28515625" bestFit="1" customWidth="1"/>
    <col min="5" max="6" width="7.28515625" customWidth="1"/>
    <col min="7" max="7" width="7.85546875" bestFit="1" customWidth="1"/>
    <col min="8" max="8" width="8.7109375" bestFit="1" customWidth="1"/>
    <col min="9" max="9" width="3.85546875" bestFit="1" customWidth="1"/>
    <col min="10" max="10" width="6" bestFit="1" customWidth="1"/>
    <col min="11" max="11" width="8.140625" bestFit="1" customWidth="1"/>
    <col min="12" max="12" width="8.28515625" bestFit="1" customWidth="1"/>
    <col min="13" max="13" width="8.140625" bestFit="1" customWidth="1"/>
    <col min="14" max="14" width="7.7109375" bestFit="1" customWidth="1"/>
    <col min="15" max="16" width="7.140625" bestFit="1" customWidth="1"/>
    <col min="17" max="17" width="8.28515625" bestFit="1" customWidth="1"/>
    <col min="18" max="18" width="8" bestFit="1" customWidth="1"/>
    <col min="19" max="19" width="6.28515625" bestFit="1" customWidth="1"/>
    <col min="20" max="20" width="9" bestFit="1" customWidth="1"/>
    <col min="21" max="21" width="8.85546875" bestFit="1" customWidth="1"/>
    <col min="22" max="22" width="6" bestFit="1" customWidth="1"/>
    <col min="24" max="24" width="10.85546875" bestFit="1" customWidth="1"/>
    <col min="25" max="25" width="7" bestFit="1" customWidth="1"/>
    <col min="26" max="26" width="7.140625" bestFit="1" customWidth="1"/>
  </cols>
  <sheetData>
    <row r="1" spans="1:26" ht="126" x14ac:dyDescent="0.25">
      <c r="A1" s="2" t="s">
        <v>1</v>
      </c>
      <c r="B1" s="2" t="s">
        <v>2</v>
      </c>
      <c r="C1" s="2" t="s">
        <v>41</v>
      </c>
      <c r="D1" s="2" t="s">
        <v>3</v>
      </c>
      <c r="E1" s="2" t="s">
        <v>56</v>
      </c>
      <c r="F1" s="2" t="s">
        <v>55</v>
      </c>
      <c r="G1" s="2" t="s">
        <v>4</v>
      </c>
      <c r="H1" s="2" t="s">
        <v>16</v>
      </c>
      <c r="I1" s="2" t="s">
        <v>40</v>
      </c>
      <c r="J1" s="2" t="s">
        <v>26</v>
      </c>
      <c r="K1" s="2" t="s">
        <v>35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48</v>
      </c>
      <c r="U1" s="2" t="s">
        <v>46</v>
      </c>
      <c r="V1" s="2" t="s">
        <v>47</v>
      </c>
      <c r="W1" s="2" t="s">
        <v>13</v>
      </c>
      <c r="X1" s="2" t="s">
        <v>14</v>
      </c>
      <c r="Y1" s="2" t="s">
        <v>22</v>
      </c>
      <c r="Z1" s="2" t="s">
        <v>27</v>
      </c>
    </row>
    <row r="2" spans="1:26" ht="18.75" x14ac:dyDescent="0.45">
      <c r="A2" s="3">
        <v>1</v>
      </c>
      <c r="B2" s="15"/>
      <c r="C2" s="15"/>
      <c r="D2" s="16"/>
      <c r="E2" s="16"/>
      <c r="F2" s="16"/>
      <c r="G2" s="17"/>
      <c r="H2" s="17"/>
      <c r="I2" s="17"/>
      <c r="J2" s="17"/>
      <c r="K2" s="17"/>
      <c r="L2" s="17"/>
      <c r="M2" s="18"/>
      <c r="N2" s="17"/>
      <c r="O2" s="17"/>
      <c r="P2" s="17"/>
      <c r="Q2" s="17"/>
      <c r="R2" s="17"/>
      <c r="S2" s="19"/>
      <c r="T2" s="20"/>
      <c r="U2" s="12">
        <f>T2*5/100</f>
        <v>0</v>
      </c>
      <c r="V2" s="12">
        <f>T2+U2</f>
        <v>0</v>
      </c>
      <c r="W2" s="20">
        <v>0</v>
      </c>
      <c r="X2" s="11">
        <f>V2-W2</f>
        <v>0</v>
      </c>
      <c r="Y2" s="10" t="e">
        <f>W2/V2</f>
        <v>#DIV/0!</v>
      </c>
      <c r="Z2" s="11" t="e">
        <f>T2/J2</f>
        <v>#DIV/0!</v>
      </c>
    </row>
    <row r="3" spans="1:26" ht="18.75" x14ac:dyDescent="0.45">
      <c r="A3" s="3">
        <v>2</v>
      </c>
      <c r="B3" s="4"/>
      <c r="C3" s="4"/>
      <c r="D3" s="5"/>
      <c r="E3" s="5"/>
      <c r="F3" s="5"/>
      <c r="G3" s="6"/>
      <c r="H3" s="6"/>
      <c r="I3" s="6"/>
      <c r="J3" s="6"/>
      <c r="K3" s="6"/>
      <c r="L3" s="6"/>
      <c r="M3" s="7"/>
      <c r="N3" s="6"/>
      <c r="O3" s="6"/>
      <c r="P3" s="6"/>
      <c r="Q3" s="6"/>
      <c r="R3" s="6"/>
      <c r="S3" s="14"/>
      <c r="T3" s="9"/>
      <c r="U3" s="12">
        <f t="shared" ref="U3:U6" si="0">T3*5/100</f>
        <v>0</v>
      </c>
      <c r="V3" s="12">
        <f t="shared" ref="V3:V6" si="1">T3+U3</f>
        <v>0</v>
      </c>
      <c r="W3" s="8">
        <v>0</v>
      </c>
      <c r="X3" s="11">
        <f>V3-W3</f>
        <v>0</v>
      </c>
      <c r="Y3" s="10" t="e">
        <f>W3/V3</f>
        <v>#DIV/0!</v>
      </c>
      <c r="Z3" s="11" t="e">
        <f>T3/J3</f>
        <v>#DIV/0!</v>
      </c>
    </row>
    <row r="4" spans="1:26" ht="18.75" x14ac:dyDescent="0.45">
      <c r="A4" s="3">
        <v>3</v>
      </c>
      <c r="B4" s="15"/>
      <c r="C4" s="15"/>
      <c r="D4" s="16"/>
      <c r="E4" s="16"/>
      <c r="F4" s="16"/>
      <c r="G4" s="17"/>
      <c r="H4" s="17"/>
      <c r="I4" s="17"/>
      <c r="J4" s="17"/>
      <c r="K4" s="17"/>
      <c r="L4" s="17"/>
      <c r="M4" s="18"/>
      <c r="N4" s="17"/>
      <c r="O4" s="17"/>
      <c r="P4" s="17"/>
      <c r="Q4" s="17"/>
      <c r="R4" s="17"/>
      <c r="S4" s="19"/>
      <c r="T4" s="20"/>
      <c r="U4" s="12">
        <f t="shared" si="0"/>
        <v>0</v>
      </c>
      <c r="V4" s="12">
        <f t="shared" si="1"/>
        <v>0</v>
      </c>
      <c r="W4" s="20">
        <v>0</v>
      </c>
      <c r="X4" s="11">
        <f>V4-W4</f>
        <v>0</v>
      </c>
      <c r="Y4" s="10" t="e">
        <f>W4/V4</f>
        <v>#DIV/0!</v>
      </c>
      <c r="Z4" s="11" t="e">
        <f>T4/J4</f>
        <v>#DIV/0!</v>
      </c>
    </row>
    <row r="5" spans="1:26" ht="18.75" x14ac:dyDescent="0.45">
      <c r="A5" s="3">
        <v>4</v>
      </c>
      <c r="B5" s="4"/>
      <c r="C5" s="4"/>
      <c r="D5" s="5"/>
      <c r="E5" s="5"/>
      <c r="F5" s="5"/>
      <c r="G5" s="6"/>
      <c r="H5" s="6"/>
      <c r="I5" s="6"/>
      <c r="J5" s="6"/>
      <c r="K5" s="6"/>
      <c r="L5" s="6"/>
      <c r="M5" s="7"/>
      <c r="N5" s="6"/>
      <c r="O5" s="6"/>
      <c r="P5" s="6"/>
      <c r="Q5" s="6"/>
      <c r="R5" s="6"/>
      <c r="S5" s="14"/>
      <c r="T5" s="9"/>
      <c r="U5" s="12">
        <f t="shared" si="0"/>
        <v>0</v>
      </c>
      <c r="V5" s="12">
        <f t="shared" si="1"/>
        <v>0</v>
      </c>
      <c r="W5" s="8">
        <v>0</v>
      </c>
      <c r="X5" s="11">
        <f>V5-W5</f>
        <v>0</v>
      </c>
      <c r="Y5" s="10" t="e">
        <f>W5/V5</f>
        <v>#DIV/0!</v>
      </c>
      <c r="Z5" s="11" t="e">
        <f>T5/J5</f>
        <v>#DIV/0!</v>
      </c>
    </row>
    <row r="6" spans="1:26" ht="18.75" x14ac:dyDescent="0.45">
      <c r="A6" s="3">
        <v>5</v>
      </c>
      <c r="B6" s="15"/>
      <c r="C6" s="15"/>
      <c r="D6" s="16"/>
      <c r="E6" s="16"/>
      <c r="F6" s="16"/>
      <c r="G6" s="17"/>
      <c r="H6" s="17"/>
      <c r="I6" s="17"/>
      <c r="J6" s="17"/>
      <c r="K6" s="17"/>
      <c r="L6" s="17"/>
      <c r="M6" s="18"/>
      <c r="N6" s="17"/>
      <c r="O6" s="17"/>
      <c r="P6" s="17"/>
      <c r="Q6" s="17"/>
      <c r="R6" s="17"/>
      <c r="S6" s="19"/>
      <c r="T6" s="20"/>
      <c r="U6" s="12">
        <f t="shared" si="0"/>
        <v>0</v>
      </c>
      <c r="V6" s="12">
        <f t="shared" si="1"/>
        <v>0</v>
      </c>
      <c r="W6" s="20">
        <v>0</v>
      </c>
      <c r="X6" s="15">
        <f>V6-W6</f>
        <v>0</v>
      </c>
      <c r="Y6" s="10" t="e">
        <f>W6/V6</f>
        <v>#DIV/0!</v>
      </c>
      <c r="Z6" s="11" t="e">
        <f>T6/J6</f>
        <v>#DIV/0!</v>
      </c>
    </row>
    <row r="7" spans="1:26" ht="18.75" x14ac:dyDescent="0.45">
      <c r="A7" s="48" t="s">
        <v>15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50"/>
      <c r="T7" s="9">
        <f t="shared" ref="T7:V7" si="2">SUM(T2:T6)</f>
        <v>0</v>
      </c>
      <c r="U7" s="9">
        <f t="shared" si="2"/>
        <v>0</v>
      </c>
      <c r="V7" s="9">
        <f t="shared" si="2"/>
        <v>0</v>
      </c>
      <c r="W7" s="9">
        <f>SUM(W2:W6)</f>
        <v>0</v>
      </c>
      <c r="X7" s="9">
        <f>SUM(X2:X6)</f>
        <v>0</v>
      </c>
      <c r="Y7" s="6"/>
      <c r="Z7" s="8"/>
    </row>
    <row r="11" spans="1:26" ht="18.75" customHeight="1" x14ac:dyDescent="0.25">
      <c r="A11" s="44" t="s">
        <v>42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</sheetData>
  <mergeCells count="2">
    <mergeCell ref="A7:S7"/>
    <mergeCell ref="A11:Z11"/>
  </mergeCells>
  <conditionalFormatting sqref="M2:M6">
    <cfRule type="duplicateValues" dxfId="5" priority="6"/>
    <cfRule type="duplicateValues" dxfId="4" priority="7"/>
  </conditionalFormatting>
  <conditionalFormatting sqref="Y1:Y7">
    <cfRule type="dataBar" priority="8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{03C72220-E6C9-4887-A12A-8D9722968BF7}</x14:id>
        </ext>
      </extLst>
    </cfRule>
    <cfRule type="dataBar" priority="9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{62427E5D-3A67-42C0-AAAF-E2A9EB6B7C82}</x14:id>
        </ext>
      </extLst>
    </cfRule>
  </conditionalFormatting>
  <conditionalFormatting sqref="Y2:Y6">
    <cfRule type="dataBar" priority="2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{6E11A1A0-F7F1-4933-AA63-31091DEC7FB0}</x14:id>
        </ext>
      </extLst>
    </cfRule>
    <cfRule type="dataBar" priority="3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{E605E26C-7A0F-4712-AE7F-BC8DCCEB622A}</x14:id>
        </ext>
      </extLst>
    </cfRule>
    <cfRule type="dataBar" priority="5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{9E7BBD4D-5722-47AF-B717-313E5CA298A6}</x14:id>
        </ext>
      </extLst>
    </cfRule>
  </conditionalFormatting>
  <pageMargins left="0.7" right="0.7" top="0.75" bottom="0.75" header="0.3" footer="0.3"/>
  <pageSetup orientation="portrait" r:id="rId1"/>
  <headerFooter>
    <oddHeader>&amp;C&amp;K139119&amp;10&amp;"Calibri"&amp;BPublic - عام&amp;B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C72220-E6C9-4887-A12A-8D9722968BF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62427E5D-3A67-42C0-AAAF-E2A9EB6B7C8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Y1:Y7</xm:sqref>
        </x14:conditionalFormatting>
        <x14:conditionalFormatting xmlns:xm="http://schemas.microsoft.com/office/excel/2006/main">
          <x14:cfRule type="dataBar" id="{6E11A1A0-F7F1-4933-AA63-31091DEC7FB0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E605E26C-7A0F-4712-AE7F-BC8DCCEB622A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9E7BBD4D-5722-47AF-B717-313E5CA298A6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Y2:Y6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8440-277B-46C5-9EA8-D699DDA6354F}">
  <dimension ref="A1:Z10"/>
  <sheetViews>
    <sheetView showGridLines="0" rightToLeft="1" workbookViewId="0">
      <selection activeCell="C1" sqref="C1"/>
    </sheetView>
  </sheetViews>
  <sheetFormatPr defaultRowHeight="15" x14ac:dyDescent="0.25"/>
  <sheetData>
    <row r="1" spans="1:26" ht="108" x14ac:dyDescent="0.25">
      <c r="A1" s="2" t="s">
        <v>1</v>
      </c>
      <c r="B1" s="2" t="s">
        <v>2</v>
      </c>
      <c r="C1" s="2" t="s">
        <v>41</v>
      </c>
      <c r="D1" s="2" t="s">
        <v>3</v>
      </c>
      <c r="E1" s="2" t="s">
        <v>56</v>
      </c>
      <c r="F1" s="2" t="s">
        <v>55</v>
      </c>
      <c r="G1" s="2" t="s">
        <v>4</v>
      </c>
      <c r="H1" s="2" t="s">
        <v>16</v>
      </c>
      <c r="I1" s="2" t="s">
        <v>40</v>
      </c>
      <c r="J1" s="2" t="s">
        <v>26</v>
      </c>
      <c r="K1" s="2" t="s">
        <v>35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48</v>
      </c>
      <c r="U1" s="2" t="s">
        <v>46</v>
      </c>
      <c r="V1" s="2" t="s">
        <v>47</v>
      </c>
      <c r="W1" s="2" t="s">
        <v>13</v>
      </c>
      <c r="X1" s="2" t="s">
        <v>14</v>
      </c>
      <c r="Y1" s="2" t="s">
        <v>22</v>
      </c>
      <c r="Z1" s="2" t="s">
        <v>27</v>
      </c>
    </row>
    <row r="2" spans="1:26" ht="18.75" x14ac:dyDescent="0.45">
      <c r="A2" s="3">
        <v>1</v>
      </c>
      <c r="B2" s="21"/>
      <c r="C2" s="21"/>
      <c r="D2" s="22"/>
      <c r="E2" s="22"/>
      <c r="F2" s="22"/>
      <c r="G2" s="6"/>
      <c r="H2" s="6"/>
      <c r="I2" s="6"/>
      <c r="J2" s="6"/>
      <c r="K2" s="6"/>
      <c r="L2" s="6"/>
      <c r="M2" s="23"/>
      <c r="N2" s="6"/>
      <c r="O2" s="6"/>
      <c r="P2" s="6"/>
      <c r="Q2" s="6"/>
      <c r="R2" s="6"/>
      <c r="S2" s="14"/>
      <c r="T2" s="9"/>
      <c r="U2" s="12">
        <f>T2*5/100</f>
        <v>0</v>
      </c>
      <c r="V2" s="12">
        <f>T2+U2</f>
        <v>0</v>
      </c>
      <c r="W2" s="9">
        <v>0</v>
      </c>
      <c r="X2" s="11">
        <f>V2-W2</f>
        <v>0</v>
      </c>
      <c r="Y2" s="10" t="e">
        <f>W2/V2</f>
        <v>#DIV/0!</v>
      </c>
      <c r="Z2" s="11" t="e">
        <f>T2/J2</f>
        <v>#DIV/0!</v>
      </c>
    </row>
    <row r="3" spans="1:26" ht="18.75" x14ac:dyDescent="0.45">
      <c r="A3" s="3">
        <v>2</v>
      </c>
      <c r="B3" s="21"/>
      <c r="C3" s="21"/>
      <c r="D3" s="22"/>
      <c r="E3" s="22"/>
      <c r="F3" s="22"/>
      <c r="G3" s="6"/>
      <c r="H3" s="6"/>
      <c r="I3" s="6"/>
      <c r="J3" s="6"/>
      <c r="K3" s="6"/>
      <c r="L3" s="6"/>
      <c r="M3" s="23"/>
      <c r="N3" s="6"/>
      <c r="O3" s="6"/>
      <c r="P3" s="6"/>
      <c r="Q3" s="6"/>
      <c r="R3" s="6"/>
      <c r="S3" s="14"/>
      <c r="T3" s="9"/>
      <c r="U3" s="12">
        <f t="shared" ref="U3:U6" si="0">T3*5/100</f>
        <v>0</v>
      </c>
      <c r="V3" s="12">
        <f t="shared" ref="V3:V6" si="1">T3+U3</f>
        <v>0</v>
      </c>
      <c r="W3" s="8">
        <v>0</v>
      </c>
      <c r="X3" s="11">
        <f>V3-W3</f>
        <v>0</v>
      </c>
      <c r="Y3" s="10" t="e">
        <f>W3/V3</f>
        <v>#DIV/0!</v>
      </c>
      <c r="Z3" s="11" t="e">
        <f>T3/J3</f>
        <v>#DIV/0!</v>
      </c>
    </row>
    <row r="4" spans="1:26" ht="18.75" x14ac:dyDescent="0.45">
      <c r="A4" s="3">
        <v>3</v>
      </c>
      <c r="B4" s="21"/>
      <c r="C4" s="21"/>
      <c r="D4" s="22"/>
      <c r="E4" s="22"/>
      <c r="F4" s="22"/>
      <c r="G4" s="6"/>
      <c r="H4" s="6"/>
      <c r="I4" s="6"/>
      <c r="J4" s="6"/>
      <c r="K4" s="6"/>
      <c r="L4" s="6"/>
      <c r="M4" s="23"/>
      <c r="N4" s="6"/>
      <c r="O4" s="6"/>
      <c r="P4" s="6"/>
      <c r="Q4" s="6"/>
      <c r="R4" s="6"/>
      <c r="S4" s="14"/>
      <c r="T4" s="9"/>
      <c r="U4" s="12">
        <f t="shared" si="0"/>
        <v>0</v>
      </c>
      <c r="V4" s="12">
        <f t="shared" si="1"/>
        <v>0</v>
      </c>
      <c r="W4" s="9">
        <v>0</v>
      </c>
      <c r="X4" s="11">
        <f>V4-W4</f>
        <v>0</v>
      </c>
      <c r="Y4" s="10" t="e">
        <f>W4/V4</f>
        <v>#DIV/0!</v>
      </c>
      <c r="Z4" s="11" t="e">
        <f>T4/J4</f>
        <v>#DIV/0!</v>
      </c>
    </row>
    <row r="5" spans="1:26" ht="18.75" x14ac:dyDescent="0.45">
      <c r="A5" s="3">
        <v>4</v>
      </c>
      <c r="B5" s="21"/>
      <c r="C5" s="21"/>
      <c r="D5" s="22"/>
      <c r="E5" s="22"/>
      <c r="F5" s="22"/>
      <c r="G5" s="6"/>
      <c r="H5" s="6"/>
      <c r="I5" s="6"/>
      <c r="J5" s="6"/>
      <c r="K5" s="6"/>
      <c r="L5" s="6"/>
      <c r="M5" s="23"/>
      <c r="N5" s="6"/>
      <c r="O5" s="6"/>
      <c r="P5" s="6"/>
      <c r="Q5" s="6"/>
      <c r="R5" s="6"/>
      <c r="S5" s="14"/>
      <c r="T5" s="9"/>
      <c r="U5" s="12">
        <f t="shared" si="0"/>
        <v>0</v>
      </c>
      <c r="V5" s="12">
        <f t="shared" si="1"/>
        <v>0</v>
      </c>
      <c r="W5" s="8">
        <v>0</v>
      </c>
      <c r="X5" s="11">
        <f>V5-W5</f>
        <v>0</v>
      </c>
      <c r="Y5" s="10" t="e">
        <f>W5/V5</f>
        <v>#DIV/0!</v>
      </c>
      <c r="Z5" s="11" t="e">
        <f>T5/J5</f>
        <v>#DIV/0!</v>
      </c>
    </row>
    <row r="6" spans="1:26" ht="18.75" x14ac:dyDescent="0.45">
      <c r="A6" s="3">
        <v>5</v>
      </c>
      <c r="B6" s="21"/>
      <c r="C6" s="21"/>
      <c r="D6" s="22"/>
      <c r="E6" s="22"/>
      <c r="F6" s="22"/>
      <c r="G6" s="6"/>
      <c r="H6" s="6"/>
      <c r="I6" s="6"/>
      <c r="J6" s="6"/>
      <c r="K6" s="6"/>
      <c r="L6" s="6"/>
      <c r="M6" s="23"/>
      <c r="N6" s="6"/>
      <c r="O6" s="6"/>
      <c r="P6" s="6"/>
      <c r="Q6" s="6"/>
      <c r="R6" s="6"/>
      <c r="S6" s="14"/>
      <c r="T6" s="9"/>
      <c r="U6" s="12">
        <f t="shared" si="0"/>
        <v>0</v>
      </c>
      <c r="V6" s="12">
        <f t="shared" si="1"/>
        <v>0</v>
      </c>
      <c r="W6" s="9">
        <v>0</v>
      </c>
      <c r="X6" s="15">
        <f>V6-W6</f>
        <v>0</v>
      </c>
      <c r="Y6" s="10" t="e">
        <f>W6/V6</f>
        <v>#DIV/0!</v>
      </c>
      <c r="Z6" s="11" t="e">
        <f>T6/J6</f>
        <v>#DIV/0!</v>
      </c>
    </row>
    <row r="7" spans="1:26" ht="18.75" x14ac:dyDescent="0.45">
      <c r="A7" s="48" t="s">
        <v>15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50"/>
      <c r="T7" s="9">
        <f t="shared" ref="T7:V7" si="2">SUM(T2:T6)</f>
        <v>0</v>
      </c>
      <c r="U7" s="9">
        <f t="shared" si="2"/>
        <v>0</v>
      </c>
      <c r="V7" s="9">
        <f t="shared" si="2"/>
        <v>0</v>
      </c>
      <c r="W7" s="9">
        <f>SUM(W2:W6)</f>
        <v>0</v>
      </c>
      <c r="X7" s="9">
        <f>SUM(X2:X6)</f>
        <v>0</v>
      </c>
      <c r="Y7" s="6"/>
      <c r="Z7" s="8"/>
    </row>
    <row r="10" spans="1:26" ht="18" x14ac:dyDescent="0.25">
      <c r="A10" s="44" t="s">
        <v>43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</sheetData>
  <mergeCells count="2">
    <mergeCell ref="A7:S7"/>
    <mergeCell ref="A10:Z10"/>
  </mergeCells>
  <conditionalFormatting sqref="M2:M6">
    <cfRule type="duplicateValues" dxfId="3" priority="4"/>
    <cfRule type="duplicateValues" dxfId="2" priority="5"/>
  </conditionalFormatting>
  <conditionalFormatting sqref="Y1:Y7">
    <cfRule type="dataBar" priority="6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{5192AAEF-776A-4154-BAC0-8127A5B6835A}</x14:id>
        </ext>
      </extLst>
    </cfRule>
    <cfRule type="dataBar" priority="7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{045BEDF3-9B6D-4402-B8EB-2CCFED4ADC1B}</x14:id>
        </ext>
      </extLst>
    </cfRule>
  </conditionalFormatting>
  <conditionalFormatting sqref="Y2:Y6">
    <cfRule type="dataBar" priority="1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{7720A83C-4FBC-4B18-9C52-463011F1D5AC}</x14:id>
        </ext>
      </extLst>
    </cfRule>
    <cfRule type="dataBar" priority="2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{DE60DF77-55AB-4C4F-B739-40101669989E}</x14:id>
        </ext>
      </extLst>
    </cfRule>
    <cfRule type="dataBar" priority="3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{D3C5B4A2-067D-4272-B71F-66C0E49727FF}</x14:id>
        </ext>
      </extLst>
    </cfRule>
  </conditionalFormatting>
  <pageMargins left="0.7" right="0.7" top="0.75" bottom="0.75" header="0.3" footer="0.3"/>
  <pageSetup orientation="portrait" r:id="rId1"/>
  <headerFooter>
    <oddHeader>&amp;C&amp;K139119&amp;10&amp;"Calibri"&amp;BPublic - عام&amp;B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92AAEF-776A-4154-BAC0-8127A5B6835A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045BEDF3-9B6D-4402-B8EB-2CCFED4ADC1B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Y1:Y7</xm:sqref>
        </x14:conditionalFormatting>
        <x14:conditionalFormatting xmlns:xm="http://schemas.microsoft.com/office/excel/2006/main">
          <x14:cfRule type="dataBar" id="{7720A83C-4FBC-4B18-9C52-463011F1D5A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DE60DF77-55AB-4C4F-B739-40101669989E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D3C5B4A2-067D-4272-B71F-66C0E49727FF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Y2:Y6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2ED9-0751-48BB-9A87-A14A5D1D0D72}">
  <dimension ref="A1:AE10"/>
  <sheetViews>
    <sheetView showGridLines="0" rightToLeft="1" workbookViewId="0"/>
  </sheetViews>
  <sheetFormatPr defaultRowHeight="15" x14ac:dyDescent="0.25"/>
  <sheetData>
    <row r="1" spans="1:31" ht="108" x14ac:dyDescent="0.25">
      <c r="A1" s="2" t="s">
        <v>1</v>
      </c>
      <c r="B1" s="2" t="s">
        <v>2</v>
      </c>
      <c r="C1" s="2" t="s">
        <v>41</v>
      </c>
      <c r="D1" s="2" t="s">
        <v>3</v>
      </c>
      <c r="E1" s="2" t="s">
        <v>56</v>
      </c>
      <c r="F1" s="2" t="s">
        <v>55</v>
      </c>
      <c r="G1" s="2" t="s">
        <v>4</v>
      </c>
      <c r="H1" s="2" t="s">
        <v>16</v>
      </c>
      <c r="I1" s="2" t="s">
        <v>50</v>
      </c>
      <c r="J1" s="2" t="s">
        <v>51</v>
      </c>
      <c r="K1" s="2" t="s">
        <v>40</v>
      </c>
      <c r="L1" s="2" t="s">
        <v>26</v>
      </c>
      <c r="M1" s="2" t="s">
        <v>35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48</v>
      </c>
      <c r="W1" s="24" t="s">
        <v>52</v>
      </c>
      <c r="X1" s="2" t="s">
        <v>49</v>
      </c>
      <c r="Y1" s="2" t="s">
        <v>46</v>
      </c>
      <c r="Z1" s="2" t="s">
        <v>47</v>
      </c>
      <c r="AA1" s="24" t="s">
        <v>53</v>
      </c>
      <c r="AB1" s="24" t="s">
        <v>54</v>
      </c>
      <c r="AC1" s="2" t="s">
        <v>14</v>
      </c>
      <c r="AD1" s="2" t="s">
        <v>22</v>
      </c>
      <c r="AE1" s="2" t="s">
        <v>27</v>
      </c>
    </row>
    <row r="2" spans="1:31" ht="18.75" x14ac:dyDescent="0.45">
      <c r="A2" s="3">
        <v>1</v>
      </c>
      <c r="B2" s="21"/>
      <c r="C2" s="21"/>
      <c r="D2" s="22"/>
      <c r="E2" s="22"/>
      <c r="F2" s="22"/>
      <c r="G2" s="6"/>
      <c r="H2" s="6"/>
      <c r="I2" s="6"/>
      <c r="J2" s="6"/>
      <c r="K2" s="6"/>
      <c r="L2" s="6"/>
      <c r="M2" s="6"/>
      <c r="N2" s="6"/>
      <c r="O2" s="23"/>
      <c r="P2" s="6"/>
      <c r="Q2" s="6"/>
      <c r="R2" s="6"/>
      <c r="S2" s="6"/>
      <c r="T2" s="6"/>
      <c r="U2" s="14"/>
      <c r="V2" s="9"/>
      <c r="W2" s="9"/>
      <c r="X2" s="9"/>
      <c r="Y2" s="12">
        <f>V2*5/100</f>
        <v>0</v>
      </c>
      <c r="Z2" s="12">
        <f>V2+Y2</f>
        <v>0</v>
      </c>
      <c r="AA2" s="9">
        <v>0</v>
      </c>
      <c r="AB2" s="9"/>
      <c r="AC2" s="11">
        <f>Z2-AA2</f>
        <v>0</v>
      </c>
      <c r="AD2" s="10" t="e">
        <f>AA2/Z2</f>
        <v>#DIV/0!</v>
      </c>
      <c r="AE2" s="11" t="e">
        <f>V2/L2</f>
        <v>#DIV/0!</v>
      </c>
    </row>
    <row r="3" spans="1:31" ht="18.75" x14ac:dyDescent="0.45">
      <c r="A3" s="3">
        <v>2</v>
      </c>
      <c r="B3" s="21"/>
      <c r="C3" s="21"/>
      <c r="D3" s="22"/>
      <c r="E3" s="22"/>
      <c r="F3" s="22"/>
      <c r="G3" s="6"/>
      <c r="H3" s="6"/>
      <c r="I3" s="6"/>
      <c r="J3" s="6"/>
      <c r="K3" s="6"/>
      <c r="L3" s="6"/>
      <c r="M3" s="6"/>
      <c r="N3" s="6"/>
      <c r="O3" s="23"/>
      <c r="P3" s="6"/>
      <c r="Q3" s="6"/>
      <c r="R3" s="6"/>
      <c r="S3" s="6"/>
      <c r="T3" s="6"/>
      <c r="U3" s="14"/>
      <c r="V3" s="9"/>
      <c r="W3" s="9"/>
      <c r="X3" s="9"/>
      <c r="Y3" s="12">
        <f t="shared" ref="Y3:Y6" si="0">V3*5/100</f>
        <v>0</v>
      </c>
      <c r="Z3" s="12">
        <f t="shared" ref="Z3:Z6" si="1">V3+Y3</f>
        <v>0</v>
      </c>
      <c r="AA3" s="8">
        <v>0</v>
      </c>
      <c r="AB3" s="8"/>
      <c r="AC3" s="11">
        <f>Z3-AA3</f>
        <v>0</v>
      </c>
      <c r="AD3" s="10" t="e">
        <f>AA3/Z3</f>
        <v>#DIV/0!</v>
      </c>
      <c r="AE3" s="11" t="e">
        <f>V3/L3</f>
        <v>#DIV/0!</v>
      </c>
    </row>
    <row r="4" spans="1:31" ht="18.75" x14ac:dyDescent="0.45">
      <c r="A4" s="3">
        <v>3</v>
      </c>
      <c r="B4" s="21"/>
      <c r="C4" s="21"/>
      <c r="D4" s="22"/>
      <c r="E4" s="22"/>
      <c r="F4" s="22"/>
      <c r="G4" s="6"/>
      <c r="H4" s="6"/>
      <c r="I4" s="6"/>
      <c r="J4" s="6"/>
      <c r="K4" s="6"/>
      <c r="L4" s="6"/>
      <c r="M4" s="6"/>
      <c r="N4" s="6"/>
      <c r="O4" s="23"/>
      <c r="P4" s="6"/>
      <c r="Q4" s="6"/>
      <c r="R4" s="6"/>
      <c r="S4" s="6"/>
      <c r="T4" s="6"/>
      <c r="U4" s="14"/>
      <c r="V4" s="9"/>
      <c r="W4" s="9"/>
      <c r="X4" s="9"/>
      <c r="Y4" s="12">
        <f t="shared" si="0"/>
        <v>0</v>
      </c>
      <c r="Z4" s="12">
        <f t="shared" si="1"/>
        <v>0</v>
      </c>
      <c r="AA4" s="9">
        <v>0</v>
      </c>
      <c r="AB4" s="9"/>
      <c r="AC4" s="11">
        <f>Z4-AA4</f>
        <v>0</v>
      </c>
      <c r="AD4" s="10" t="e">
        <f>AA4/Z4</f>
        <v>#DIV/0!</v>
      </c>
      <c r="AE4" s="11" t="e">
        <f>V4/L4</f>
        <v>#DIV/0!</v>
      </c>
    </row>
    <row r="5" spans="1:31" ht="18.75" x14ac:dyDescent="0.45">
      <c r="A5" s="3">
        <v>4</v>
      </c>
      <c r="B5" s="21"/>
      <c r="C5" s="21"/>
      <c r="D5" s="22"/>
      <c r="E5" s="22"/>
      <c r="F5" s="22"/>
      <c r="G5" s="6"/>
      <c r="H5" s="6"/>
      <c r="I5" s="6"/>
      <c r="J5" s="6"/>
      <c r="K5" s="6"/>
      <c r="L5" s="6"/>
      <c r="M5" s="6"/>
      <c r="N5" s="6"/>
      <c r="O5" s="23"/>
      <c r="P5" s="6"/>
      <c r="Q5" s="6"/>
      <c r="R5" s="6"/>
      <c r="S5" s="6"/>
      <c r="T5" s="6"/>
      <c r="U5" s="14"/>
      <c r="V5" s="9"/>
      <c r="W5" s="9"/>
      <c r="X5" s="9"/>
      <c r="Y5" s="12">
        <f t="shared" si="0"/>
        <v>0</v>
      </c>
      <c r="Z5" s="12">
        <f t="shared" si="1"/>
        <v>0</v>
      </c>
      <c r="AA5" s="8">
        <v>0</v>
      </c>
      <c r="AB5" s="8"/>
      <c r="AC5" s="11">
        <f>Z5-AA5</f>
        <v>0</v>
      </c>
      <c r="AD5" s="10" t="e">
        <f>AA5/Z5</f>
        <v>#DIV/0!</v>
      </c>
      <c r="AE5" s="11" t="e">
        <f>V5/L5</f>
        <v>#DIV/0!</v>
      </c>
    </row>
    <row r="6" spans="1:31" ht="18.75" x14ac:dyDescent="0.45">
      <c r="A6" s="3">
        <v>5</v>
      </c>
      <c r="B6" s="21"/>
      <c r="C6" s="21"/>
      <c r="D6" s="22"/>
      <c r="E6" s="22"/>
      <c r="F6" s="22"/>
      <c r="G6" s="6"/>
      <c r="H6" s="6"/>
      <c r="I6" s="6"/>
      <c r="J6" s="6"/>
      <c r="K6" s="6"/>
      <c r="L6" s="6"/>
      <c r="M6" s="6"/>
      <c r="N6" s="6"/>
      <c r="O6" s="23"/>
      <c r="P6" s="6"/>
      <c r="Q6" s="6"/>
      <c r="R6" s="6"/>
      <c r="S6" s="6"/>
      <c r="T6" s="6"/>
      <c r="U6" s="14"/>
      <c r="V6" s="9"/>
      <c r="W6" s="9"/>
      <c r="X6" s="9"/>
      <c r="Y6" s="12">
        <f t="shared" si="0"/>
        <v>0</v>
      </c>
      <c r="Z6" s="12">
        <f t="shared" si="1"/>
        <v>0</v>
      </c>
      <c r="AA6" s="9">
        <v>0</v>
      </c>
      <c r="AB6" s="9"/>
      <c r="AC6" s="15">
        <f>Z6-AA6</f>
        <v>0</v>
      </c>
      <c r="AD6" s="10" t="e">
        <f>AA6/Z6</f>
        <v>#DIV/0!</v>
      </c>
      <c r="AE6" s="11" t="e">
        <f>V6/L6</f>
        <v>#DIV/0!</v>
      </c>
    </row>
    <row r="7" spans="1:31" ht="18.75" x14ac:dyDescent="0.45">
      <c r="A7" s="48" t="s">
        <v>15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50"/>
      <c r="V7" s="9">
        <f t="shared" ref="V7:Z7" si="2">SUM(V2:V6)</f>
        <v>0</v>
      </c>
      <c r="W7" s="9"/>
      <c r="X7" s="9"/>
      <c r="Y7" s="9">
        <f t="shared" si="2"/>
        <v>0</v>
      </c>
      <c r="Z7" s="9">
        <f t="shared" si="2"/>
        <v>0</v>
      </c>
      <c r="AA7" s="9">
        <f>SUM(AA2:AA6)</f>
        <v>0</v>
      </c>
      <c r="AB7" s="9"/>
      <c r="AC7" s="9">
        <f>SUM(AC2:AC6)</f>
        <v>0</v>
      </c>
      <c r="AD7" s="6"/>
      <c r="AE7" s="8"/>
    </row>
    <row r="10" spans="1:31" ht="18" x14ac:dyDescent="0.25">
      <c r="A10" s="44" t="s">
        <v>44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</sheetData>
  <mergeCells count="2">
    <mergeCell ref="A7:U7"/>
    <mergeCell ref="A10:AE10"/>
  </mergeCells>
  <conditionalFormatting sqref="O2:O6">
    <cfRule type="duplicateValues" dxfId="1" priority="4"/>
    <cfRule type="duplicateValues" dxfId="0" priority="5"/>
  </conditionalFormatting>
  <conditionalFormatting sqref="AD1:AD7">
    <cfRule type="dataBar" priority="6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{F8EEDF78-1E23-46C6-8798-344424269207}</x14:id>
        </ext>
      </extLst>
    </cfRule>
    <cfRule type="dataBar" priority="7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{C9B35AF9-A570-48B0-AAFF-FE9A9202874C}</x14:id>
        </ext>
      </extLst>
    </cfRule>
  </conditionalFormatting>
  <conditionalFormatting sqref="AD2:AD6">
    <cfRule type="dataBar" priority="1">
      <dataBar>
        <cfvo type="percent" val="0"/>
        <cfvo type="percent" val="100"/>
        <color theme="0"/>
      </dataBar>
      <extLst>
        <ext xmlns:x14="http://schemas.microsoft.com/office/spreadsheetml/2009/9/main" uri="{B025F937-C7B1-47D3-B67F-A62EFF666E3E}">
          <x14:id>{4E4B7E18-D854-4C4A-B68A-5B9C28313FC2}</x14:id>
        </ext>
      </extLst>
    </cfRule>
    <cfRule type="dataBar" priority="2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{B3334FFE-5C59-4617-A143-1E56DF0AB122}</x14:id>
        </ext>
      </extLst>
    </cfRule>
    <cfRule type="dataBar" priority="3">
      <dataBar>
        <cfvo type="percent" val="0"/>
        <cfvo type="percent" val="100"/>
        <color theme="0" tint="-0.14999847407452621"/>
      </dataBar>
      <extLst>
        <ext xmlns:x14="http://schemas.microsoft.com/office/spreadsheetml/2009/9/main" uri="{B025F937-C7B1-47D3-B67F-A62EFF666E3E}">
          <x14:id>{1FF48571-E7F0-4F24-AECD-ADBF75541C14}</x14:id>
        </ext>
      </extLst>
    </cfRule>
  </conditionalFormatting>
  <pageMargins left="0.7" right="0.7" top="0.75" bottom="0.75" header="0.3" footer="0.3"/>
  <pageSetup orientation="portrait" r:id="rId1"/>
  <headerFooter>
    <oddHeader>&amp;C&amp;K139119&amp;10&amp;"Calibri"&amp;BPublic - عام&amp;B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EEDF78-1E23-46C6-8798-34442426920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C9B35AF9-A570-48B0-AAFF-FE9A9202874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AD1:AD7</xm:sqref>
        </x14:conditionalFormatting>
        <x14:conditionalFormatting xmlns:xm="http://schemas.microsoft.com/office/excel/2006/main">
          <x14:cfRule type="dataBar" id="{4E4B7E18-D854-4C4A-B68A-5B9C28313FC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B3334FFE-5C59-4617-A143-1E56DF0AB12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1FF48571-E7F0-4F24-AECD-ADBF75541C14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AD2:AD6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D7E190E26940429037C561BBC9E243" ma:contentTypeVersion="5" ma:contentTypeDescription="Create a new document." ma:contentTypeScope="" ma:versionID="a2a71ec5d075e9a4e1139cf51a8a98e4">
  <xsd:schema xmlns:xsd="http://www.w3.org/2001/XMLSchema" xmlns:xs="http://www.w3.org/2001/XMLSchema" xmlns:p="http://schemas.microsoft.com/office/2006/metadata/properties" xmlns:ns3="0b2dd7a3-60ad-4124-a67f-0565c2cfe501" targetNamespace="http://schemas.microsoft.com/office/2006/metadata/properties" ma:root="true" ma:fieldsID="0a52e9b7e0f180c1b5b335707b61ed2a" ns3:_="">
    <xsd:import namespace="0b2dd7a3-60ad-4124-a67f-0565c2cfe5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dd7a3-60ad-4124-a67f-0565c2cfe5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700CBC-55D1-4F08-B973-39ACBDD944C8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0b2dd7a3-60ad-4124-a67f-0565c2cfe501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A5B438-1B6A-4AD2-80FA-F8A847FFA3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3F612D-1887-44BC-BE9C-407DF4423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2dd7a3-60ad-4124-a67f-0565c2cfe5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سجل المشترين وحدات قائمة</vt:lpstr>
      <vt:lpstr>Sheet1</vt:lpstr>
      <vt:lpstr>الوحدات الملغية والمعاد بيعها</vt:lpstr>
      <vt:lpstr>الوحدات الملغية</vt:lpstr>
      <vt:lpstr>الوحدات المنجزة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Mohammed Abanmie</cp:lastModifiedBy>
  <dcterms:created xsi:type="dcterms:W3CDTF">2024-08-27T07:31:29Z</dcterms:created>
  <dcterms:modified xsi:type="dcterms:W3CDTF">2026-09-15T09:15:02Z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964e39a8-5eda-4d37-8d48-24ff71aa3d52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964e39a8-5eda-4d37-8d48-24ff71aa3d52</vt:lpwstr>
  </property>
  <property fmtid="{D5CDD505-2E9C-101B-9397-08002B2CF9AE}" pid="6" name="UserId">
    <vt:lpwstr>Mohammed Abanmie</vt:lpwstr>
  </property>
  <property fmtid="{D5CDD505-2E9C-101B-9397-08002B2CF9AE}" pid="7" name="TagDateTime">
    <vt:lpwstr>2026-09-15T09:11:59Z</vt:lpwstr>
  </property>
  <property fmtid="{D5CDD505-2E9C-101B-9397-08002B2CF9AE}" pid="8" name="GVData">
    <vt:lpwstr>eyJPUyI6IldpbmRvd3MiLCJkb2NJRCI6Ijk2NGUzOWE4LTVlZGEtNGQzNy04ZDQ4LTI0ZmY3MWFhM2Q1MiIsImRvY1N0YXRlIjoie1wiQ3VycmVudFN0YXRlXCI6XCJ7XFxcIkZpcnN0UGFnZURpZmZlcmVudFxcXCI6ZmFsc2UsXFxcIkRpZmZlcmVudE9kZEFuZEV2</vt:lpwstr>
  </property>
  <property fmtid="{D5CDD505-2E9C-101B-9397-08002B2CF9AE}" pid="9" name="GVData0">
    <vt:lpwstr>ZW5QYWdlc1xcXCI6ZmFsc2UsXFxcIlBhZ2VDb3VudFxcXCI6NCxcXFwiSGVhZGVyTWV0YWRhdGFcXFwiOlxcXCJ7XFxcXFxcXCJMZWZ0XFxcXFxcXCI6XFxcXFxcXCJcXFxcXFxcIixcXFxcXFxcIkNlbnRlclxcXFxcXFwiOlxcXFxcXFwiUHVibGljIC0g2LnYp9mF</vt:lpwstr>
  </property>
  <property fmtid="{D5CDD505-2E9C-101B-9397-08002B2CF9AE}" pid="10" name="GVData1">
    <vt:lpwstr>XFxcXFxcXCIsXFxcXFxcXCJSaWdodFxcXFxcXFwiOlxcXFxcXFwiXFxcXFxcXCJ9XFxcIixcXFwiVGhpcmRQYXJ0eUhlYWRlck1ldGFkYXRhXFxcIjpcXFwiXFxcIixcXFwiR1ZIZWFkZXJFeGlzdHNcXFwiOnRydWUsXFxcIk5vbkdWSGVhZGVyRXhpc3RzXFxcIjpm</vt:lpwstr>
  </property>
  <property fmtid="{D5CDD505-2E9C-101B-9397-08002B2CF9AE}" pid="11" name="GVData2">
    <vt:lpwstr>YWxzZSxcXFwiRmxvYXRpbmdIZWFkZXJFeGlzdHNcXFwiOmZhbHNlLFxcXCJOb25HVkhlYWRlclNoYXBlRXhpc3RzXFxcIjpmYWxzZSxcXFwiVGhpcmRQYXJ0eUhlYWRlcnNcXFwiOltdLFxcXCJGb290ZXJNZXRhZGF0YVxcXCI6XFxcIlxcXCIsXFxcIlRoaXJkUGFy</vt:lpwstr>
  </property>
  <property fmtid="{D5CDD505-2E9C-101B-9397-08002B2CF9AE}" pid="12" name="GVData3">
    <vt:lpwstr>dHlGb290ZXJNZXRhZGF0YVxcXCI6XFxcIlxcXCIsXFxcIkdWRm9vdGVyRXhpc3RzXFxcIjpmYWxzZSxcXFwiTm9uR1ZGb290ZXJFeGlzdHNcXFwiOmZhbHNlLFxcXCJGbG9hdGluZ0Zvb3RlckV4aXN0c1xcXCI6ZmFsc2UsXFxcIk5vbkdWRm9vdGVyU2hhcGVFeGlz</vt:lpwstr>
  </property>
  <property fmtid="{D5CDD505-2E9C-101B-9397-08002B2CF9AE}" pid="13" name="GVData4">
    <vt:lpwstr>dHNcXFwiOmZhbHNlLFxcXCJUaGlyZFBhcnR5Rm9vdGVyc1xcXCI6W10sXFxcIldhdGVybWFya01ldGFkYXRhXFxcIjpcXFwiXFxcIixcXFwiV2F0ZXJtYXJrRXhpc3RzXFxcIjpmYWxzZSxcXFwiUG93ZXJwb2ludFRpdGxlTWV0YWRhdGFcXFwiOm51bGwsXFxcIlBv</vt:lpwstr>
  </property>
  <property fmtid="{D5CDD505-2E9C-101B-9397-08002B2CF9AE}" pid="14" name="GVData5">
    <vt:lpwstr>d2VycG9pbnRTdWJ0aXRsZU1ldGFkYXRhXFxcIjpudWxsLFxcXCJUaGlyZFBhcnR5TWV0YWRhdGFGb3VuZFxcXCI6ZmFsc2V9XCIsXCIzcmRQYXJ0eUhlYWRlclwiOlwiXCIsXCJIZWFkZXJcIjpcIntcXFwiTGVmdFxcXCI6XFxcIlxcXCIsXFxcIkNlbnRlclxcXCI6</vt:lpwstr>
  </property>
  <property fmtid="{D5CDD505-2E9C-101B-9397-08002B2CF9AE}" pid="15" name="GVData6">
    <vt:lpwstr>XFxcIlB1YmxpYyAtINi52KfZhVxcXCIsXFxcIlJpZ2h0XFxcIjpcXFwiXFxcIn1cIixcIk9wdGlvbnNcIjpcIntcXFwiUG9wdXBDb25maWd1cmF0aW9uXFxcIjp7XFxcIkFsd2F5c1Nob3dQb3B1cFxcXCI6ZmFsc2UsXFxcIkVuZm9yY2VIZWFkZXJGb290ZXJUeXBl</vt:lpwstr>
  </property>
  <property fmtid="{D5CDD505-2E9C-101B-9397-08002B2CF9AE}" pid="16" name="GVData7">
    <vt:lpwstr>XFxcIjpmYWxzZSxcXFwiSGVhZGVyUGxhY2VtZW50VHlwZVxcXCI6MCxcXFwiRm9vdGVyUGxhY2VtZW50VHlwZVxcXCI6MCxcXFwiRW5mb3JjZUxheW91dE9wdGlvblxcXCI6dHJ1ZSxcXFwiTGF5b3V0T3B0aW9uXFxcIjowLFxcXCJUcmlnZ2VyTnVtYmVyXFxcIjow</vt:lpwstr>
  </property>
  <property fmtid="{D5CDD505-2E9C-101B-9397-08002B2CF9AE}" pid="17" name="Classification">
    <vt:lpwstr>Public - عام</vt:lpwstr>
  </property>
  <property fmtid="{D5CDD505-2E9C-101B-9397-08002B2CF9AE}" pid="18" name="GVData8">
    <vt:lpwstr>LFxcXCJGcm9tSW5kZXhcXFwiOjAsXFxcIlRvSW5kZXhcXFwiOjAsXFxcIkVuZm9yY2VPdmVyd3JpdGVPcHRpb25cXFwiOnRydWUsXFxcIk92ZXJ3cml0ZU9wdGlvblxcXCI6XFxcImFwcGVuZFxcXCJ9LFxcXCJIZWFkZXJFbmFibGVkXFxcIjp0cnVlLFxcXCJIZWFk</vt:lpwstr>
  </property>
  <property fmtid="{D5CDD505-2E9C-101B-9397-08002B2CF9AE}" pid="19" name="GVData9">
    <vt:lpwstr>ZXJcXFwiOlxcXCI8c3BhbiBzdHlsZT1cXFxcXFxcImNvbG9yOiMxMzkxMTk7XFxcXFxcXCI+PHN0cm9uZz5QdWJsaWMgLSDYudin2YU8L3N0cm9uZz48L3NwYW4+XFxcIixcXFwiSGVhZGVyc1xcXCI6W1xcXCI8c3BhbiBzdHlsZT1cXFxcXFxcImNvbG9yOiMxMzkx</vt:lpwstr>
  </property>
  <property fmtid="{D5CDD505-2E9C-101B-9397-08002B2CF9AE}" pid="20" name="GVData10">
    <vt:lpwstr>MTk7XFxcXFxcXCI+PHN0cm9uZz5QdWJsaWMgLSDYudin2YU8L3N0cm9uZz48L3NwYW4+XFxcIl0sXFxcIkhlYWRlclR5cGVcXFwiOjAsXFxcIkhlYWRlclR5cGVzQWxsb3dlZFxcXCI6WzAsMV0sXFxcIkhlYWRlclVwZGF0ZVR5cGVcXFwiOjEsXFxcIkZvb3RlckVu</vt:lpwstr>
  </property>
  <property fmtid="{D5CDD505-2E9C-101B-9397-08002B2CF9AE}" pid="21" name="GVData11">
    <vt:lpwstr>YWJsZWRcXFwiOmZhbHNlLFxcXCJGb290ZXJcXFwiOlxcXCJcXFwiLFxcXCJGb290ZXJzXFxcIjpbXFxcIlxcXCJdLFxcXCJGb290ZXJUeXBlXFxcIjoyLFxcXCJGb290ZXJUeXBlc0FsbG93ZWRcXFwiOlsyXSxcXFwiRm9vdGVyVXBkYXRlVHlwZVxcXCI6MCxcXFwi</vt:lpwstr>
  </property>
  <property fmtid="{D5CDD505-2E9C-101B-9397-08002B2CF9AE}" pid="22" name="GVData12">
    <vt:lpwstr>V2F0ZXJtYXJrXFxcIjpudWxsLFxcXCJXYXRlcm1hcmtFbmFibGVkXFxcIjpmYWxzZSxcXFwiU2hvdWxkV3JpdGVXYXRlcm1hcmtcXFwiOmZhbHNlLFxcXCJXYXRlcm1hcmtVcGRhdGVUeXBlXFxcIjowLFxcXCJQb3dlcnBvaW50VGl0bGVcXFwiOm51bGwsXFxcIlBv</vt:lpwstr>
  </property>
  <property fmtid="{D5CDD505-2E9C-101B-9397-08002B2CF9AE}" pid="23" name="GVData13">
    <vt:lpwstr>d2VycG9pbnRTdWJpdGxlXFxcIjpudWxsfVwiLFwiU3RhdGVcIjpcIntcXFwiRmlyc3RQYWdlRGlmZmVyZW50XFxcIjpmYWxzZSxcXFwiRGlmZmVyZW50T2RkQW5kRXZlblBhZ2VzXFxcIjpmYWxzZSxcXFwiUGFnZUNvdW50XFxcIjo0LFxcXCJIZWFkZXJNZXRhZGF0</vt:lpwstr>
  </property>
  <property fmtid="{D5CDD505-2E9C-101B-9397-08002B2CF9AE}" pid="24" name="GVData14">
    <vt:lpwstr>YVxcXCI6XFxcIntcXFxcXFxcIkxlZnRcXFxcXFxcIjpcXFxcXFxcIlxcXFxcXFwiLFxcXFxcXFwiQ2VudGVyXFxcXFxcXCI6XFxcXFxcXCJQdWJsaWMgLSDYudin2YVcXFxcXFxcIixcXFxcXFxcIlJpZ2h0XFxcXFxcXCI6XFxcXFxcXCJcXFxcXFxcIn1cXFwiLFxc</vt:lpwstr>
  </property>
  <property fmtid="{D5CDD505-2E9C-101B-9397-08002B2CF9AE}" pid="25" name="GVData15">
    <vt:lpwstr>XCJUaGlyZFBhcnR5SGVhZGVyTWV0YWRhdGFcXFwiOlxcXCJcXFwiLFxcXCJHVkhlYWRlckV4aXN0c1xcXCI6dHJ1ZSxcXFwiTm9uR1ZIZWFkZXJFeGlzdHNcXFwiOmZhbHNlLFxcXCJGbG9hdGluZ0hlYWRlckV4aXN0c1xcXCI6ZmFsc2UsXFxcIk5vbkdWSGVhZGVy</vt:lpwstr>
  </property>
  <property fmtid="{D5CDD505-2E9C-101B-9397-08002B2CF9AE}" pid="26" name="GVData16">
    <vt:lpwstr>U2hhcGVFeGlzdHNcXFwiOmZhbHNlLFxcXCJUaGlyZFBhcnR5SGVhZGVyc1xcXCI6W10sXFxcIkZvb3Rlck1ldGFkYXRhXFxcIjpcXFwiXFxcIixcXFwiVGhpcmRQYXJ0eUZvb3Rlck1ldGFkYXRhXFxcIjpcXFwiXFxcIixcXFwiR1ZGb290ZXJFeGlzdHNcXFwiOmZh</vt:lpwstr>
  </property>
  <property fmtid="{D5CDD505-2E9C-101B-9397-08002B2CF9AE}" pid="27" name="GVData17">
    <vt:lpwstr>bHNlLFxcXCJOb25HVkZvb3RlckV4aXN0c1xcXCI6ZmFsc2UsXFxcIkZsb2F0aW5nRm9vdGVyRXhpc3RzXFxcIjpmYWxzZSxcXFwiTm9uR1ZGb290ZXJTaGFwZUV4aXN0c1xcXCI6ZmFsc2UsXFxcIlRoaXJkUGFydHlGb290ZXJzXFxcIjpbXSxcXFwiV2F0ZXJtYXJr</vt:lpwstr>
  </property>
  <property fmtid="{D5CDD505-2E9C-101B-9397-08002B2CF9AE}" pid="28" name="GVData18">
    <vt:lpwstr>TWV0YWRhdGFcXFwiOlxcXCJcXFwiLFxcXCJXYXRlcm1hcmtFeGlzdHNcXFwiOmZhbHNlLFxcXCJQb3dlcnBvaW50VGl0bGVNZXRhZGF0YVxcXCI6bnVsbCxcXFwiUG93ZXJwb2ludFN1YnRpdGxlTWV0YWRhdGFcXFwiOm51bGwsXFxcIlRoaXJkUGFydHlNZXRhZGF0</vt:lpwstr>
  </property>
  <property fmtid="{D5CDD505-2E9C-101B-9397-08002B2CF9AE}" pid="29" name="GVData19">
    <vt:lpwstr>YUZvdW5kXFxcIjpmYWxzZX1cIn0iLCJwYXJlbnRMaW5lSWRzIjoiW1wiZjU1YzdmODYtNTQ2ZC00YmVhLTgxMjYtMTY1ODIzNmIzZGFmXCIsXCI2MjlkMmEwMi0wYzFhLTQyMzQtYmQ3Mi1kY2IzM2U4MjRjZDVcIixcIjdlNWMwYjNjLTcwY2EtNGE0MC04ZTA2LTJk</vt:lpwstr>
  </property>
  <property fmtid="{D5CDD505-2E9C-101B-9397-08002B2CF9AE}" pid="30" name="GVData20">
    <vt:lpwstr>MzYwMGI4M2Q3MlwiLFwiODYwMWU1MzQtMjE1YS00OTI0LWI5MGMtMDY1NmE0NThmYzg1XCIsXCI2NjIwN2EzZC02YTViLTRmMGQtOGMxNC1iYzkzMmY4N2UwMTBcIixcImMzYmE5NWIwLTFkZDUtNDhlNS04Y2RhLWNkMjk5OGM0OWJjMVwiLFwiMzA0N2EwZmItMmZk</vt:lpwstr>
  </property>
  <property fmtid="{D5CDD505-2E9C-101B-9397-08002B2CF9AE}" pid="31" name="GVData21">
    <vt:lpwstr>Zi00MTkwLTk4MjEtOGEyNDg3ZDg0ZDc0XCIsXCJlMjM1MzMwZi1kZWU4LTQ2YmQtOTgyZS0yNzNmYzdhMzAzZDFcIixcIjk2YjNiMDJhLWFlZmQtNDRiNS04NjIwLTc5MGI0NjUzYmM0NVwiLFwiZmFjODI3Y2QtMzA3NC00ZWMxLWEwZWYtMWY0YWNhNjg5ZDE3XCJd</vt:lpwstr>
  </property>
  <property fmtid="{D5CDD505-2E9C-101B-9397-08002B2CF9AE}" pid="32" name="GVData22">
    <vt:lpwstr>Iiwid3JpdHRlbktleXMiOiJbXCJndmRvY2lkXCIsXCJDbGFzc2lmaWNhdGlvblRhZ1NldElkXCIsXCJDbGFzc2lmaWNhdGlvblwiLFwiQ29tcGxpYW5jZVRhZ1NldElkXCIsXCJGaWxlSWRcIixcIlVzZXJJZFwiLFwiVGFnRGF0ZVRpbWVcIl0iLCJub09mR3ZEYXRh</vt:lpwstr>
  </property>
  <property fmtid="{D5CDD505-2E9C-101B-9397-08002B2CF9AE}" pid="33" name="GVData23">
    <vt:lpwstr>RW50cmllcyI6IjIyIiwibGluZUlkIjoiOGQwNGYwN2YtOTlhNy00OWExLThhZTUtYWVlNTI0NTNkMDc2IiwidGFnc2V0X2UxNjQwOWE3XzE3MDBfNDE1M185MDkwXzM5NTViYzJmMGFlOF9jbGFzc2lmaWNhdGlvbiI6IlB1YmxpYyAtINi52KfZhSJ9</vt:lpwstr>
  </property>
  <property fmtid="{D5CDD505-2E9C-101B-9397-08002B2CF9AE}" pid="34" name="GVData24">
    <vt:lpwstr>(end)</vt:lpwstr>
  </property>
  <property fmtid="{D5CDD505-2E9C-101B-9397-08002B2CF9AE}" pid="35" name="ContentTypeId">
    <vt:lpwstr>0x01010026D7E190E26940429037C561BBC9E243</vt:lpwstr>
  </property>
</Properties>
</file>