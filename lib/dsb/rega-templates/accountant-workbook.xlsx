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4.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5.xml" ContentType="application/vnd.openxmlformats-officedocument.drawing+xml"/>
  <Override PartName="/xl/tables/table16.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regagovsa-my.sharepoint.com/personal/mabanmie_rega_gov_sa/Documents/"/>
    </mc:Choice>
  </mc:AlternateContent>
  <xr:revisionPtr revIDLastSave="0" documentId="8_{1380F3AF-9E88-4B20-AA53-21E5FD3A14E4}" xr6:coauthVersionLast="47" xr6:coauthVersionMax="47" xr10:uidLastSave="{00000000-0000-0000-0000-000000000000}"/>
  <bookViews>
    <workbookView xWindow="-28920" yWindow="-120" windowWidth="29040" windowHeight="15720" tabRatio="760" activeTab="5" xr2:uid="{00000000-000D-0000-FFFF-FFFF00000000}"/>
  </bookViews>
  <sheets>
    <sheet name="مقدمة" sheetId="12" r:id="rId1"/>
    <sheet name="تعليمات هامة قبل البدء" sheetId="13" r:id="rId2"/>
    <sheet name="(1) البيانات الاساسية" sheetId="2" r:id="rId3"/>
    <sheet name="(2) وثائق الصرف" sheetId="8" r:id="rId4"/>
    <sheet name="Sheet1" sheetId="10" state="hidden" r:id="rId5"/>
    <sheet name="(3) العمليات المالية" sheetId="11" r:id="rId6"/>
    <sheet name="(4) وحدات المشروع" sheetId="4" r:id="rId7"/>
    <sheet name="(5) تحليل البيانات المالية" sheetId="9" r:id="rId8"/>
    <sheet name="(6) النتائج والملاحظات" sheetId="6" r:id="rId9"/>
    <sheet name="قائمة المركز المالي (7)" sheetId="7" r:id="rId10"/>
  </sheets>
  <definedNames>
    <definedName name="_xlnm.Print_Area" localSheetId="2">'(1) البيانات الاساسية'!$A$1:$F$36</definedName>
    <definedName name="_xlnm.Print_Area" localSheetId="3">'(2) وثائق الصرف'!$A$1:$S$25</definedName>
    <definedName name="_xlnm.Print_Area" localSheetId="5">'(3) العمليات المالية'!$A$1:$L$45</definedName>
    <definedName name="_xlnm.Print_Area" localSheetId="6">'(4) وحدات المشروع'!$A$1:$L$119</definedName>
    <definedName name="_xlnm.Print_Area" localSheetId="8">'(6) النتائج والملاحظات'!$A$1:$H$39</definedName>
    <definedName name="_xlnm.Print_Area" localSheetId="9">'قائمة المركز المالي (7)'!$A$1:$I$17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1" l="1"/>
  <c r="B15" i="11" l="1"/>
  <c r="I34" i="11" l="1"/>
  <c r="I15" i="11"/>
  <c r="I24" i="11" l="1"/>
  <c r="J8" i="10"/>
  <c r="K8" i="10" s="1"/>
  <c r="U8" i="10"/>
  <c r="F3" i="4"/>
  <c r="F2" i="4"/>
  <c r="F16" i="4"/>
  <c r="F4" i="4"/>
  <c r="F5" i="4"/>
  <c r="F6" i="4"/>
  <c r="F7" i="4"/>
  <c r="F8" i="4"/>
  <c r="F9" i="4"/>
  <c r="F10" i="4"/>
  <c r="F11" i="4"/>
  <c r="F12" i="4"/>
  <c r="F13" i="4"/>
  <c r="F14" i="4"/>
  <c r="F15" i="4"/>
  <c r="C2" i="4" l="1"/>
  <c r="C3" i="4"/>
  <c r="B26" i="9" l="1"/>
  <c r="B25" i="9"/>
  <c r="C26" i="9"/>
  <c r="C25" i="9"/>
  <c r="E26" i="9" l="1"/>
  <c r="E25" i="9"/>
  <c r="D26" i="9"/>
  <c r="D25" i="9"/>
  <c r="D88" i="4"/>
  <c r="D89" i="4"/>
  <c r="D90" i="4"/>
  <c r="D91" i="4"/>
  <c r="D92" i="4"/>
  <c r="D93" i="4"/>
  <c r="D94" i="4"/>
  <c r="D95" i="4"/>
  <c r="D96" i="4"/>
  <c r="D97" i="4"/>
  <c r="D98" i="4"/>
  <c r="D99" i="4"/>
  <c r="D100" i="4"/>
  <c r="D101" i="4"/>
  <c r="D87" i="4"/>
  <c r="D102" i="4" s="1"/>
  <c r="E102" i="4"/>
  <c r="C102" i="4"/>
  <c r="G87" i="4"/>
  <c r="G89" i="4" l="1"/>
  <c r="G90" i="4"/>
  <c r="G91" i="4"/>
  <c r="G88" i="4"/>
  <c r="G92" i="4" l="1"/>
  <c r="G93" i="4"/>
  <c r="G94" i="4"/>
  <c r="G95" i="4" l="1"/>
  <c r="G96" i="4"/>
  <c r="G97" i="4" l="1"/>
  <c r="G98" i="4" l="1"/>
  <c r="G99" i="4" l="1"/>
  <c r="G100" i="4" l="1"/>
  <c r="G101" i="4" l="1"/>
  <c r="G102" i="4" s="1"/>
  <c r="F102" i="4"/>
  <c r="T8" i="10" l="1"/>
  <c r="C119" i="4"/>
  <c r="C24" i="11" l="1"/>
  <c r="C23" i="11" s="1"/>
  <c r="G34" i="11" l="1"/>
  <c r="D29" i="11" l="1"/>
  <c r="D11" i="2"/>
  <c r="B10" i="9"/>
  <c r="B2" i="9"/>
  <c r="E68" i="4"/>
  <c r="F68" i="4"/>
  <c r="F34" i="4"/>
  <c r="E3" i="4"/>
  <c r="E4" i="4"/>
  <c r="E5" i="4"/>
  <c r="E6" i="4"/>
  <c r="E7" i="4"/>
  <c r="E8" i="4"/>
  <c r="G8" i="4" s="1"/>
  <c r="E9" i="4"/>
  <c r="G9" i="4" s="1"/>
  <c r="E10" i="4"/>
  <c r="E11" i="4"/>
  <c r="G11" i="4" s="1"/>
  <c r="E12" i="4"/>
  <c r="E13" i="4"/>
  <c r="E14" i="4"/>
  <c r="G14" i="4" s="1"/>
  <c r="E15" i="4"/>
  <c r="G15" i="4" s="1"/>
  <c r="E16" i="4"/>
  <c r="G16" i="4" s="1"/>
  <c r="E2" i="4"/>
  <c r="B31" i="11"/>
  <c r="G15" i="11"/>
  <c r="L17" i="8"/>
  <c r="B4" i="9"/>
  <c r="B13" i="9"/>
  <c r="B9" i="9"/>
  <c r="B3" i="9"/>
  <c r="E34" i="4"/>
  <c r="C34" i="4"/>
  <c r="F85" i="4"/>
  <c r="E85" i="4"/>
  <c r="C85" i="4"/>
  <c r="D84" i="4" s="1"/>
  <c r="G84" i="4"/>
  <c r="G83" i="4"/>
  <c r="G82" i="4"/>
  <c r="G81" i="4"/>
  <c r="G80" i="4"/>
  <c r="G79" i="4"/>
  <c r="G78" i="4"/>
  <c r="G77" i="4"/>
  <c r="G76" i="4"/>
  <c r="G75" i="4"/>
  <c r="G74" i="4"/>
  <c r="G73" i="4"/>
  <c r="G72" i="4"/>
  <c r="G71" i="4"/>
  <c r="G70" i="4"/>
  <c r="F51" i="4"/>
  <c r="G67" i="4"/>
  <c r="G66" i="4"/>
  <c r="G65" i="4"/>
  <c r="G64" i="4"/>
  <c r="G63" i="4"/>
  <c r="G62" i="4"/>
  <c r="G61" i="4"/>
  <c r="G60" i="4"/>
  <c r="G59" i="4"/>
  <c r="G58" i="4"/>
  <c r="G57" i="4"/>
  <c r="G56" i="4"/>
  <c r="G55" i="4"/>
  <c r="G54" i="4"/>
  <c r="G53" i="4"/>
  <c r="G36" i="4"/>
  <c r="G19" i="4"/>
  <c r="G25" i="4"/>
  <c r="G26" i="4"/>
  <c r="G27" i="4"/>
  <c r="G28" i="4"/>
  <c r="G29" i="4"/>
  <c r="G30" i="4"/>
  <c r="G31" i="4"/>
  <c r="G32" i="4"/>
  <c r="G33" i="4"/>
  <c r="G10" i="4"/>
  <c r="G12" i="4"/>
  <c r="G13" i="4"/>
  <c r="F17" i="4"/>
  <c r="G24" i="4"/>
  <c r="G23" i="4"/>
  <c r="G22" i="4"/>
  <c r="G21" i="4"/>
  <c r="G20" i="4"/>
  <c r="C5" i="4"/>
  <c r="C8" i="4"/>
  <c r="C9" i="4"/>
  <c r="C10" i="4"/>
  <c r="C11" i="4"/>
  <c r="C12" i="4"/>
  <c r="C13" i="4"/>
  <c r="C14" i="4"/>
  <c r="C15" i="4"/>
  <c r="C16" i="4"/>
  <c r="C4" i="4"/>
  <c r="C6" i="4"/>
  <c r="C7" i="4"/>
  <c r="B18" i="11"/>
  <c r="G24" i="11"/>
  <c r="D35" i="2"/>
  <c r="D8" i="2" s="1"/>
  <c r="C35" i="2"/>
  <c r="D18" i="11" l="1"/>
  <c r="B16" i="9" s="1" a="1"/>
  <c r="B16" i="9" s="1"/>
  <c r="B29" i="11"/>
  <c r="L8" i="10"/>
  <c r="B30" i="11"/>
  <c r="B32" i="11" s="1"/>
  <c r="D12" i="2"/>
  <c r="B24" i="9"/>
  <c r="G85" i="4"/>
  <c r="E17" i="4"/>
  <c r="G2" i="4"/>
  <c r="D30" i="11"/>
  <c r="C17" i="4"/>
  <c r="G68" i="4"/>
  <c r="D33" i="4"/>
  <c r="D19" i="4"/>
  <c r="D20" i="4"/>
  <c r="D21" i="4"/>
  <c r="D22" i="4"/>
  <c r="D23" i="4"/>
  <c r="D24" i="4"/>
  <c r="D25" i="4"/>
  <c r="D26" i="4"/>
  <c r="D27" i="4"/>
  <c r="D28" i="4"/>
  <c r="D29" i="4"/>
  <c r="D30" i="4"/>
  <c r="D31" i="4"/>
  <c r="D32" i="4"/>
  <c r="G34" i="4"/>
  <c r="D70" i="4"/>
  <c r="D85" i="4" s="1"/>
  <c r="D74" i="4"/>
  <c r="D78" i="4"/>
  <c r="D80" i="4"/>
  <c r="D82" i="4"/>
  <c r="D75" i="4"/>
  <c r="D76" i="4"/>
  <c r="D81" i="4"/>
  <c r="D71" i="4"/>
  <c r="D72" i="4"/>
  <c r="D73" i="4"/>
  <c r="D77" i="4"/>
  <c r="D79" i="4"/>
  <c r="D83" i="4"/>
  <c r="C68" i="4"/>
  <c r="G40" i="4"/>
  <c r="G37" i="4"/>
  <c r="D2" i="4" l="1"/>
  <c r="D117" i="4"/>
  <c r="D104" i="4"/>
  <c r="D118" i="4"/>
  <c r="D105" i="4"/>
  <c r="D106" i="4"/>
  <c r="D107" i="4"/>
  <c r="D108" i="4"/>
  <c r="D109" i="4"/>
  <c r="D110" i="4"/>
  <c r="D111" i="4"/>
  <c r="D112" i="4"/>
  <c r="D113" i="4"/>
  <c r="D114" i="4"/>
  <c r="D115" i="4"/>
  <c r="D116" i="4"/>
  <c r="D10" i="4"/>
  <c r="D9" i="4"/>
  <c r="D7" i="4"/>
  <c r="D6" i="4"/>
  <c r="D4" i="4"/>
  <c r="D3" i="4"/>
  <c r="D16" i="4"/>
  <c r="D15" i="4"/>
  <c r="D14" i="4"/>
  <c r="D13" i="4"/>
  <c r="D12" i="4"/>
  <c r="D8" i="4"/>
  <c r="D5" i="4"/>
  <c r="D11" i="4"/>
  <c r="D65" i="4"/>
  <c r="D67" i="4"/>
  <c r="D54" i="4"/>
  <c r="D55" i="4"/>
  <c r="D56" i="4"/>
  <c r="D57" i="4"/>
  <c r="D58" i="4"/>
  <c r="D59" i="4"/>
  <c r="D60" i="4"/>
  <c r="D61" i="4"/>
  <c r="D62" i="4"/>
  <c r="D63" i="4"/>
  <c r="D64" i="4"/>
  <c r="D66" i="4"/>
  <c r="D53" i="4"/>
  <c r="D68" i="4" s="1"/>
  <c r="D34" i="4"/>
  <c r="G38" i="4"/>
  <c r="G39" i="4"/>
  <c r="D119" i="4" l="1"/>
  <c r="D17" i="4"/>
  <c r="G41" i="4"/>
  <c r="G3" i="4"/>
  <c r="G4" i="4"/>
  <c r="G5" i="4"/>
  <c r="G6" i="4"/>
  <c r="G7" i="4"/>
  <c r="G17" i="4" l="1"/>
  <c r="G42" i="4"/>
  <c r="G43" i="4" l="1"/>
  <c r="G44" i="4" l="1"/>
  <c r="G45" i="4"/>
  <c r="G46" i="4" l="1"/>
  <c r="G47" i="4" l="1"/>
  <c r="G48" i="4" l="1"/>
  <c r="G49" i="4" l="1"/>
  <c r="C51" i="4" l="1"/>
  <c r="D50" i="4" s="1"/>
  <c r="E51" i="4"/>
  <c r="G50" i="4"/>
  <c r="G51" i="4" s="1"/>
  <c r="C24" i="9" l="1"/>
  <c r="D49" i="4"/>
  <c r="D48" i="4"/>
  <c r="D47" i="4"/>
  <c r="D46" i="4"/>
  <c r="D45" i="4"/>
  <c r="D43" i="4"/>
  <c r="D44" i="4"/>
  <c r="D42" i="4"/>
  <c r="D39" i="4"/>
  <c r="D36" i="4"/>
  <c r="D37" i="4"/>
  <c r="D38" i="4"/>
  <c r="D40" i="4"/>
  <c r="D41" i="4"/>
  <c r="E24" i="9" l="1"/>
  <c r="D24" i="9"/>
  <c r="B17" i="9"/>
  <c r="B18" i="9" s="1"/>
  <c r="D51"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<sst xmlns="http://schemas.openxmlformats.org/spreadsheetml/2006/main" count="900" uniqueCount="682">
  <si>
    <t>اسم مكتب المحاسب القانوني</t>
  </si>
  <si>
    <t>تاريخ التقرير</t>
  </si>
  <si>
    <t>اسم المطور</t>
  </si>
  <si>
    <t>رقم ترخيص المشروع</t>
  </si>
  <si>
    <t>اسم المشروع</t>
  </si>
  <si>
    <t>الاسم</t>
  </si>
  <si>
    <t>نوع الوحدات</t>
  </si>
  <si>
    <t>البيان</t>
  </si>
  <si>
    <t>العدد</t>
  </si>
  <si>
    <t>رقم الجوال</t>
  </si>
  <si>
    <t>شقق</t>
  </si>
  <si>
    <t>فلل</t>
  </si>
  <si>
    <t>سعر الارض</t>
  </si>
  <si>
    <t>إجمالي قيمة وحدات المشروع</t>
  </si>
  <si>
    <t>مكاتب تجارية</t>
  </si>
  <si>
    <t>أراضي صناعية</t>
  </si>
  <si>
    <t>الإجمالي</t>
  </si>
  <si>
    <t>آمين الحساب (البنك)</t>
  </si>
  <si>
    <t>البريد الإلكتروني</t>
  </si>
  <si>
    <t xml:space="preserve">البيانات الأساسية للمشروع </t>
  </si>
  <si>
    <t xml:space="preserve">وحدات المشروع </t>
  </si>
  <si>
    <t>بيانات معد التقرير</t>
  </si>
  <si>
    <t>رقم وثيقة الصرف</t>
  </si>
  <si>
    <t>تاريخ الدفع</t>
  </si>
  <si>
    <t>المبلغ</t>
  </si>
  <si>
    <t>العمليات المدينة</t>
  </si>
  <si>
    <t>العمليات الدائنة</t>
  </si>
  <si>
    <t>تحصيل من العملاء</t>
  </si>
  <si>
    <t>تمويل بنكي</t>
  </si>
  <si>
    <t>تمويل ذاتي</t>
  </si>
  <si>
    <t>تمويل الوزارة</t>
  </si>
  <si>
    <t>أخرى (مع ذكر السبب)</t>
  </si>
  <si>
    <t>اجمالي العمليات الدائنة</t>
  </si>
  <si>
    <t>تكاليف انشائية</t>
  </si>
  <si>
    <t>مصاريف ادارية وتسويقية</t>
  </si>
  <si>
    <t>ايداعات عملاء مستردة</t>
  </si>
  <si>
    <t>عمولات بنكية</t>
  </si>
  <si>
    <t>اجمالي العمليات المدينة</t>
  </si>
  <si>
    <t xml:space="preserve">العمليات المالية منذ البدء بالمشروع </t>
  </si>
  <si>
    <t xml:space="preserve"> العمليات المالية خلال الفترة</t>
  </si>
  <si>
    <t>رصيد افتتاح الفترة</t>
  </si>
  <si>
    <t>رصيد اغلاق الفترة</t>
  </si>
  <si>
    <t>البنود</t>
  </si>
  <si>
    <t>بيان نوع الوحدات</t>
  </si>
  <si>
    <t>عدد</t>
  </si>
  <si>
    <t>نسبة</t>
  </si>
  <si>
    <t>قيمة الوحدات</t>
  </si>
  <si>
    <t>قيمة المحصل من الوحدات المباعة</t>
  </si>
  <si>
    <t>اجمالي الوحدات المباعة خلال الفترة</t>
  </si>
  <si>
    <t>اجمالي الوحدات المباعة منذ بداية المشروع</t>
  </si>
  <si>
    <t>اجمالي الوحدات المتبقية للمشروع</t>
  </si>
  <si>
    <t>إجمالي وحدات المشروع</t>
  </si>
  <si>
    <t xml:space="preserve">النسبة المسموح بها للمصاريف الإدارية والتسويقية </t>
  </si>
  <si>
    <t>الحد المسموح التصرف به للمصاريف الإدارية والتسويقية</t>
  </si>
  <si>
    <t>المبلغ المتبقي</t>
  </si>
  <si>
    <t>إجمالي قيمة الوحدات المباعة والمحصل قيمتها</t>
  </si>
  <si>
    <t>(20% من قيمة الوحدة المباعة والمحصل قيمتها)</t>
  </si>
  <si>
    <t xml:space="preserve">النسبة الواجب توفرها بحساب الضمان </t>
  </si>
  <si>
    <t>الحد الأدنى الواجب توفره في حساب الضمان</t>
  </si>
  <si>
    <t>الحد المسموح التصرف به من حساب الضمان</t>
  </si>
  <si>
    <t>(4% من قيمة الوحدة المباعة والمحصل قيمتها)</t>
  </si>
  <si>
    <t>المتبقي</t>
  </si>
  <si>
    <t>رصيد إغلاق الربع السابق</t>
  </si>
  <si>
    <t>المنطقة</t>
  </si>
  <si>
    <t>المدينة</t>
  </si>
  <si>
    <t>تاريخ بداية المشروع</t>
  </si>
  <si>
    <t>تاريخ نهاية المشروع</t>
  </si>
  <si>
    <t>فرق الأيام</t>
  </si>
  <si>
    <t>المحاسب القانوني</t>
  </si>
  <si>
    <t xml:space="preserve">الفعلي  </t>
  </si>
  <si>
    <t>اجمالي قيمة وحدات المشروع</t>
  </si>
  <si>
    <t xml:space="preserve">عدد مرات سحب الفائض </t>
  </si>
  <si>
    <t>اجمالي قيمة سحوبات الفائض</t>
  </si>
  <si>
    <t>رقم الترخيص</t>
  </si>
  <si>
    <t>اسم  المشروع</t>
  </si>
  <si>
    <t>الحي</t>
  </si>
  <si>
    <t xml:space="preserve">الاستشاري الهندسي </t>
  </si>
  <si>
    <t>آمين الحساب</t>
  </si>
  <si>
    <t>بيانات المشروع</t>
  </si>
  <si>
    <t>أرصدة حساب الضمان</t>
  </si>
  <si>
    <t xml:space="preserve">عدد الوحدات المسلمة </t>
  </si>
  <si>
    <t xml:space="preserve">نتائج ومرئيات </t>
  </si>
  <si>
    <t>المبيعات</t>
  </si>
  <si>
    <t xml:space="preserve">المصروفات </t>
  </si>
  <si>
    <t>التحصيل / التمويل</t>
  </si>
  <si>
    <t>المقدر  (دراسة الجدوى)</t>
  </si>
  <si>
    <t>الفرق</t>
  </si>
  <si>
    <t>%</t>
  </si>
  <si>
    <t xml:space="preserve"> التكاليف الإدارية و التسويقية </t>
  </si>
  <si>
    <t xml:space="preserve">وثائق الصرف </t>
  </si>
  <si>
    <t>رقم حساب الضمان (ايبان)</t>
  </si>
  <si>
    <t>اجمالي التكاليف التقديرية</t>
  </si>
  <si>
    <t>اجمالي التكاليف الانشائية التقديرية</t>
  </si>
  <si>
    <t>إجمالي التكاليف الإدارية التسويقية التقديرية</t>
  </si>
  <si>
    <t>تاريخ الوثيقة</t>
  </si>
  <si>
    <t>تاريخ اعتماد الوثيقة</t>
  </si>
  <si>
    <t>#</t>
  </si>
  <si>
    <t xml:space="preserve">إجمالي المنصرف من الإدارية والتسويقية </t>
  </si>
  <si>
    <t>العمليات المالية من خارج حساب الضمان (إن وجدت)</t>
  </si>
  <si>
    <t>البند</t>
  </si>
  <si>
    <t>اسم المستفيد</t>
  </si>
  <si>
    <t>صفة المستفيد</t>
  </si>
  <si>
    <t>مقاول</t>
  </si>
  <si>
    <t>مورد</t>
  </si>
  <si>
    <t>ممول</t>
  </si>
  <si>
    <t xml:space="preserve"> بنك الأهلي</t>
  </si>
  <si>
    <t>بيان الصرف</t>
  </si>
  <si>
    <t xml:space="preserve">الغاء عقد وإعادة الدفعات للوحدة رقم .... </t>
  </si>
  <si>
    <t>مشتري</t>
  </si>
  <si>
    <t xml:space="preserve">سعود </t>
  </si>
  <si>
    <t>الغاء عقد وإعادة دفعات</t>
  </si>
  <si>
    <t>شركة الدعاية والاعلان</t>
  </si>
  <si>
    <t>مسوق</t>
  </si>
  <si>
    <t xml:space="preserve">مستخلص رقم ()  لأعمال البناء </t>
  </si>
  <si>
    <t>دفعة مقدمة توريد مواد بناء</t>
  </si>
  <si>
    <t xml:space="preserve">الدفعة الأولى من عقد تسويق المشروع </t>
  </si>
  <si>
    <t xml:space="preserve">سداد مستحقات تمويل المشروع دفعة رقم 3 </t>
  </si>
  <si>
    <t>شركة بداية للتمويل</t>
  </si>
  <si>
    <t>الشركة الوطنية للإسكان</t>
  </si>
  <si>
    <t>سداد مستحقات تمويل الحافز الوزاري</t>
  </si>
  <si>
    <t>شركة التسويق العقاري</t>
  </si>
  <si>
    <t>سداد عمولات التسويق من بيع الوحدات</t>
  </si>
  <si>
    <t>شركة الحديد للمقاولات</t>
  </si>
  <si>
    <t xml:space="preserve">شركة سحا لتوريد </t>
  </si>
  <si>
    <t>الاستشاري  الهندسي</t>
  </si>
  <si>
    <t>سداد اتعاب مكتب الاستشاري الهندسي</t>
  </si>
  <si>
    <t>سداد اتعاب مكتب المحاسب القانوني</t>
  </si>
  <si>
    <t>القيود المالية</t>
  </si>
  <si>
    <t>الوحدات التي تم الغاء بيعها</t>
  </si>
  <si>
    <t>الفائض بعد حجز 5% الحفظ</t>
  </si>
  <si>
    <t>الفائض بعد حجز  20% من التكلفة الانشائية المتبقية لاستكمال المشروع</t>
  </si>
  <si>
    <t>صافي الفائض المتاح</t>
  </si>
  <si>
    <t>تحليل المعطيات التقديرية والفعلية</t>
  </si>
  <si>
    <t>ملاحظات  أخرى</t>
  </si>
  <si>
    <t>دوبلكس</t>
  </si>
  <si>
    <t>أراضي سكنية</t>
  </si>
  <si>
    <t>أراضي تجارية</t>
  </si>
  <si>
    <t>أراضي زراعية</t>
  </si>
  <si>
    <t>أراضي سياحية</t>
  </si>
  <si>
    <t>أدوار</t>
  </si>
  <si>
    <t>تاون هاوس</t>
  </si>
  <si>
    <t>غرف فندقية</t>
  </si>
  <si>
    <t>أجنحة فندقية</t>
  </si>
  <si>
    <t>بنت هاوس</t>
  </si>
  <si>
    <t>بند وثائق الصرف</t>
  </si>
  <si>
    <t xml:space="preserve">انشائي </t>
  </si>
  <si>
    <t xml:space="preserve">اداري </t>
  </si>
  <si>
    <t xml:space="preserve">تسويقي </t>
  </si>
  <si>
    <t xml:space="preserve"> الحفظ (حسن التنفيذ)</t>
  </si>
  <si>
    <t>أخرى</t>
  </si>
  <si>
    <t>أخرى (يتم ذكر صفة المستفيد في بيان الصرف)</t>
  </si>
  <si>
    <t>المبلغ2</t>
  </si>
  <si>
    <r>
      <rPr>
        <sz val="14"/>
        <color theme="1"/>
        <rFont val="Times New Roman"/>
        <family val="1"/>
      </rPr>
      <t xml:space="preserve"> </t>
    </r>
    <r>
      <rPr>
        <sz val="14"/>
        <color theme="1"/>
        <rFont val="Sakkal Majalla"/>
      </rPr>
      <t xml:space="preserve">المصاريف الإدارية التسويقي - الغير انشائية : 20% </t>
    </r>
  </si>
  <si>
    <r>
      <rPr>
        <b/>
        <sz val="14"/>
        <color theme="1"/>
        <rFont val="Times New Roman"/>
        <family val="1"/>
      </rPr>
      <t xml:space="preserve">  </t>
    </r>
    <r>
      <rPr>
        <b/>
        <sz val="14"/>
        <color theme="1"/>
        <rFont val="Sakkal Majalla"/>
      </rPr>
      <t>حساب الحفظ: 5%</t>
    </r>
  </si>
  <si>
    <t>العمليات المالية المتوقعة للربع القادم من العام الحالي (يتم ادخال العمليات المالية المتوقعة للربع القادم)</t>
  </si>
  <si>
    <t>التكلفة المتبقية</t>
  </si>
  <si>
    <t xml:space="preserve"> 20% من التكلفة الانشائية المتبقية</t>
  </si>
  <si>
    <t>حجز مبلغ الحفظ</t>
  </si>
  <si>
    <t>اسم المقاول</t>
  </si>
  <si>
    <t>اسم المقاول 2</t>
  </si>
  <si>
    <t>اسم المقاول 3</t>
  </si>
  <si>
    <t>اسم المقاول 4</t>
  </si>
  <si>
    <t xml:space="preserve">قيمة عقد المقاول </t>
  </si>
  <si>
    <t>قيمة عقد المقاول 2</t>
  </si>
  <si>
    <t>قيمة عقد المقاول 3</t>
  </si>
  <si>
    <t>قيمة عقد المقاول 4</t>
  </si>
  <si>
    <t>تقرير الربع</t>
  </si>
  <si>
    <t xml:space="preserve">تقرير الربع </t>
  </si>
  <si>
    <t>Q1</t>
  </si>
  <si>
    <t>Q2</t>
  </si>
  <si>
    <t>Q3</t>
  </si>
  <si>
    <t>Q4</t>
  </si>
  <si>
    <t>البنك</t>
  </si>
  <si>
    <t>البنك العربي الوطني</t>
  </si>
  <si>
    <t>مصرف الانماء</t>
  </si>
  <si>
    <t>البنك الأهلي السعودي</t>
  </si>
  <si>
    <t>البنك السعودي الأول</t>
  </si>
  <si>
    <t>البنك السعودي الفرنسي</t>
  </si>
  <si>
    <t xml:space="preserve">بنك الامارات دبي الوطني </t>
  </si>
  <si>
    <t>بنك البلاد</t>
  </si>
  <si>
    <t>بنك الجزيرة</t>
  </si>
  <si>
    <t>بنك الخليج الدولي</t>
  </si>
  <si>
    <t>بنك الرياض</t>
  </si>
  <si>
    <t>بنك الكويت الوطني</t>
  </si>
  <si>
    <t>مصرف الراجحي</t>
  </si>
  <si>
    <t>اجمالي قيمة  الوحدات</t>
  </si>
  <si>
    <t>حالة الوثيقة</t>
  </si>
  <si>
    <t>مقدم</t>
  </si>
  <si>
    <t>مستحق</t>
  </si>
  <si>
    <t>-</t>
  </si>
  <si>
    <t>حساب الحفظ من الايداعات</t>
  </si>
  <si>
    <t>حساب الحفظ من التكلفة الانشائية</t>
  </si>
  <si>
    <t>تكاليف انشائية تسويات (دفعة مقدمة)</t>
  </si>
  <si>
    <t>حساب الحفظ</t>
  </si>
  <si>
    <t xml:space="preserve">نسبة هامش الربح المتوقع </t>
  </si>
  <si>
    <t>تفاصيل الدفعة المقدمة</t>
  </si>
  <si>
    <t>الرصيد الافتتاحي للدفعة المقدمة</t>
  </si>
  <si>
    <t>المدين</t>
  </si>
  <si>
    <t>المتبقي من الدفعة المقدمة</t>
  </si>
  <si>
    <t>ما تم إنجازه من الدفعة المقدمة (تراكمي)</t>
  </si>
  <si>
    <t xml:space="preserve">نوع حساب الضمان </t>
  </si>
  <si>
    <t>تكاليف انشائية  (الدفعة المقدمة المتبقية)</t>
  </si>
  <si>
    <t>تكاليف انشائية  (تسويات الدفعة المقدمة)</t>
  </si>
  <si>
    <t xml:space="preserve"> التكاليف الانشائية </t>
  </si>
  <si>
    <t>حساب الانشاءات</t>
  </si>
  <si>
    <t>حساب الإداري والتسويقي</t>
  </si>
  <si>
    <t>نسبة (من الوحدات المرخصة)</t>
  </si>
  <si>
    <t>مبلغ الفائض (الأرباح تقديري)</t>
  </si>
  <si>
    <t>المخاطرالحالية المتوقعة على المشروع</t>
  </si>
  <si>
    <t>( حسب بداية المشروع)</t>
  </si>
  <si>
    <t>المخاطر المستقبلية المتوقعة على المشروع</t>
  </si>
  <si>
    <t>قيمة المحصل من الوحدات المباعة (متوقع)</t>
  </si>
  <si>
    <t>الوحدات المتوقع بيعها خلال الربع القادم (يتم ادخال المبيعات المتوقعة للربع القادم)</t>
  </si>
  <si>
    <t>أخرى 1 (مع ذكر السبب)</t>
  </si>
  <si>
    <t>النموذج الموحد لتقرير المحاسب القانوني للمشاريع العقارية على الخارطة</t>
  </si>
  <si>
    <t xml:space="preserve">تـــعـــلـــيـــمـــات عـــامـــة: </t>
  </si>
  <si>
    <t># المسؤول عن تعبئة ودقة البيانات والمعلومات وتسليم التقرير وفق النموذج الموحد هو مكتب المحاسب القانوني الخاص بالمشروع العقاري على الخارطة المرخص من قبل الهيئة العامة للعقار</t>
  </si>
  <si>
    <r>
      <t>#</t>
    </r>
    <r>
      <rPr>
        <b/>
        <sz val="12"/>
        <color theme="0"/>
        <rFont val="Sakkal Majalla"/>
      </rPr>
      <t xml:space="preserve"> المهلة النهائية</t>
    </r>
    <r>
      <rPr>
        <sz val="12"/>
        <color theme="0"/>
        <rFont val="Sakkal Majalla"/>
      </rPr>
      <t xml:space="preserve"> لتسليم التقرير خلال مدة أقصاها </t>
    </r>
    <r>
      <rPr>
        <b/>
        <sz val="12"/>
        <color theme="0"/>
        <rFont val="Sakkal Majalla"/>
      </rPr>
      <t xml:space="preserve">(21 يوم فقط) </t>
    </r>
    <r>
      <rPr>
        <sz val="12"/>
        <color theme="0"/>
        <rFont val="Sakkal Majalla"/>
      </rPr>
      <t>من نهاية الربع. (مثال : المهلة النهائية لتسليم تقرير الربع الثالث 2026 تبدأ من 1 أكتوبر 2026، وتنتهي في 21 أكتوبر 2026)</t>
    </r>
  </si>
  <si>
    <t># في حال عدم تزويد المطور للمحاسب القانوني بالبيانات اللازمة لإعداد التقرير يجب الإفادة رسمياً من قبل المحاسب القانوني بذلك خلال مدة أقصاها (3) أيام عمل من نهاية الربع، ولن يُعتد بأي إفادة ترد بعد انقضاء هذه المدة</t>
  </si>
  <si>
    <r>
      <t>#</t>
    </r>
    <r>
      <rPr>
        <b/>
        <sz val="12"/>
        <color theme="0"/>
        <rFont val="Sakkal Majalla"/>
      </rPr>
      <t xml:space="preserve"> لن يتم استلام</t>
    </r>
    <r>
      <rPr>
        <sz val="12"/>
        <color theme="0"/>
        <rFont val="Sakkal Majalla"/>
      </rPr>
      <t xml:space="preserve"> أي تقرير بعد المهلة الزمنية المحدة، ولايوجد تمديد أو استثناء، وسيتم الرفع بالمخالفة حسب الإجراءات النظامية دون إشعار مسبق</t>
    </r>
  </si>
  <si>
    <r>
      <t>#</t>
    </r>
    <r>
      <rPr>
        <b/>
        <sz val="12"/>
        <color theme="0"/>
        <rFont val="Sakkal Majalla"/>
      </rPr>
      <t xml:space="preserve"> لن يتم استلام</t>
    </r>
    <r>
      <rPr>
        <sz val="12"/>
        <color theme="0"/>
        <rFont val="Sakkal Majalla"/>
      </rPr>
      <t xml:space="preserve"> أي تقرير غير مستوفي كافة الحقول المطلوبة، وسيتم الرفع بالمخالفة حسب الإجراءات النظامية دون إشعار مسبق</t>
    </r>
  </si>
  <si>
    <r>
      <t>#</t>
    </r>
    <r>
      <rPr>
        <b/>
        <sz val="12"/>
        <color theme="0"/>
        <rFont val="Sakkal Majalla"/>
      </rPr>
      <t xml:space="preserve"> يتم الاستناد على المخالفات</t>
    </r>
    <r>
      <rPr>
        <sz val="12"/>
        <color theme="0"/>
        <rFont val="Sakkal Majalla"/>
      </rPr>
      <t xml:space="preserve"> وفقاً لنظام بيع وتأجير مشروعات عقارية على الخارطة، واللائحة التنفيذية لنظام بيع وتأجير مشروعات عقارية على الخارطة، وجدول مخالفات نظام بيع وتأجير مشروعات عقارية على الخارطة ولائحته التنفيذية والعقوبات المقررة لها</t>
    </r>
  </si>
  <si>
    <t># يتم تعبئة النموذج باللغة العربية في حال كان طبيعة الحقل (نص)، ويتم التعبئة باللغة الإنجليزية في حال طبيعة الحقل (رقم 12345)</t>
  </si>
  <si>
    <t xml:space="preserve"># توجد ملاحظة استرشادية على بعض الحقول </t>
  </si>
  <si>
    <t># يتم استخدام النموذج الموحد لكل ربع على حده، ولا يمكن استخدام نفس النسخة أكثر من مرة، وسيتم تزويدكم بالنموذج قبل بداية فترة استلام التقارير</t>
  </si>
  <si>
    <t># يحتوي النموذج الموحد على سبعة أوراق عمل (أقسام) موضح تفاصيلها أدناه: (البيانات الأساسية - وثائق الصرف - العمليات المالية - وحدات المشروع - تحليل البيانات المالية - النتائج والملاحظات - قائمة المركز المالي)</t>
  </si>
  <si>
    <r>
      <t>#</t>
    </r>
    <r>
      <rPr>
        <b/>
        <sz val="12"/>
        <color theme="0"/>
        <rFont val="Sakkal Majalla"/>
      </rPr>
      <t xml:space="preserve"> يتم الإقرار بتسليم التقرير</t>
    </r>
    <r>
      <rPr>
        <sz val="12"/>
        <color theme="0"/>
        <rFont val="Sakkal Majalla"/>
      </rPr>
      <t xml:space="preserve"> من خلال نموذج (إقرار تسليم التقرير) الذي سيتم إرفاقه مع النموذج الموحد في البريد المرسل عند بدء كل دورة قياس</t>
    </r>
  </si>
  <si>
    <t xml:space="preserve">(1) إرشادات قسم البيانات الأساسية </t>
  </si>
  <si>
    <t xml:space="preserve">• يهدف هذا القسم في توضيح البيانات الأسياسية للمشروع  </t>
  </si>
  <si>
    <t>• يتكون القسم من 3 جداول رئيسية : (بيانات معد التقرير) ، (البيانات الأساسية للمشروع)، (وحدات المشروع)</t>
  </si>
  <si>
    <t>• يتم تعبئة الحقول المحددة باللون الأبيض فقط</t>
  </si>
  <si>
    <t xml:space="preserve">(2) إرشادات قسم وثائق الصرف </t>
  </si>
  <si>
    <t xml:space="preserve">• يهدف هذا القسم في بيان وتسجيل جميع وثائق الصرف التي تمت على المشروع </t>
  </si>
  <si>
    <t xml:space="preserve">• يتكون القسم من جدول رئيسي واحد يحتوي على أعمدة يندرج من بعضها قائمة منسدلة، وتفاصيلها كالتالي: </t>
  </si>
  <si>
    <r>
      <t>◘</t>
    </r>
    <r>
      <rPr>
        <b/>
        <sz val="12"/>
        <color theme="0"/>
        <rFont val="Sakkal Majalla"/>
      </rPr>
      <t xml:space="preserve"> نوع حساب الضمان</t>
    </r>
    <r>
      <rPr>
        <sz val="12"/>
        <color theme="0"/>
        <rFont val="Sakkal Majalla"/>
      </rPr>
      <t xml:space="preserve"> : قائمة منسدلة تشير إلى الحساب المطلوب السحب منه</t>
    </r>
  </si>
  <si>
    <r>
      <t>◘</t>
    </r>
    <r>
      <rPr>
        <b/>
        <sz val="12"/>
        <color theme="0"/>
        <rFont val="Sakkal Majalla"/>
      </rPr>
      <t>البند</t>
    </r>
    <r>
      <rPr>
        <sz val="12"/>
        <color theme="0"/>
        <rFont val="Sakkal Majalla"/>
      </rPr>
      <t>: قائمة منسدلة تشير إلى البند المطلوب السحب منه</t>
    </r>
  </si>
  <si>
    <r>
      <t>◘</t>
    </r>
    <r>
      <rPr>
        <b/>
        <sz val="12"/>
        <color theme="0"/>
        <rFont val="Sakkal Majalla"/>
      </rPr>
      <t xml:space="preserve"> رقم وثيقة الصرف</t>
    </r>
    <r>
      <rPr>
        <sz val="12"/>
        <color theme="0"/>
        <rFont val="Sakkal Majalla"/>
      </rPr>
      <t>: ترقيم جميع وثائق الصرف التي تم صرفها على المشروع العقاري</t>
    </r>
  </si>
  <si>
    <r>
      <t>◘</t>
    </r>
    <r>
      <rPr>
        <b/>
        <sz val="12"/>
        <color theme="0"/>
        <rFont val="Sakkal Majalla"/>
      </rPr>
      <t xml:space="preserve"> تاريخ الوثيق</t>
    </r>
    <r>
      <rPr>
        <sz val="12"/>
        <color theme="0"/>
        <rFont val="Sakkal Majalla"/>
      </rPr>
      <t>ة: تاريخ إعداد وثيقة الصرف</t>
    </r>
  </si>
  <si>
    <r>
      <t xml:space="preserve">◘ </t>
    </r>
    <r>
      <rPr>
        <b/>
        <sz val="12"/>
        <color theme="0"/>
        <rFont val="Sakkal Majalla"/>
      </rPr>
      <t>اسم المستفيد</t>
    </r>
    <r>
      <rPr>
        <sz val="12"/>
        <color theme="0"/>
        <rFont val="Sakkal Majalla"/>
      </rPr>
      <t>: اسم المستفيد المراد التحويل له</t>
    </r>
  </si>
  <si>
    <r>
      <t xml:space="preserve">◘ </t>
    </r>
    <r>
      <rPr>
        <b/>
        <sz val="12"/>
        <color theme="0"/>
        <rFont val="Sakkal Majalla"/>
      </rPr>
      <t>صفة المستفيد</t>
    </r>
    <r>
      <rPr>
        <sz val="12"/>
        <color theme="0"/>
        <rFont val="Sakkal Majalla"/>
      </rPr>
      <t>: قائمة منسدلة تشير إلى صفة المستفيد المراد التحويل له، وفي حال اختيار "أخرى" يتم ذكر صفة المستفيد في العمود التالي (بيان الصرف)</t>
    </r>
  </si>
  <si>
    <r>
      <t>◘</t>
    </r>
    <r>
      <rPr>
        <b/>
        <sz val="12"/>
        <color theme="0"/>
        <rFont val="Sakkal Majalla"/>
      </rPr>
      <t>بيان الصرف</t>
    </r>
    <r>
      <rPr>
        <sz val="12"/>
        <color theme="0"/>
        <rFont val="Sakkal Majalla"/>
      </rPr>
      <t>: توضيح بيان تفصيلي لعملية الصرف</t>
    </r>
  </si>
  <si>
    <r>
      <t xml:space="preserve">◘ </t>
    </r>
    <r>
      <rPr>
        <b/>
        <sz val="12"/>
        <color theme="0"/>
        <rFont val="Sakkal Majalla"/>
      </rPr>
      <t>تاريخ اعتماد الوثيقة</t>
    </r>
    <r>
      <rPr>
        <sz val="12"/>
        <color theme="0"/>
        <rFont val="Sakkal Majalla"/>
      </rPr>
      <t>: تاريخ اعتماد المحاسب القانوني لوثيقة الصرف</t>
    </r>
  </si>
  <si>
    <r>
      <t xml:space="preserve">◘ </t>
    </r>
    <r>
      <rPr>
        <b/>
        <sz val="12"/>
        <color theme="0"/>
        <rFont val="Sakkal Majalla"/>
      </rPr>
      <t>تاريخ الدفع</t>
    </r>
    <r>
      <rPr>
        <sz val="12"/>
        <color theme="0"/>
        <rFont val="Sakkal Majalla"/>
      </rPr>
      <t>: تاريخ خصم المبلغ من حساب الضمان</t>
    </r>
  </si>
  <si>
    <r>
      <t xml:space="preserve">◘ </t>
    </r>
    <r>
      <rPr>
        <b/>
        <sz val="12"/>
        <color theme="0"/>
        <rFont val="Sakkal Majalla"/>
      </rPr>
      <t>المبلغ</t>
    </r>
    <r>
      <rPr>
        <sz val="12"/>
        <color theme="0"/>
        <rFont val="Sakkal Majalla"/>
      </rPr>
      <t>: قيمة وثيقة الصرف</t>
    </r>
  </si>
  <si>
    <t xml:space="preserve">(3) إرشادات قسم العمليات المالية </t>
  </si>
  <si>
    <t xml:space="preserve">• يهدف هذا القسم في بيان وتسجيل جميع العمليات المالية التي تمت على المشروع </t>
  </si>
  <si>
    <t xml:space="preserve">• يتكون القسم من ثمانية جداول رئيسية، وتفاصيلها كالتالي: </t>
  </si>
  <si>
    <r>
      <rPr>
        <b/>
        <sz val="12"/>
        <color theme="0"/>
        <rFont val="Sakkal Majalla"/>
      </rPr>
      <t xml:space="preserve">◘ رصيد إغلاق الربع السابق: </t>
    </r>
    <r>
      <rPr>
        <sz val="12"/>
        <color theme="0"/>
        <rFont val="Sakkal Majalla"/>
      </rPr>
      <t>يتم ذكر رصيد الإغلاق للربع السابق إن وجد</t>
    </r>
  </si>
  <si>
    <r>
      <rPr>
        <b/>
        <sz val="12"/>
        <color theme="0"/>
        <rFont val="Sakkal Majalla"/>
      </rPr>
      <t xml:space="preserve">◘ العمليات المالية منذ البدء بالمشروع: </t>
    </r>
    <r>
      <rPr>
        <sz val="12"/>
        <color theme="0"/>
        <rFont val="Sakkal Majalla"/>
      </rPr>
      <t>ادخال العمليات المالية التي تمت منذ بداية المشروع وحتى تاريخه، تم إضافة بند تكاليف انشائية  (الدفعة المقدمة المتبقية)، يتم إضافة التكلفة الانشائية المصروفة مقدما في بداية المشروع وعند انجاز الاعمال يتم نقل المبالغ الى بند تكاليف انشائية</t>
    </r>
  </si>
  <si>
    <r>
      <rPr>
        <b/>
        <sz val="12"/>
        <color theme="0"/>
        <rFont val="Sakkal Majalla"/>
      </rPr>
      <t xml:space="preserve">◘ العمليات المالية خلال الفترة: </t>
    </r>
    <r>
      <rPr>
        <sz val="12"/>
        <color theme="0"/>
        <rFont val="Sakkal Majalla"/>
      </rPr>
      <t>ادخال العمليات المالية التي تمت خلال فترة التقرير، تم إضافة بند تكاليف انشائية  (الدفعة المقدمة المتبقية)، يتم إضافة التكلفة الانشائية المصروفة مقدما</t>
    </r>
  </si>
  <si>
    <r>
      <rPr>
        <b/>
        <sz val="12"/>
        <color theme="0"/>
        <rFont val="Sakkal Majalla"/>
      </rPr>
      <t xml:space="preserve">◘ أرصدة حساب الضمان: </t>
    </r>
    <r>
      <rPr>
        <sz val="12"/>
        <color theme="0"/>
        <rFont val="Sakkal Majalla"/>
      </rPr>
      <t>يعتمد على رصيد إغلاق الربع السابق، إضافة إلى العمليات المالية التي تمت خلال الفترة</t>
    </r>
  </si>
  <si>
    <r>
      <rPr>
        <b/>
        <sz val="12"/>
        <color theme="0"/>
        <rFont val="Sakkal Majalla"/>
      </rPr>
      <t xml:space="preserve">◘ تفاصيل الدفعة المقدمة: </t>
    </r>
    <r>
      <rPr>
        <sz val="12"/>
        <color theme="0"/>
        <rFont val="Sakkal Majalla"/>
      </rPr>
      <t>إجمالي مبالغ الدفعة المقدمة التي تم صرفها بوثيقة صرف</t>
    </r>
  </si>
  <si>
    <r>
      <rPr>
        <b/>
        <sz val="12"/>
        <color theme="0"/>
        <rFont val="Sakkal Majalla"/>
      </rPr>
      <t xml:space="preserve">◘ العمليات المالية من خارج حساب الضمان (إن وجدت): </t>
    </r>
    <r>
      <rPr>
        <sz val="12"/>
        <color theme="0"/>
        <rFont val="Sakkal Majalla"/>
      </rPr>
      <t>العمليات المالية التي تمت من خارج حساب الضمان منذ بداية المشروع وحتى تاريخه</t>
    </r>
  </si>
  <si>
    <r>
      <rPr>
        <b/>
        <sz val="12"/>
        <color theme="0"/>
        <rFont val="Sakkal Majalla"/>
      </rPr>
      <t xml:space="preserve">◘ القيود المالية: </t>
    </r>
    <r>
      <rPr>
        <sz val="12"/>
        <color theme="0"/>
        <rFont val="Sakkal Majalla"/>
      </rPr>
      <t>يتم الاعتماد على التكلفة الانشائية المذكورة في دراسة الجدوى وقيمة الوحدات المباعة، والعمليات التي تمت في حساب الإداري والتسويقي</t>
    </r>
  </si>
  <si>
    <r>
      <rPr>
        <b/>
        <sz val="12"/>
        <color theme="0"/>
        <rFont val="Sakkal Majalla"/>
      </rPr>
      <t xml:space="preserve">◘ العمليات المالية المتوقعة للربع القادم من العام الحالي (يتم ادخال العمليات المالية المتوقعة للربع القادم): </t>
    </r>
    <r>
      <rPr>
        <sz val="12"/>
        <color theme="0"/>
        <rFont val="Sakkal Majalla"/>
      </rPr>
      <t>يتم طلب إفادة رسمية من المطور العقاري بشأن العمليات المالية المتوقعة للربع القادم</t>
    </r>
  </si>
  <si>
    <t xml:space="preserve">(4) إرشادات قسم وحدات المشروع </t>
  </si>
  <si>
    <t xml:space="preserve">• يهدف هذا القسم في بيان وتسجيل جميع وحدات المشروع </t>
  </si>
  <si>
    <t xml:space="preserve">• يتكون القسم من سبعة جداول رئيسية، وتفاصيلها كالتالي: </t>
  </si>
  <si>
    <r>
      <t xml:space="preserve">◘ إجمالي وحدات المشروع: </t>
    </r>
    <r>
      <rPr>
        <sz val="12"/>
        <color theme="0"/>
        <rFont val="Sakkal Majalla"/>
      </rPr>
      <t>تعكس تلقائيا من قسم البيانات الأساسية</t>
    </r>
    <r>
      <rPr>
        <b/>
        <sz val="12"/>
        <color theme="0"/>
        <rFont val="Sakkal Majalla"/>
      </rPr>
      <t xml:space="preserve">، </t>
    </r>
    <r>
      <rPr>
        <sz val="12"/>
        <color theme="0"/>
        <rFont val="Sakkal Majalla"/>
      </rPr>
      <t>عدا قيمة المحصل من الوحدات المباعة يعكس تلقائيا بعد استكمال تعبئة بقية الجداول</t>
    </r>
  </si>
  <si>
    <r>
      <t xml:space="preserve">◘ إجمالي الوحدات المباعة خلال الفترة: </t>
    </r>
    <r>
      <rPr>
        <sz val="12"/>
        <color theme="0"/>
        <rFont val="Sakkal Majalla"/>
      </rPr>
      <t>يتم ذكر الوحدات المباعة خلال فترة التقرير وقيمتها والمبالغ المحصلة لكل نوع</t>
    </r>
  </si>
  <si>
    <r>
      <t xml:space="preserve">◘ إجمالي الوحدات المباعة منذ بداية المشروع: </t>
    </r>
    <r>
      <rPr>
        <sz val="12"/>
        <color theme="0"/>
        <rFont val="Sakkal Majalla"/>
      </rPr>
      <t>يتم ذكر الوحدات المباعة منذ بداية المشروع (تراكمي) وقيمتها والمبالغ المحصلة لكل نوع</t>
    </r>
  </si>
  <si>
    <r>
      <t xml:space="preserve">◘ إجمالي الوحدات المتبقية للمشروع: </t>
    </r>
    <r>
      <rPr>
        <sz val="12"/>
        <color theme="0"/>
        <rFont val="Sakkal Majalla"/>
      </rPr>
      <t>يتم ذكر الوحدات غير المباعة منذ بداية المشروع (تراكمي) وقيمتها والمبالغ المحصلة لكل نوع</t>
    </r>
  </si>
  <si>
    <r>
      <t xml:space="preserve">◘ الوحدات التي تم إلغاء بيعها: </t>
    </r>
    <r>
      <rPr>
        <sz val="12"/>
        <color theme="0"/>
        <rFont val="Sakkal Majalla"/>
      </rPr>
      <t>يتم ذكر الوحدات التي تم إلغاء بيعها منذ بداية المشروع (تراكمي) وقيمتها والمبالغ المحصلة لكل نوع</t>
    </r>
  </si>
  <si>
    <r>
      <t xml:space="preserve">◘ الوحدات  المتوقع بيعها خلال الربع القادم (يتم ادخال المبيعات المتوقعة للربع القادم): </t>
    </r>
    <r>
      <rPr>
        <sz val="12"/>
        <color theme="0"/>
        <rFont val="Sakkal Majalla"/>
      </rPr>
      <t>يتم ذكر الوحدات المتوقع بيعها للربع القادم وقيمتها والمبالغ المحصلة المتوقعة لكل نوع</t>
    </r>
  </si>
  <si>
    <r>
      <t xml:space="preserve">◘ عدد الوحدات المسلمة: </t>
    </r>
    <r>
      <rPr>
        <sz val="12"/>
        <color theme="0"/>
        <rFont val="Sakkal Majalla"/>
      </rPr>
      <t>عدد الوحدات المنجزة والمسلمة، والتي تم قبل إنجازها من قبل الهيئة العامة للعقار</t>
    </r>
  </si>
  <si>
    <t>(5) إرشادات قسم تحليل البيانات المالية</t>
  </si>
  <si>
    <t>• يهدف هذا القسم في بيان مبلغ الفائض وتحليل التكاليف التقديرية والفعلية</t>
  </si>
  <si>
    <t xml:space="preserve">• يتكون القسم من ثلاثة جداول رئيسية، وتفاصيلها كالتالي: </t>
  </si>
  <si>
    <t>(6) إرشادات قسم النتائج والملاحظات</t>
  </si>
  <si>
    <t>• يهدف هذا القسم في تدوين النتائج والمرئيات التي رصدت من وجهة نظر معد التقرير</t>
  </si>
  <si>
    <t xml:space="preserve">• يتكون القسم من ستة جداول رئيسية، وتفاصيلها كالتالي: </t>
  </si>
  <si>
    <t>(7) إرشادات قائمة المركز المالي</t>
  </si>
  <si>
    <t>• يهدف هذا القسم في إرفاق قائمة المركز المالي للمشروع</t>
  </si>
  <si>
    <r>
      <t>◘</t>
    </r>
    <r>
      <rPr>
        <b/>
        <sz val="12"/>
        <color theme="0"/>
        <rFont val="Sakkal Majalla"/>
      </rPr>
      <t>حالة الوثيقة</t>
    </r>
    <r>
      <rPr>
        <sz val="12"/>
        <color theme="0"/>
        <rFont val="Sakkal Majalla"/>
      </rPr>
      <t>: قائمة منسدلة تشير إلى حالة الوثيقة (مقدم / مستحق)</t>
    </r>
  </si>
  <si>
    <t>◘ مبلغ الفائض (الأرباح تقديري): الأرباح المتوقعة بناء على حالة حساب الضمان والتكلفة المتبقية للمشروع</t>
  </si>
  <si>
    <t>◘ بيانات المشروع: البيانات الخاصة بالمشروع العقاري المرخص</t>
  </si>
  <si>
    <t xml:space="preserve">◘ تحليل المعطيات التقديرية والفعلية: تحليل نسبة انحراف المقدر في دراسة الجدوى عن الفعلي </t>
  </si>
  <si>
    <r>
      <t>#</t>
    </r>
    <r>
      <rPr>
        <b/>
        <sz val="12"/>
        <color theme="0"/>
        <rFont val="Sakkal Majalla"/>
      </rPr>
      <t xml:space="preserve"> جميع الحقول إلزامية</t>
    </r>
    <r>
      <rPr>
        <sz val="12"/>
        <color theme="0"/>
        <rFont val="Sakkal Majalla"/>
      </rPr>
      <t xml:space="preserve"> ويجب تعبئتها، ويتم استخدام "لا ينطبق أو 0" في حال كانت الخانة لا تنطبق على الطلب</t>
    </r>
  </si>
  <si>
    <r>
      <t xml:space="preserve"># تسمية الملف تتضمن اسم المشروع مع فترة التقرير. (مثال: </t>
    </r>
    <r>
      <rPr>
        <b/>
        <sz val="12"/>
        <color theme="0"/>
        <rFont val="Sakkal Majalla"/>
      </rPr>
      <t>مشروع الهيئة العامة للعقار- الربع الثالث 2026</t>
    </r>
    <r>
      <rPr>
        <sz val="12"/>
        <color theme="0"/>
        <rFont val="Sakkal Majalla"/>
      </rPr>
      <t>)</t>
    </r>
  </si>
  <si>
    <t>◘ المبيعات</t>
  </si>
  <si>
    <t>◘ المصروفات</t>
  </si>
  <si>
    <t>◘ التحصيل/التمويل</t>
  </si>
  <si>
    <t>◘ المخاطر الحالية المتوقعة على المشروع</t>
  </si>
  <si>
    <t>◘ المخاطر المستقبلية المتوقعة على المشروع</t>
  </si>
  <si>
    <t>◘ ملاحظات أخرى</t>
  </si>
  <si>
    <t>إرشادات وتعليمات هامة في تعبئة النموذج الموحد لتقرير المحاسب القانوني للمشاريع العقارية على الخارطة</t>
  </si>
  <si>
    <t># تم بناء النموذج والأخذ بمرئيات مجموعة من المكاتب المحاسبية، والتطوير والتحسين مستمر، وفي حال وجود أي مقترحات يمكنكم إرسالها إلى البريد الإلكتورني (red.escrow@rega.gov.sa) على أن يكون عنوان البريد (مقترحات بشأن النموذج الموحد لتقرير المحاسب القانوني للمشاريع العقارية على الخارطة)</t>
  </si>
  <si>
    <t>أ/5</t>
  </si>
  <si>
    <t>أ/3</t>
  </si>
  <si>
    <t>أ/1</t>
  </si>
  <si>
    <t>أ/2</t>
  </si>
  <si>
    <t>أ/36</t>
  </si>
  <si>
    <t>أ/37</t>
  </si>
  <si>
    <t>أ/4</t>
  </si>
  <si>
    <t>أ/6</t>
  </si>
  <si>
    <t>أ/7</t>
  </si>
  <si>
    <t>أ/8</t>
  </si>
  <si>
    <t>أ/9</t>
  </si>
  <si>
    <t>أ/10</t>
  </si>
  <si>
    <t>أ/11</t>
  </si>
  <si>
    <t>أ/12</t>
  </si>
  <si>
    <t>أ/13</t>
  </si>
  <si>
    <t>أ/14</t>
  </si>
  <si>
    <t>أ/15</t>
  </si>
  <si>
    <t>أ/16</t>
  </si>
  <si>
    <t>أ/17</t>
  </si>
  <si>
    <t>أ/18</t>
  </si>
  <si>
    <t>أ/19</t>
  </si>
  <si>
    <t>أ/21</t>
  </si>
  <si>
    <t>أ/20</t>
  </si>
  <si>
    <t>أ/22</t>
  </si>
  <si>
    <t>أ/23</t>
  </si>
  <si>
    <t>أ/24</t>
  </si>
  <si>
    <t>أ/25</t>
  </si>
  <si>
    <t>أ/26</t>
  </si>
  <si>
    <t>أ/27</t>
  </si>
  <si>
    <t>أ/28</t>
  </si>
  <si>
    <t>أ/29</t>
  </si>
  <si>
    <t>أ/31</t>
  </si>
  <si>
    <t>أ/30</t>
  </si>
  <si>
    <t>أ/33</t>
  </si>
  <si>
    <t>أ/32</t>
  </si>
  <si>
    <t>أ/34</t>
  </si>
  <si>
    <t>أ/35</t>
  </si>
  <si>
    <t>أ/38</t>
  </si>
  <si>
    <t>أ/39</t>
  </si>
  <si>
    <t>أ/40</t>
  </si>
  <si>
    <t>أ/41</t>
  </si>
  <si>
    <t>أ/42</t>
  </si>
  <si>
    <t>أ/43</t>
  </si>
  <si>
    <t>أ/44</t>
  </si>
  <si>
    <t>أ/45</t>
  </si>
  <si>
    <t>أ/46</t>
  </si>
  <si>
    <t>أ/47</t>
  </si>
  <si>
    <t>أ/48</t>
  </si>
  <si>
    <t>أ/49</t>
  </si>
  <si>
    <t>أ/50</t>
  </si>
  <si>
    <t>أ/51</t>
  </si>
  <si>
    <t>أ/52</t>
  </si>
  <si>
    <t>أ/53</t>
  </si>
  <si>
    <t>أ/54</t>
  </si>
  <si>
    <t>أ/55</t>
  </si>
  <si>
    <t>أ/56</t>
  </si>
  <si>
    <t>أ/57</t>
  </si>
  <si>
    <t>أ/58</t>
  </si>
  <si>
    <t>أ/59</t>
  </si>
  <si>
    <t>أ/60</t>
  </si>
  <si>
    <t>أ/75</t>
  </si>
  <si>
    <t>أ/61</t>
  </si>
  <si>
    <t>أ/62</t>
  </si>
  <si>
    <t>أ/63</t>
  </si>
  <si>
    <t>أ/64</t>
  </si>
  <si>
    <t>أ/114</t>
  </si>
  <si>
    <t>أ/65</t>
  </si>
  <si>
    <t>أ/99</t>
  </si>
  <si>
    <t>أ/66</t>
  </si>
  <si>
    <t>أ/68</t>
  </si>
  <si>
    <t>أ/69</t>
  </si>
  <si>
    <t>أ/70</t>
  </si>
  <si>
    <t>أ/71</t>
  </si>
  <si>
    <t>أ/113</t>
  </si>
  <si>
    <t>أ/72</t>
  </si>
  <si>
    <t>أ/73</t>
  </si>
  <si>
    <t>أ/74</t>
  </si>
  <si>
    <t>أ/76</t>
  </si>
  <si>
    <t>أ/80</t>
  </si>
  <si>
    <t>أ/77</t>
  </si>
  <si>
    <t>أ/78</t>
  </si>
  <si>
    <t>أ/79</t>
  </si>
  <si>
    <t>أ/82</t>
  </si>
  <si>
    <t>أ/81</t>
  </si>
  <si>
    <t>أ/83</t>
  </si>
  <si>
    <t>أ/84</t>
  </si>
  <si>
    <t>أ/86</t>
  </si>
  <si>
    <t>أ/85</t>
  </si>
  <si>
    <t>أ/87</t>
  </si>
  <si>
    <t>أ/88</t>
  </si>
  <si>
    <t>أ/67</t>
  </si>
  <si>
    <t>أ/89</t>
  </si>
  <si>
    <t>أ/90</t>
  </si>
  <si>
    <t>أ/91</t>
  </si>
  <si>
    <t>أ/92</t>
  </si>
  <si>
    <t>أ/124</t>
  </si>
  <si>
    <t>أ/93</t>
  </si>
  <si>
    <t>أ/94</t>
  </si>
  <si>
    <t>أ/95</t>
  </si>
  <si>
    <t>أ/96</t>
  </si>
  <si>
    <t>أ/97</t>
  </si>
  <si>
    <t>أ/98</t>
  </si>
  <si>
    <t>أ/100</t>
  </si>
  <si>
    <t>أ/101</t>
  </si>
  <si>
    <t>أ/102</t>
  </si>
  <si>
    <t>أ/103</t>
  </si>
  <si>
    <t>أ/104</t>
  </si>
  <si>
    <t>أ/105</t>
  </si>
  <si>
    <t>أ/106</t>
  </si>
  <si>
    <t>أ/107</t>
  </si>
  <si>
    <t>أ/108</t>
  </si>
  <si>
    <t>أ/109</t>
  </si>
  <si>
    <t>أ/111</t>
  </si>
  <si>
    <t>أ/110</t>
  </si>
  <si>
    <t>أ/112</t>
  </si>
  <si>
    <t>أ/115</t>
  </si>
  <si>
    <t>أ/117</t>
  </si>
  <si>
    <t>أ/116</t>
  </si>
  <si>
    <t>أ/118</t>
  </si>
  <si>
    <t>أ/119</t>
  </si>
  <si>
    <t>أ/120</t>
  </si>
  <si>
    <t>أ/121</t>
  </si>
  <si>
    <t>أ/122</t>
  </si>
  <si>
    <t>أ/123</t>
  </si>
  <si>
    <t>أ/125</t>
  </si>
  <si>
    <t>أ/126</t>
  </si>
  <si>
    <t>أ/127</t>
  </si>
  <si>
    <t>أ/128</t>
  </si>
  <si>
    <t>أ/129</t>
  </si>
  <si>
    <t>أ/130</t>
  </si>
  <si>
    <t>أ/131</t>
  </si>
  <si>
    <t>أ/132</t>
  </si>
  <si>
    <t>أ/133</t>
  </si>
  <si>
    <t>أ/134</t>
  </si>
  <si>
    <t>أ/135</t>
  </si>
  <si>
    <t>أ/136</t>
  </si>
  <si>
    <t>أ/137</t>
  </si>
  <si>
    <t>أ/138</t>
  </si>
  <si>
    <t>أ/139</t>
  </si>
  <si>
    <t>أ/140</t>
  </si>
  <si>
    <t>أ/141</t>
  </si>
  <si>
    <t>أ/142</t>
  </si>
  <si>
    <t>أ/143</t>
  </si>
  <si>
    <t>أ/145</t>
  </si>
  <si>
    <t>أ/144</t>
  </si>
  <si>
    <t>أ/146</t>
  </si>
  <si>
    <t>أ/147</t>
  </si>
  <si>
    <t>أ/148</t>
  </si>
  <si>
    <t>أ/149</t>
  </si>
  <si>
    <t>أ/150</t>
  </si>
  <si>
    <t>أ/151</t>
  </si>
  <si>
    <t>أ/152</t>
  </si>
  <si>
    <t>أ/153</t>
  </si>
  <si>
    <t>أ/154</t>
  </si>
  <si>
    <t>أ/155</t>
  </si>
  <si>
    <t>أ/156</t>
  </si>
  <si>
    <t>أ/157</t>
  </si>
  <si>
    <t>أ/158</t>
  </si>
  <si>
    <t>أ/159</t>
  </si>
  <si>
    <t>أ/160</t>
  </si>
  <si>
    <t>أ/161</t>
  </si>
  <si>
    <t>أ/162</t>
  </si>
  <si>
    <t>أ/163</t>
  </si>
  <si>
    <t>أ/164</t>
  </si>
  <si>
    <t>أ/165</t>
  </si>
  <si>
    <t>أ/166</t>
  </si>
  <si>
    <t>أ/167</t>
  </si>
  <si>
    <t>أ/168</t>
  </si>
  <si>
    <t>أ/169</t>
  </si>
  <si>
    <t>أ/170</t>
  </si>
  <si>
    <t>أ/171</t>
  </si>
  <si>
    <t>أ/172</t>
  </si>
  <si>
    <t>أ/173</t>
  </si>
  <si>
    <t>أ/174</t>
  </si>
  <si>
    <t>أ/175</t>
  </si>
  <si>
    <t>أ/176</t>
  </si>
  <si>
    <t>أ/177</t>
  </si>
  <si>
    <t>أ/178</t>
  </si>
  <si>
    <t>أ/179</t>
  </si>
  <si>
    <t>أ/180</t>
  </si>
  <si>
    <t>أ/181</t>
  </si>
  <si>
    <t>أ/182</t>
  </si>
  <si>
    <t>أ/183</t>
  </si>
  <si>
    <t>أ/184</t>
  </si>
  <si>
    <t>أ/185</t>
  </si>
  <si>
    <t>أ/186</t>
  </si>
  <si>
    <t>أ/187</t>
  </si>
  <si>
    <t>أ/188</t>
  </si>
  <si>
    <t>أ/189</t>
  </si>
  <si>
    <t>أ/190</t>
  </si>
  <si>
    <t>أ/191</t>
  </si>
  <si>
    <t>أ/192</t>
  </si>
  <si>
    <t>أ/193</t>
  </si>
  <si>
    <t>أ/194</t>
  </si>
  <si>
    <t>أ/195</t>
  </si>
  <si>
    <t>أ/196</t>
  </si>
  <si>
    <t>أ/197</t>
  </si>
  <si>
    <t>أ/198</t>
  </si>
  <si>
    <t>أ/199</t>
  </si>
  <si>
    <t>أ/200</t>
  </si>
  <si>
    <t>أ/201</t>
  </si>
  <si>
    <t>أ/202</t>
  </si>
  <si>
    <t>أ/203</t>
  </si>
  <si>
    <t>أ/204</t>
  </si>
  <si>
    <t>أ/209</t>
  </si>
  <si>
    <t>أ/205</t>
  </si>
  <si>
    <t>أ/206</t>
  </si>
  <si>
    <t>أ/207</t>
  </si>
  <si>
    <t>أ/208</t>
  </si>
  <si>
    <t>أ/210</t>
  </si>
  <si>
    <t>أ/211</t>
  </si>
  <si>
    <t>أ/212</t>
  </si>
  <si>
    <t>أ/213</t>
  </si>
  <si>
    <t>أ/214</t>
  </si>
  <si>
    <t>أ/215</t>
  </si>
  <si>
    <t>أ/216</t>
  </si>
  <si>
    <t>أ/217</t>
  </si>
  <si>
    <t>أ/218</t>
  </si>
  <si>
    <t>أ/219</t>
  </si>
  <si>
    <t>أ/220</t>
  </si>
  <si>
    <t>أ/221</t>
  </si>
  <si>
    <t>أ/222</t>
  </si>
  <si>
    <t>أ/223</t>
  </si>
  <si>
    <t>أ/224</t>
  </si>
  <si>
    <t>أ/225</t>
  </si>
  <si>
    <t>أ/226</t>
  </si>
  <si>
    <t>أ/227</t>
  </si>
  <si>
    <t>أ/229</t>
  </si>
  <si>
    <t>أ/230</t>
  </si>
  <si>
    <t>أ/231</t>
  </si>
  <si>
    <t>أ/228</t>
  </si>
  <si>
    <t>أ/232</t>
  </si>
  <si>
    <t>أ/233</t>
  </si>
  <si>
    <t>أ/235</t>
  </si>
  <si>
    <t>أ/234</t>
  </si>
  <si>
    <t>أ/236</t>
  </si>
  <si>
    <t>أ/237</t>
  </si>
  <si>
    <t>أ/238</t>
  </si>
  <si>
    <t>أ/239</t>
  </si>
  <si>
    <t>أ/240</t>
  </si>
  <si>
    <t>أ/241</t>
  </si>
  <si>
    <t>أ/242</t>
  </si>
  <si>
    <t>أ/243</t>
  </si>
  <si>
    <t>أ/244</t>
  </si>
  <si>
    <t>أ/245</t>
  </si>
  <si>
    <t>أ/246</t>
  </si>
  <si>
    <t>أ/247</t>
  </si>
  <si>
    <t>أ/248</t>
  </si>
  <si>
    <t>أ/250</t>
  </si>
  <si>
    <t>أ/251</t>
  </si>
  <si>
    <t>أ/252</t>
  </si>
  <si>
    <t>أ/253</t>
  </si>
  <si>
    <t>أ/249</t>
  </si>
  <si>
    <t>أ/254</t>
  </si>
  <si>
    <t>أ/256</t>
  </si>
  <si>
    <t>أ/257</t>
  </si>
  <si>
    <t>أ/258</t>
  </si>
  <si>
    <t>أ/259</t>
  </si>
  <si>
    <t>أ/260</t>
  </si>
  <si>
    <t>أ/261</t>
  </si>
  <si>
    <t>أ/263</t>
  </si>
  <si>
    <t>أ/265</t>
  </si>
  <si>
    <t>أ/266</t>
  </si>
  <si>
    <t>أ/269</t>
  </si>
  <si>
    <t>أ/255</t>
  </si>
  <si>
    <t>أ/262</t>
  </si>
  <si>
    <t>أ/264</t>
  </si>
  <si>
    <t>أ/267</t>
  </si>
  <si>
    <t>أ/268</t>
  </si>
  <si>
    <t>أ/270</t>
  </si>
  <si>
    <t>أ/271</t>
  </si>
  <si>
    <t>أ/272</t>
  </si>
  <si>
    <t>أ/273</t>
  </si>
  <si>
    <t>أ/274</t>
  </si>
  <si>
    <t>أ/275</t>
  </si>
  <si>
    <t>أ/276</t>
  </si>
  <si>
    <t>أ/277</t>
  </si>
  <si>
    <t>أ/278</t>
  </si>
  <si>
    <t>أ/279</t>
  </si>
  <si>
    <t>أ/280</t>
  </si>
  <si>
    <t>أ/281</t>
  </si>
  <si>
    <t>أ/282</t>
  </si>
  <si>
    <t>أ/283</t>
  </si>
  <si>
    <t>أ/284</t>
  </si>
  <si>
    <t>أ/285</t>
  </si>
  <si>
    <t>أ/286</t>
  </si>
  <si>
    <t>أ/287</t>
  </si>
  <si>
    <t>أ/288</t>
  </si>
  <si>
    <t>أ/289</t>
  </si>
  <si>
    <t>أ/290</t>
  </si>
  <si>
    <t>أ/291</t>
  </si>
  <si>
    <t>أ/292</t>
  </si>
  <si>
    <t>أ/293</t>
  </si>
  <si>
    <t>أ/294</t>
  </si>
  <si>
    <t>أ/295</t>
  </si>
  <si>
    <t>أ/296</t>
  </si>
  <si>
    <t>أ/297</t>
  </si>
  <si>
    <t>أ/298</t>
  </si>
  <si>
    <t>أ/299</t>
  </si>
  <si>
    <t>أ/300</t>
  </si>
  <si>
    <t>أ/301</t>
  </si>
  <si>
    <t>أ/303</t>
  </si>
  <si>
    <t>أ/302</t>
  </si>
  <si>
    <t>أ/304</t>
  </si>
  <si>
    <t>أ/305</t>
  </si>
  <si>
    <t>أ/306</t>
  </si>
  <si>
    <t>أ/307</t>
  </si>
  <si>
    <t>أ/308</t>
  </si>
  <si>
    <t>أ/309</t>
  </si>
  <si>
    <t>أ/310</t>
  </si>
  <si>
    <t>أ/311</t>
  </si>
  <si>
    <t>أ/312</t>
  </si>
  <si>
    <t>أ/313</t>
  </si>
  <si>
    <t>أ/314</t>
  </si>
  <si>
    <t>أ/315</t>
  </si>
  <si>
    <t>316/أ</t>
  </si>
  <si>
    <t>317/أ</t>
  </si>
  <si>
    <t>318/أ</t>
  </si>
  <si>
    <t>أ/319</t>
  </si>
  <si>
    <t>أ/320</t>
  </si>
  <si>
    <t>أ/321</t>
  </si>
  <si>
    <t>أ/322</t>
  </si>
  <si>
    <t>أ/323</t>
  </si>
  <si>
    <t>أ/324</t>
  </si>
  <si>
    <t>أ/325</t>
  </si>
  <si>
    <t>أ/326</t>
  </si>
  <si>
    <t>أ/327</t>
  </si>
  <si>
    <t>أ/328</t>
  </si>
  <si>
    <t>أ/329</t>
  </si>
  <si>
    <t>أ/330</t>
  </si>
  <si>
    <t>أ/331</t>
  </si>
  <si>
    <t>أ/332</t>
  </si>
  <si>
    <t>أ/333</t>
  </si>
  <si>
    <t>أ/334</t>
  </si>
  <si>
    <t>أ/335</t>
  </si>
  <si>
    <t>أ/336</t>
  </si>
  <si>
    <t>أ/337</t>
  </si>
  <si>
    <t>605/أ</t>
  </si>
  <si>
    <t>أ/339</t>
  </si>
  <si>
    <t>577/أ</t>
  </si>
  <si>
    <t>628/أ</t>
  </si>
  <si>
    <t>626/أ</t>
  </si>
  <si>
    <t>649/أ</t>
  </si>
  <si>
    <t>662/أ</t>
  </si>
  <si>
    <t>651/أ</t>
  </si>
  <si>
    <t>655/أ</t>
  </si>
  <si>
    <t>665/أ</t>
  </si>
  <si>
    <t>654/أ</t>
  </si>
  <si>
    <t>664/أ</t>
  </si>
  <si>
    <t>663/أ</t>
  </si>
  <si>
    <t>672/أ</t>
  </si>
  <si>
    <t>666/أ</t>
  </si>
  <si>
    <t>629/أ</t>
  </si>
  <si>
    <t>644/أ</t>
  </si>
  <si>
    <t>684/أ</t>
  </si>
  <si>
    <t>688/أ</t>
  </si>
  <si>
    <t>687/أ</t>
  </si>
  <si>
    <t>703/أ</t>
  </si>
  <si>
    <t>715/أ</t>
  </si>
  <si>
    <t>709/أ</t>
  </si>
  <si>
    <t>710/أ</t>
  </si>
  <si>
    <t>717/أ</t>
  </si>
  <si>
    <t>713/أ</t>
  </si>
  <si>
    <t>712/أ</t>
  </si>
  <si>
    <t>727/أ</t>
  </si>
  <si>
    <t>728/أ</t>
  </si>
  <si>
    <t>741/أ</t>
  </si>
  <si>
    <t>754/أ</t>
  </si>
  <si>
    <t>764/أ</t>
  </si>
  <si>
    <t>762/أ</t>
  </si>
  <si>
    <t>765/أ</t>
  </si>
  <si>
    <t>763/أ</t>
  </si>
  <si>
    <t>726/أ</t>
  </si>
  <si>
    <t>789/أ</t>
  </si>
  <si>
    <t>751/أ</t>
  </si>
  <si>
    <t>793/أ</t>
  </si>
  <si>
    <t>798/أ</t>
  </si>
  <si>
    <t>814/أ</t>
  </si>
  <si>
    <t>823/أ</t>
  </si>
  <si>
    <t>829/أ</t>
  </si>
  <si>
    <t>أ/162-1</t>
  </si>
  <si>
    <t>833/أ</t>
  </si>
  <si>
    <t>834/أ</t>
  </si>
  <si>
    <t>أ/41-1</t>
  </si>
  <si>
    <t>846/أ</t>
  </si>
  <si>
    <t>أ/22-1</t>
  </si>
  <si>
    <t>920/أ</t>
  </si>
  <si>
    <t>924/أ</t>
  </si>
  <si>
    <t>959/أ</t>
  </si>
  <si>
    <t>1004/أ</t>
  </si>
  <si>
    <t>1046/أ</t>
  </si>
  <si>
    <t>1107/أ</t>
  </si>
  <si>
    <t>1106/أ</t>
  </si>
  <si>
    <t>1221/أ</t>
  </si>
  <si>
    <t>ارقام الرخص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</si>
</sst>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00\ [$ر.س.‏-401]_-;\-* #,##0.00\ [$ر.س.‏-401]_-;_-* &quot;-&quot;??\ [$ر.س.‏-401]_-;_-@_-"/>
  </numFmts>
  <fonts count="28" x14ac:knownFonts="1">
    <font>
      <sz val="11"/>
      <color theme="1"/>
      <name val="Aptos Narrow"/>
      <family val="2"/>
      <scheme val="minor"/>
    </font>
    <font>
      <sz val="11"/>
      <color theme="1"/>
      <name val="Aptos Narrow"/>
      <family val="2"/>
      <scheme val="minor"/>
    </font>
    <font>
      <sz val="14"/>
      <color theme="1"/>
      <name val="Symbol"/>
      <family val="1"/>
      <charset val="2"/>
    </font>
    <font>
      <sz val="10"/>
      <color rgb="FF000000"/>
      <name val="Sakkal Majalla"/>
    </font>
    <font>
      <sz val="12"/>
      <color theme="1"/>
      <name val="Aptos Narrow"/>
      <family val="2"/>
      <scheme val="minor"/>
    </font>
    <font>
      <sz val="14"/>
      <color theme="1"/>
      <name val="Sakkal Majalla"/>
    </font>
    <font>
      <b/>
      <sz val="14"/>
      <color theme="0"/>
      <name val="Sakkal Majalla"/>
    </font>
    <font>
      <sz val="14"/>
      <color theme="1"/>
      <name val="Aptos Narrow"/>
      <family val="2"/>
      <scheme val="minor"/>
    </font>
    <font>
      <b/>
      <sz val="12"/>
      <color rgb="FF000000"/>
      <name val="Sakkal Majalla"/>
    </font>
    <font>
      <sz val="14"/>
      <color theme="0"/>
      <name val="Sakkal Majalla"/>
    </font>
    <font>
      <b/>
      <sz val="14"/>
      <color theme="1"/>
      <name val="Sakkal Majalla"/>
    </font>
    <font>
      <sz val="16"/>
      <color theme="1"/>
      <name val="Aptos Narrow"/>
      <family val="2"/>
      <scheme val="minor"/>
    </font>
    <font>
      <sz val="14"/>
      <color rgb="FF000000"/>
      <name val="Sakkal Majalla"/>
    </font>
    <font>
      <b/>
      <sz val="14"/>
      <color theme="1"/>
      <name val="Times New Roman"/>
      <family val="1"/>
    </font>
    <font>
      <sz val="14"/>
      <color theme="1"/>
      <name val="Times New Roman"/>
      <family val="1"/>
    </font>
    <font>
      <sz val="12"/>
      <color theme="1"/>
      <name val="Sakkal Majalla"/>
    </font>
    <font>
      <sz val="12"/>
      <color rgb="FF000000"/>
      <name val="Sakkal Majalla"/>
    </font>
    <font>
      <sz val="16"/>
      <color theme="1"/>
      <name val="Sakkal Majalla"/>
    </font>
    <font>
      <b/>
      <u/>
      <sz val="16"/>
      <color theme="1"/>
      <name val="Sakkal Majalla"/>
    </font>
    <font>
      <sz val="8"/>
      <name val="Aptos Narrow"/>
      <family val="2"/>
      <scheme val="minor"/>
    </font>
    <font>
      <sz val="14"/>
      <color rgb="FFFF0000"/>
      <name val="Sakkal Majalla"/>
    </font>
    <font>
      <sz val="14"/>
      <name val="Sakkal Majalla"/>
    </font>
    <font>
      <sz val="12"/>
      <color theme="0"/>
      <name val="Sakkal Majalla"/>
    </font>
    <font>
      <b/>
      <sz val="28"/>
      <color theme="0"/>
      <name val="Sakkal Majalla"/>
    </font>
    <font>
      <b/>
      <sz val="16"/>
      <color theme="0"/>
      <name val="Sakkal Majalla"/>
    </font>
    <font>
      <b/>
      <sz val="12"/>
      <color theme="0"/>
      <name val="Sakkal Majalla"/>
    </font>
    <font>
      <b/>
      <sz val="80"/>
      <color theme="0"/>
      <name val="Sakkal Majalla"/>
    </font>
    <font>
      <b/>
      <sz val="12"/>
      <name val="Sakkal Majalla"/>
    </font>
  </fonts>
  <fills count="11">
    <fill>
      <patternFill patternType="none"/>
    </fill>
    <fill>
      <patternFill patternType="gray125"/>
    </fill>
    <fill>
      <patternFill patternType="solid">
        <fgColor rgb="FF005257"/>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rgb="FF00848D"/>
        <bgColor indexed="64"/>
      </patternFill>
    </fill>
    <fill>
      <patternFill patternType="solid">
        <fgColor rgb="FFD9D9D9"/>
        <bgColor rgb="FF000000"/>
      </patternFill>
    </fill>
  </fills>
  <borders count="63">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style="thick">
        <color theme="0" tint="-0.14996795556505021"/>
      </left>
      <right/>
      <top style="thick">
        <color theme="0" tint="-0.14996795556505021"/>
      </top>
      <bottom style="thick">
        <color theme="0" tint="-0.14996795556505021"/>
      </bottom>
      <diagonal/>
    </border>
    <border>
      <left/>
      <right/>
      <top style="thick">
        <color theme="0" tint="-0.14996795556505021"/>
      </top>
      <bottom style="thick">
        <color theme="0" tint="-0.14996795556505021"/>
      </bottom>
      <diagonal/>
    </border>
    <border>
      <left/>
      <right style="thick">
        <color theme="0" tint="-0.14996795556505021"/>
      </right>
      <top style="thick">
        <color theme="0" tint="-0.14996795556505021"/>
      </top>
      <bottom style="thick">
        <color theme="0" tint="-0.14996795556505021"/>
      </bottom>
      <diagonal/>
    </border>
    <border>
      <left style="thick">
        <color theme="0" tint="-0.14996795556505021"/>
      </left>
      <right/>
      <top style="thick">
        <color theme="0" tint="-0.14996795556505021"/>
      </top>
      <bottom/>
      <diagonal/>
    </border>
    <border>
      <left/>
      <right/>
      <top style="thick">
        <color theme="0" tint="-0.14996795556505021"/>
      </top>
      <bottom/>
      <diagonal/>
    </border>
    <border>
      <left/>
      <right style="thick">
        <color theme="0" tint="-0.14996795556505021"/>
      </right>
      <top style="thick">
        <color theme="0" tint="-0.14996795556505021"/>
      </top>
      <bottom/>
      <diagonal/>
    </border>
    <border>
      <left style="thick">
        <color theme="0" tint="-0.14996795556505021"/>
      </left>
      <right/>
      <top/>
      <bottom style="thick">
        <color theme="0" tint="-0.14996795556505021"/>
      </bottom>
      <diagonal/>
    </border>
    <border>
      <left/>
      <right/>
      <top/>
      <bottom style="thick">
        <color theme="0" tint="-0.14996795556505021"/>
      </bottom>
      <diagonal/>
    </border>
    <border>
      <left/>
      <right style="thick">
        <color theme="0" tint="-0.14996795556505021"/>
      </right>
      <top/>
      <bottom style="thick">
        <color theme="0" tint="-0.14996795556505021"/>
      </bottom>
      <diagonal/>
    </border>
    <border>
      <left style="thick">
        <color theme="0" tint="-0.14993743705557422"/>
      </left>
      <right/>
      <top style="thick">
        <color theme="0" tint="-0.14993743705557422"/>
      </top>
      <bottom style="thick">
        <color theme="0" tint="-0.14993743705557422"/>
      </bottom>
      <diagonal/>
    </border>
    <border>
      <left/>
      <right/>
      <top style="thick">
        <color theme="0" tint="-0.14993743705557422"/>
      </top>
      <bottom style="thick">
        <color theme="0" tint="-0.14993743705557422"/>
      </bottom>
      <diagonal/>
    </border>
    <border>
      <left/>
      <right style="thick">
        <color theme="0" tint="-0.14993743705557422"/>
      </right>
      <top style="thick">
        <color theme="0" tint="-0.14993743705557422"/>
      </top>
      <bottom style="thick">
        <color theme="0" tint="-0.14993743705557422"/>
      </bottom>
      <diagonal/>
    </border>
    <border>
      <left style="thick">
        <color theme="0" tint="-0.14993743705557422"/>
      </left>
      <right/>
      <top style="thick">
        <color theme="0" tint="-0.14993743705557422"/>
      </top>
      <bottom/>
      <diagonal/>
    </border>
    <border>
      <left/>
      <right/>
      <top style="thick">
        <color theme="0" tint="-0.14993743705557422"/>
      </top>
      <bottom/>
      <diagonal/>
    </border>
    <border>
      <left/>
      <right style="thick">
        <color theme="0" tint="-0.14993743705557422"/>
      </right>
      <top style="thick">
        <color theme="0" tint="-0.14993743705557422"/>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ck">
        <color theme="0" tint="-0.24994659260841701"/>
      </right>
      <top/>
      <bottom style="thick">
        <color theme="0" tint="-0.14996795556505021"/>
      </bottom>
      <diagonal/>
    </border>
    <border>
      <left style="thick">
        <color theme="0" tint="-0.24994659260841701"/>
      </left>
      <right/>
      <top/>
      <bottom style="thick">
        <color theme="0" tint="-0.14996795556505021"/>
      </bottom>
      <diagonal/>
    </border>
    <border>
      <left style="thick">
        <color theme="0" tint="-0.24994659260841701"/>
      </left>
      <right/>
      <top style="thick">
        <color theme="0" tint="-0.14996795556505021"/>
      </top>
      <bottom style="thick">
        <color theme="0" tint="-0.14996795556505021"/>
      </bottom>
      <diagonal/>
    </border>
    <border>
      <left/>
      <right/>
      <top style="thin">
        <color indexed="64"/>
      </top>
      <bottom/>
      <diagonal/>
    </border>
    <border>
      <left style="thick">
        <color theme="0" tint="-0.14993743705557422"/>
      </left>
      <right/>
      <top style="thick">
        <color theme="0" tint="-0.14993743705557422"/>
      </top>
      <bottom style="thick">
        <color theme="0" tint="-0.14996795556505021"/>
      </bottom>
      <diagonal/>
    </border>
    <border>
      <left/>
      <right style="thick">
        <color theme="0" tint="-0.14993743705557422"/>
      </right>
      <top style="thick">
        <color theme="0" tint="-0.14996795556505021"/>
      </top>
      <bottom style="thick">
        <color theme="0" tint="-0.14996795556505021"/>
      </bottom>
      <diagonal/>
    </border>
    <border>
      <left style="thick">
        <color theme="0" tint="-0.14993743705557422"/>
      </left>
      <right style="thick">
        <color theme="0" tint="-0.14993743705557422"/>
      </right>
      <top style="thick">
        <color theme="0" tint="-0.14996795556505021"/>
      </top>
      <bottom style="thick">
        <color theme="0" tint="-0.14996795556505021"/>
      </bottom>
      <diagonal/>
    </border>
    <border>
      <left style="thick">
        <color theme="0" tint="-0.14993743705557422"/>
      </left>
      <right style="thick">
        <color theme="0" tint="-0.14993743705557422"/>
      </right>
      <top style="thick">
        <color theme="0" tint="-0.14993743705557422"/>
      </top>
      <bottom style="thick">
        <color theme="0" tint="-0.14996795556505021"/>
      </bottom>
      <diagonal/>
    </border>
    <border>
      <left/>
      <right style="thick">
        <color theme="0" tint="-0.14996795556505021"/>
      </right>
      <top style="thick">
        <color theme="0" tint="-0.14993743705557422"/>
      </top>
      <bottom style="thick">
        <color theme="0" tint="-0.14996795556505021"/>
      </bottom>
      <diagonal/>
    </border>
    <border>
      <left/>
      <right style="thick">
        <color theme="0" tint="-0.14990691854609822"/>
      </right>
      <top/>
      <bottom/>
      <diagonal/>
    </border>
    <border>
      <left style="thick">
        <color theme="0" tint="-0.14990691854609822"/>
      </left>
      <right style="thick">
        <color theme="0" tint="-0.14990691854609822"/>
      </right>
      <top/>
      <bottom/>
      <diagonal/>
    </border>
    <border>
      <left style="thick">
        <color theme="0" tint="-0.14990691854609822"/>
      </left>
      <right/>
      <top/>
      <bottom/>
      <diagonal/>
    </border>
    <border>
      <left/>
      <right style="thick">
        <color theme="0" tint="-0.24994659260841701"/>
      </right>
      <top style="thick">
        <color theme="0" tint="-0.14996795556505021"/>
      </top>
      <bottom/>
      <diagonal/>
    </border>
    <border>
      <left style="thick">
        <color theme="0" tint="-0.14993743705557422"/>
      </left>
      <right style="thick">
        <color theme="0" tint="-0.14993743705557422"/>
      </right>
      <top/>
      <bottom style="thick">
        <color theme="0" tint="-0.14996795556505021"/>
      </bottom>
      <diagonal/>
    </border>
    <border>
      <left style="thick">
        <color theme="0" tint="-0.14990691854609822"/>
      </left>
      <right/>
      <top style="thick">
        <color theme="0" tint="-0.14990691854609822"/>
      </top>
      <bottom style="thick">
        <color theme="0" tint="-0.14996795556505021"/>
      </bottom>
      <diagonal/>
    </border>
    <border>
      <left/>
      <right/>
      <top style="thick">
        <color theme="0" tint="-0.14990691854609822"/>
      </top>
      <bottom style="thick">
        <color theme="0" tint="-0.14996795556505021"/>
      </bottom>
      <diagonal/>
    </border>
    <border>
      <left/>
      <right style="thick">
        <color theme="0" tint="-0.14990691854609822"/>
      </right>
      <top style="thick">
        <color theme="0" tint="-0.14990691854609822"/>
      </top>
      <bottom style="thick">
        <color theme="0" tint="-0.14996795556505021"/>
      </bottom>
      <diagonal/>
    </border>
    <border>
      <left style="thick">
        <color theme="0" tint="-0.14990691854609822"/>
      </left>
      <right/>
      <top style="thick">
        <color theme="0" tint="-0.14996795556505021"/>
      </top>
      <bottom style="thick">
        <color theme="0" tint="-0.14996795556505021"/>
      </bottom>
      <diagonal/>
    </border>
    <border>
      <left/>
      <right/>
      <top style="thick">
        <color theme="0" tint="-0.14993743705557422"/>
      </top>
      <bottom style="thick">
        <color theme="0" tint="-0.14996795556505021"/>
      </bottom>
      <diagonal/>
    </border>
    <border>
      <left/>
      <right style="thick">
        <color theme="0" tint="-0.14990691854609822"/>
      </right>
      <top style="thick">
        <color theme="0" tint="-0.14993743705557422"/>
      </top>
      <bottom style="thick">
        <color theme="0" tint="-0.14996795556505021"/>
      </bottom>
      <diagonal/>
    </border>
    <border>
      <left style="thick">
        <color theme="0" tint="-0.14990691854609822"/>
      </left>
      <right/>
      <top style="thick">
        <color theme="0" tint="-0.14996795556505021"/>
      </top>
      <bottom style="thick">
        <color theme="0" tint="-0.14990691854609822"/>
      </bottom>
      <diagonal/>
    </border>
    <border>
      <left/>
      <right/>
      <top style="thick">
        <color theme="0" tint="-0.14996795556505021"/>
      </top>
      <bottom style="thick">
        <color theme="0" tint="-0.14990691854609822"/>
      </bottom>
      <diagonal/>
    </border>
    <border>
      <left/>
      <right/>
      <top style="thick">
        <color theme="0" tint="-0.14993743705557422"/>
      </top>
      <bottom style="thick">
        <color theme="0" tint="-0.14990691854609822"/>
      </bottom>
      <diagonal/>
    </border>
    <border>
      <left/>
      <right style="thick">
        <color theme="0" tint="-0.14990691854609822"/>
      </right>
      <top style="thick">
        <color theme="0" tint="-0.14993743705557422"/>
      </top>
      <bottom style="thick">
        <color theme="0" tint="-0.14990691854609822"/>
      </bottom>
      <diagonal/>
    </border>
    <border>
      <left style="thick">
        <color theme="0" tint="-0.14993743705557422"/>
      </left>
      <right style="thick">
        <color theme="0" tint="-0.14996795556505021"/>
      </right>
      <top style="thick">
        <color theme="0" tint="-0.14993743705557422"/>
      </top>
      <bottom style="thick">
        <color theme="0" tint="-0.14996795556505021"/>
      </bottom>
      <diagonal/>
    </border>
    <border>
      <left style="thick">
        <color theme="0" tint="-0.14996795556505021"/>
      </left>
      <right style="thick">
        <color theme="0" tint="-0.14996795556505021"/>
      </right>
      <top style="thick">
        <color theme="0" tint="-0.14996795556505021"/>
      </top>
      <bottom style="thick">
        <color theme="0" tint="-0.14996795556505021"/>
      </bottom>
      <diagonal/>
    </border>
    <border>
      <left/>
      <right style="thick">
        <color theme="0" tint="-0.14996795556505021"/>
      </right>
      <top/>
      <bottom/>
      <diagonal/>
    </border>
    <border>
      <left/>
      <right style="thick">
        <color theme="0" tint="-0.14996795556505021"/>
      </right>
      <top style="thick">
        <color theme="0" tint="-0.14993743705557422"/>
      </top>
      <bottom/>
      <diagonal/>
    </border>
    <border>
      <left/>
      <right style="thick">
        <color theme="0" tint="-0.14996795556505021"/>
      </right>
      <top/>
      <bottom style="thick">
        <color theme="0" tint="-0.14993743705557422"/>
      </bottom>
      <diagonal/>
    </border>
    <border>
      <left/>
      <right/>
      <top/>
      <bottom style="thick">
        <color theme="0" tint="-0.14993743705557422"/>
      </bottom>
      <diagonal/>
    </border>
    <border>
      <left style="thick">
        <color theme="0" tint="-0.14993743705557422"/>
      </left>
      <right style="thick">
        <color theme="0" tint="-0.14990691854609822"/>
      </right>
      <top style="thick">
        <color theme="0" tint="-0.14993743705557422"/>
      </top>
      <bottom/>
      <diagonal/>
    </border>
    <border>
      <left style="thick">
        <color theme="0" tint="-0.14993743705557422"/>
      </left>
      <right style="thick">
        <color theme="0" tint="-0.14990691854609822"/>
      </right>
      <top/>
      <bottom/>
      <diagonal/>
    </border>
    <border>
      <left style="thick">
        <color theme="0" tint="-0.14993743705557422"/>
      </left>
      <right style="thick">
        <color theme="0" tint="-0.14990691854609822"/>
      </right>
      <top/>
      <bottom style="thick">
        <color theme="0" tint="-0.14993743705557422"/>
      </bottom>
      <diagonal/>
    </border>
    <border>
      <left/>
      <right/>
      <top style="thin">
        <color theme="0"/>
      </top>
      <bottom/>
      <diagonal/>
    </border>
    <border>
      <left/>
      <right/>
      <top/>
      <bottom style="thin">
        <color theme="0"/>
      </bottom>
      <diagonal/>
    </border>
    <border>
      <left/>
      <right/>
      <top/>
      <bottom style="double">
        <color theme="0"/>
      </bottom>
      <diagonal/>
    </border>
    <border>
      <left style="thin">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21">
    <xf numFmtId="0" fontId="0" fillId="0" borderId="0" xfId="0"/>
    <xf numFmtId="0" fontId="11" fillId="0" borderId="0" xfId="0" applyFont="1"/>
    <xf numFmtId="1" fontId="9" fillId="2" borderId="2" xfId="0" applyNumberFormat="1" applyFont="1" applyFill="1" applyBorder="1" applyAlignment="1">
      <alignment horizontal="center" vertical="center" wrapText="1" readingOrder="2"/>
    </xf>
    <xf numFmtId="0" fontId="7" fillId="0" borderId="2" xfId="0" applyFont="1" applyBorder="1" applyAlignment="1">
      <alignment horizontal="center" vertical="center"/>
    </xf>
    <xf numFmtId="1" fontId="5" fillId="7" borderId="14" xfId="0" applyNumberFormat="1" applyFont="1" applyFill="1" applyBorder="1" applyAlignment="1">
      <alignment horizontal="center" vertical="center" wrapText="1" readingOrder="2"/>
    </xf>
    <xf numFmtId="0" fontId="5" fillId="0" borderId="8" xfId="0" applyFont="1" applyBorder="1" applyAlignment="1">
      <alignment horizontal="center" vertical="center"/>
    </xf>
    <xf numFmtId="0" fontId="7" fillId="0" borderId="6" xfId="0" applyFont="1" applyBorder="1" applyAlignment="1">
      <alignment horizontal="center" vertical="center"/>
    </xf>
    <xf numFmtId="0" fontId="5" fillId="0" borderId="8" xfId="0" applyFont="1" applyBorder="1" applyAlignment="1">
      <alignment horizontal="center" vertical="center" wrapText="1"/>
    </xf>
    <xf numFmtId="0" fontId="5" fillId="0" borderId="8" xfId="0" applyFont="1" applyBorder="1" applyAlignment="1" applyProtection="1">
      <alignment horizontal="center" vertical="center"/>
      <protection hidden="1"/>
    </xf>
    <xf numFmtId="1" fontId="5" fillId="7" borderId="0" xfId="0" applyNumberFormat="1" applyFont="1" applyFill="1" applyAlignment="1">
      <alignment horizontal="center" vertical="center" wrapText="1" readingOrder="2"/>
    </xf>
    <xf numFmtId="1" fontId="5" fillId="7" borderId="0" xfId="0" applyNumberFormat="1" applyFont="1" applyFill="1" applyAlignment="1" applyProtection="1">
      <alignment horizontal="center" vertical="center" wrapText="1" readingOrder="2"/>
      <protection locked="0"/>
    </xf>
    <xf numFmtId="1" fontId="5" fillId="4" borderId="16" xfId="0" applyNumberFormat="1" applyFont="1" applyFill="1" applyBorder="1" applyAlignment="1" applyProtection="1">
      <alignment horizontal="center" vertical="center" wrapText="1" readingOrder="2"/>
      <protection locked="0"/>
    </xf>
    <xf numFmtId="1" fontId="6" fillId="2" borderId="11" xfId="0" applyNumberFormat="1" applyFont="1" applyFill="1" applyBorder="1" applyAlignment="1" applyProtection="1">
      <alignment horizontal="center" vertical="center" wrapText="1" readingOrder="2"/>
      <protection locked="0"/>
    </xf>
    <xf numFmtId="1" fontId="5" fillId="7" borderId="17" xfId="0" applyNumberFormat="1" applyFont="1" applyFill="1" applyBorder="1" applyAlignment="1" applyProtection="1">
      <alignment horizontal="center" vertical="center" wrapText="1" readingOrder="2"/>
      <protection locked="0"/>
    </xf>
    <xf numFmtId="3" fontId="12" fillId="3" borderId="17" xfId="1" applyNumberFormat="1" applyFont="1" applyFill="1" applyBorder="1" applyAlignment="1" applyProtection="1">
      <alignment horizontal="center" vertical="center" readingOrder="2"/>
      <protection locked="0"/>
    </xf>
    <xf numFmtId="1" fontId="10" fillId="7" borderId="51" xfId="0" applyNumberFormat="1" applyFont="1" applyFill="1" applyBorder="1" applyAlignment="1" applyProtection="1">
      <alignment horizontal="center" vertical="center" wrapText="1" readingOrder="2"/>
      <protection locked="0"/>
    </xf>
    <xf numFmtId="1" fontId="5" fillId="7" borderId="51" xfId="0" applyNumberFormat="1" applyFont="1" applyFill="1" applyBorder="1" applyAlignment="1" applyProtection="1">
      <alignment horizontal="center" vertical="center" wrapText="1" readingOrder="2"/>
      <protection locked="0"/>
    </xf>
    <xf numFmtId="0" fontId="5" fillId="0" borderId="51" xfId="0" applyFont="1" applyBorder="1" applyAlignment="1" applyProtection="1">
      <alignment horizontal="center" vertical="center"/>
      <protection locked="0"/>
    </xf>
    <xf numFmtId="0" fontId="5" fillId="0" borderId="51" xfId="0" applyFont="1" applyBorder="1" applyProtection="1">
      <protection locked="0"/>
    </xf>
    <xf numFmtId="14" fontId="5" fillId="0" borderId="51" xfId="0" applyNumberFormat="1" applyFont="1" applyBorder="1" applyProtection="1">
      <protection locked="0"/>
    </xf>
    <xf numFmtId="0" fontId="5" fillId="0" borderId="51" xfId="0" applyFont="1" applyBorder="1" applyAlignment="1" applyProtection="1">
      <alignment wrapText="1"/>
      <protection locked="0"/>
    </xf>
    <xf numFmtId="0" fontId="5" fillId="0" borderId="51" xfId="0" applyFont="1" applyBorder="1" applyAlignment="1" applyProtection="1">
      <alignment horizontal="center" vertical="center" wrapText="1"/>
      <protection locked="0"/>
    </xf>
    <xf numFmtId="0" fontId="5" fillId="0" borderId="51" xfId="0" applyFont="1" applyBorder="1" applyAlignment="1" applyProtection="1">
      <alignment horizontal="right" vertical="center" wrapText="1"/>
      <protection locked="0"/>
    </xf>
    <xf numFmtId="3" fontId="12" fillId="7" borderId="11" xfId="1" applyNumberFormat="1" applyFont="1" applyFill="1" applyBorder="1" applyAlignment="1" applyProtection="1">
      <alignment horizontal="center" vertical="center" readingOrder="2"/>
      <protection hidden="1"/>
    </xf>
    <xf numFmtId="0" fontId="10" fillId="6" borderId="0" xfId="0" applyFont="1" applyFill="1" applyAlignment="1" applyProtection="1">
      <alignment vertical="center"/>
      <protection locked="0"/>
    </xf>
    <xf numFmtId="0" fontId="6" fillId="6" borderId="0" xfId="0" applyFont="1" applyFill="1" applyAlignment="1" applyProtection="1">
      <alignment horizontal="center" vertical="center"/>
      <protection locked="0"/>
    </xf>
    <xf numFmtId="0" fontId="5" fillId="0" borderId="0" xfId="0" applyFont="1" applyAlignment="1" applyProtection="1">
      <alignment horizontal="center" vertical="center"/>
      <protection locked="0"/>
    </xf>
    <xf numFmtId="0" fontId="5" fillId="0" borderId="0" xfId="0" applyFont="1" applyProtection="1">
      <protection locked="0"/>
    </xf>
    <xf numFmtId="0" fontId="5" fillId="0" borderId="0" xfId="0" applyFont="1" applyAlignment="1" applyProtection="1">
      <alignment horizontal="center" vertical="center" wrapText="1"/>
      <protection locked="0"/>
    </xf>
    <xf numFmtId="0" fontId="5" fillId="6" borderId="0" xfId="0" applyFont="1" applyFill="1" applyProtection="1">
      <protection locked="0"/>
    </xf>
    <xf numFmtId="0" fontId="0" fillId="0" borderId="0" xfId="0" applyProtection="1">
      <protection locked="0"/>
    </xf>
    <xf numFmtId="0" fontId="2" fillId="0" borderId="0" xfId="0" applyFont="1" applyAlignment="1" applyProtection="1">
      <alignment vertical="center" wrapText="1"/>
      <protection locked="0"/>
    </xf>
    <xf numFmtId="0" fontId="0" fillId="0" borderId="0" xfId="0" applyAlignment="1" applyProtection="1">
      <alignment horizontal="center" vertical="center"/>
      <protection locked="0"/>
    </xf>
    <xf numFmtId="1" fontId="5" fillId="4" borderId="7" xfId="0" applyNumberFormat="1" applyFont="1" applyFill="1" applyBorder="1" applyAlignment="1" applyProtection="1">
      <alignment horizontal="right" vertical="center" wrapText="1" readingOrder="2"/>
      <protection locked="0"/>
    </xf>
    <xf numFmtId="0" fontId="5" fillId="6" borderId="8" xfId="0" applyFont="1" applyFill="1" applyBorder="1" applyAlignment="1" applyProtection="1">
      <alignment horizontal="right" vertical="center"/>
      <protection locked="0"/>
    </xf>
    <xf numFmtId="14" fontId="5" fillId="6" borderId="9" xfId="0" applyNumberFormat="1" applyFont="1" applyFill="1" applyBorder="1" applyAlignment="1" applyProtection="1">
      <alignment horizontal="center" vertical="center"/>
      <protection locked="0"/>
    </xf>
    <xf numFmtId="14" fontId="12" fillId="6" borderId="9" xfId="0" applyNumberFormat="1" applyFont="1" applyFill="1" applyBorder="1" applyAlignment="1" applyProtection="1">
      <alignment horizontal="center" vertical="center" wrapText="1" readingOrder="2"/>
      <protection locked="0"/>
    </xf>
    <xf numFmtId="0" fontId="12" fillId="6" borderId="8" xfId="0" applyFont="1" applyFill="1" applyBorder="1" applyAlignment="1" applyProtection="1">
      <alignment horizontal="right" vertical="center" wrapText="1" readingOrder="2"/>
      <protection locked="0"/>
    </xf>
    <xf numFmtId="1" fontId="5" fillId="7" borderId="14" xfId="0" applyNumberFormat="1" applyFont="1" applyFill="1" applyBorder="1" applyAlignment="1" applyProtection="1">
      <alignment horizontal="center" vertical="center" wrapText="1" readingOrder="2"/>
      <protection locked="0"/>
    </xf>
    <xf numFmtId="0" fontId="3" fillId="0" borderId="0" xfId="0" applyFont="1" applyAlignment="1" applyProtection="1">
      <alignment horizontal="center" vertical="center" wrapText="1" readingOrder="2"/>
      <protection locked="0"/>
    </xf>
    <xf numFmtId="1" fontId="5" fillId="4" borderId="7" xfId="0" applyNumberFormat="1" applyFont="1" applyFill="1" applyBorder="1" applyAlignment="1" applyProtection="1">
      <alignment horizontal="center" vertical="center" wrapText="1" readingOrder="2"/>
      <protection locked="0"/>
    </xf>
    <xf numFmtId="1" fontId="5" fillId="4" borderId="8" xfId="0" applyNumberFormat="1" applyFont="1" applyFill="1" applyBorder="1" applyAlignment="1" applyProtection="1">
      <alignment horizontal="center" vertical="center" wrapText="1" readingOrder="2"/>
      <protection locked="0"/>
    </xf>
    <xf numFmtId="0" fontId="8" fillId="3" borderId="0" xfId="0" applyFont="1" applyFill="1" applyAlignment="1" applyProtection="1">
      <alignment horizontal="center" vertical="center" readingOrder="2"/>
      <protection locked="0"/>
    </xf>
    <xf numFmtId="0" fontId="4" fillId="0" borderId="0" xfId="0" applyFont="1" applyAlignment="1" applyProtection="1">
      <alignment horizontal="center"/>
      <protection locked="0"/>
    </xf>
    <xf numFmtId="0" fontId="4" fillId="0" borderId="0" xfId="0" applyFont="1" applyProtection="1">
      <protection locked="0"/>
    </xf>
    <xf numFmtId="1" fontId="10" fillId="7" borderId="14" xfId="0" applyNumberFormat="1" applyFont="1" applyFill="1" applyBorder="1" applyAlignment="1" applyProtection="1">
      <alignment horizontal="center" vertical="center" wrapText="1" readingOrder="2"/>
      <protection locked="0"/>
    </xf>
    <xf numFmtId="0" fontId="7" fillId="0" borderId="0" xfId="0" applyFont="1" applyProtection="1">
      <protection locked="0"/>
    </xf>
    <xf numFmtId="1" fontId="5" fillId="4" borderId="11" xfId="0" applyNumberFormat="1" applyFont="1" applyFill="1" applyBorder="1" applyAlignment="1" applyProtection="1">
      <alignment horizontal="center" vertical="center" wrapText="1" readingOrder="2"/>
      <protection locked="0"/>
    </xf>
    <xf numFmtId="1" fontId="5" fillId="4" borderId="10" xfId="0" applyNumberFormat="1" applyFont="1" applyFill="1" applyBorder="1" applyAlignment="1" applyProtection="1">
      <alignment horizontal="center" vertical="center" wrapText="1" readingOrder="2"/>
      <protection locked="0"/>
    </xf>
    <xf numFmtId="1" fontId="9" fillId="0" borderId="0" xfId="0" applyNumberFormat="1" applyFont="1" applyAlignment="1" applyProtection="1">
      <alignment horizontal="center" vertical="center" wrapText="1" readingOrder="2"/>
      <protection locked="0"/>
    </xf>
    <xf numFmtId="0" fontId="5" fillId="0" borderId="0" xfId="0" applyFont="1" applyAlignment="1" applyProtection="1">
      <alignment horizontal="center" vertical="center" wrapText="1" readingOrder="2"/>
      <protection locked="0"/>
    </xf>
    <xf numFmtId="1" fontId="5" fillId="7" borderId="26" xfId="0" applyNumberFormat="1" applyFont="1" applyFill="1" applyBorder="1" applyAlignment="1" applyProtection="1">
      <alignment horizontal="center" vertical="center" wrapText="1" readingOrder="2"/>
      <protection locked="0"/>
    </xf>
    <xf numFmtId="1" fontId="5" fillId="7" borderId="27" xfId="0" applyNumberFormat="1" applyFont="1" applyFill="1" applyBorder="1" applyAlignment="1" applyProtection="1">
      <alignment horizontal="center" vertical="center" wrapText="1" readingOrder="2"/>
      <protection locked="0"/>
    </xf>
    <xf numFmtId="1" fontId="5" fillId="4" borderId="28" xfId="0" applyNumberFormat="1" applyFont="1" applyFill="1" applyBorder="1" applyAlignment="1" applyProtection="1">
      <alignment horizontal="center" vertical="center" wrapText="1" readingOrder="2"/>
      <protection locked="0"/>
    </xf>
    <xf numFmtId="1" fontId="6" fillId="2" borderId="3" xfId="0" applyNumberFormat="1" applyFont="1" applyFill="1" applyBorder="1" applyAlignment="1" applyProtection="1">
      <alignment horizontal="center" vertical="center" wrapText="1" readingOrder="2"/>
      <protection locked="0"/>
    </xf>
    <xf numFmtId="1" fontId="6" fillId="2" borderId="14" xfId="0" applyNumberFormat="1" applyFont="1" applyFill="1" applyBorder="1" applyAlignment="1" applyProtection="1">
      <alignment horizontal="center" vertical="center" wrapText="1" readingOrder="2"/>
      <protection locked="0"/>
    </xf>
    <xf numFmtId="0" fontId="12" fillId="7" borderId="11" xfId="1" applyNumberFormat="1" applyFont="1" applyFill="1" applyBorder="1" applyAlignment="1" applyProtection="1">
      <alignment horizontal="center" vertical="center" readingOrder="2"/>
      <protection locked="0"/>
    </xf>
    <xf numFmtId="1" fontId="6" fillId="2" borderId="5" xfId="0" applyNumberFormat="1" applyFont="1" applyFill="1" applyBorder="1" applyAlignment="1" applyProtection="1">
      <alignment horizontal="center" vertical="center" wrapText="1" readingOrder="2"/>
      <protection locked="0"/>
    </xf>
    <xf numFmtId="44" fontId="0" fillId="0" borderId="0" xfId="3" applyFont="1" applyProtection="1">
      <protection locked="0"/>
    </xf>
    <xf numFmtId="1" fontId="6" fillId="2" borderId="4" xfId="0" applyNumberFormat="1" applyFont="1" applyFill="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5" fillId="4" borderId="8" xfId="0" applyFont="1" applyFill="1" applyBorder="1" applyAlignment="1" applyProtection="1">
      <alignment horizontal="center" vertical="center" wrapText="1" readingOrder="2"/>
      <protection hidden="1"/>
    </xf>
    <xf numFmtId="9" fontId="5" fillId="4" borderId="8" xfId="0" applyNumberFormat="1" applyFont="1" applyFill="1" applyBorder="1" applyAlignment="1" applyProtection="1">
      <alignment horizontal="center" vertical="center" wrapText="1" readingOrder="2"/>
      <protection hidden="1"/>
    </xf>
    <xf numFmtId="0" fontId="12" fillId="7" borderId="11" xfId="1" applyNumberFormat="1" applyFont="1" applyFill="1" applyBorder="1" applyAlignment="1" applyProtection="1">
      <alignment horizontal="center" vertical="center" readingOrder="2"/>
      <protection hidden="1"/>
    </xf>
    <xf numFmtId="9" fontId="5" fillId="7" borderId="8" xfId="0" applyNumberFormat="1" applyFont="1" applyFill="1" applyBorder="1" applyAlignment="1" applyProtection="1">
      <alignment horizontal="center" vertical="center" wrapText="1" readingOrder="2"/>
      <protection hidden="1"/>
    </xf>
    <xf numFmtId="9" fontId="5" fillId="7" borderId="11" xfId="0" applyNumberFormat="1" applyFont="1" applyFill="1" applyBorder="1" applyAlignment="1" applyProtection="1">
      <alignment horizontal="center" vertical="center" wrapText="1" readingOrder="2"/>
      <protection hidden="1"/>
    </xf>
    <xf numFmtId="9" fontId="5" fillId="4" borderId="8" xfId="2" applyFont="1" applyFill="1" applyBorder="1" applyAlignment="1" applyProtection="1">
      <alignment horizontal="center"/>
      <protection hidden="1"/>
    </xf>
    <xf numFmtId="0" fontId="12" fillId="6" borderId="31" xfId="0" applyFont="1" applyFill="1" applyBorder="1" applyAlignment="1" applyProtection="1">
      <alignment horizontal="right" vertical="center" wrapText="1" readingOrder="2"/>
      <protection locked="0"/>
    </xf>
    <xf numFmtId="49" fontId="12" fillId="6" borderId="8" xfId="0" applyNumberFormat="1" applyFont="1" applyFill="1" applyBorder="1" applyAlignment="1" applyProtection="1">
      <alignment horizontal="right" vertical="center" wrapText="1" readingOrder="2"/>
      <protection locked="0"/>
    </xf>
    <xf numFmtId="4" fontId="12" fillId="3" borderId="9" xfId="1" applyNumberFormat="1" applyFont="1" applyFill="1" applyBorder="1" applyAlignment="1" applyProtection="1">
      <alignment horizontal="center" vertical="center" readingOrder="2"/>
      <protection locked="0"/>
    </xf>
    <xf numFmtId="9" fontId="21" fillId="4" borderId="9" xfId="2" applyFont="1" applyFill="1" applyBorder="1" applyAlignment="1" applyProtection="1">
      <alignment horizontal="center" vertical="center" readingOrder="2"/>
      <protection hidden="1"/>
    </xf>
    <xf numFmtId="4" fontId="12" fillId="4" borderId="9" xfId="1" applyNumberFormat="1" applyFont="1" applyFill="1" applyBorder="1" applyAlignment="1" applyProtection="1">
      <alignment horizontal="center" vertical="center" readingOrder="2"/>
      <protection hidden="1"/>
    </xf>
    <xf numFmtId="0" fontId="5" fillId="6" borderId="31" xfId="0" applyFont="1" applyFill="1" applyBorder="1" applyAlignment="1" applyProtection="1">
      <alignment horizontal="right" vertical="center" wrapText="1"/>
      <protection locked="0"/>
    </xf>
    <xf numFmtId="1" fontId="9" fillId="2" borderId="0" xfId="0" applyNumberFormat="1" applyFont="1" applyFill="1" applyAlignment="1" applyProtection="1">
      <alignment horizontal="center" vertical="center" wrapText="1" readingOrder="2"/>
      <protection locked="0"/>
    </xf>
    <xf numFmtId="14" fontId="5" fillId="0" borderId="32" xfId="0" applyNumberFormat="1" applyFont="1" applyBorder="1" applyProtection="1">
      <protection locked="0"/>
    </xf>
    <xf numFmtId="1" fontId="5" fillId="4" borderId="12" xfId="0" applyNumberFormat="1" applyFont="1" applyFill="1" applyBorder="1" applyAlignment="1" applyProtection="1">
      <alignment horizontal="center" vertical="center" wrapText="1" readingOrder="2"/>
      <protection locked="0"/>
    </xf>
    <xf numFmtId="164" fontId="15" fillId="4" borderId="8" xfId="1" applyNumberFormat="1" applyFont="1" applyFill="1" applyBorder="1" applyAlignment="1" applyProtection="1">
      <alignment horizontal="center" vertical="center" wrapText="1" readingOrder="2"/>
      <protection locked="0"/>
    </xf>
    <xf numFmtId="1" fontId="5" fillId="4" borderId="35" xfId="0" applyNumberFormat="1" applyFont="1" applyFill="1" applyBorder="1" applyAlignment="1" applyProtection="1">
      <alignment horizontal="center" vertical="center" wrapText="1" readingOrder="2"/>
      <protection locked="0"/>
    </xf>
    <xf numFmtId="1" fontId="5" fillId="4" borderId="36" xfId="0" applyNumberFormat="1" applyFont="1" applyFill="1" applyBorder="1" applyAlignment="1" applyProtection="1">
      <alignment horizontal="center" vertical="center" wrapText="1" readingOrder="2"/>
      <protection locked="0"/>
    </xf>
    <xf numFmtId="164" fontId="16" fillId="4" borderId="38" xfId="1" applyNumberFormat="1" applyFont="1" applyFill="1" applyBorder="1" applyAlignment="1" applyProtection="1">
      <alignment horizontal="center" vertical="center" wrapText="1" readingOrder="2"/>
      <protection locked="0"/>
    </xf>
    <xf numFmtId="4" fontId="12" fillId="7" borderId="33" xfId="1" applyNumberFormat="1" applyFont="1" applyFill="1" applyBorder="1" applyAlignment="1" applyProtection="1">
      <alignment horizontal="center" vertical="center" readingOrder="2"/>
      <protection hidden="1"/>
    </xf>
    <xf numFmtId="4" fontId="12" fillId="7" borderId="36" xfId="1" applyNumberFormat="1" applyFont="1" applyFill="1" applyBorder="1" applyAlignment="1" applyProtection="1">
      <alignment horizontal="center" vertical="center" readingOrder="2"/>
      <protection hidden="1"/>
    </xf>
    <xf numFmtId="4" fontId="12" fillId="7" borderId="37" xfId="1" applyNumberFormat="1" applyFont="1" applyFill="1" applyBorder="1" applyAlignment="1" applyProtection="1">
      <alignment horizontal="center" vertical="center" readingOrder="2"/>
      <protection hidden="1"/>
    </xf>
    <xf numFmtId="4" fontId="12" fillId="4" borderId="18" xfId="1" applyNumberFormat="1" applyFont="1" applyFill="1" applyBorder="1" applyAlignment="1" applyProtection="1">
      <alignment horizontal="center" vertical="center" readingOrder="2"/>
      <protection hidden="1"/>
    </xf>
    <xf numFmtId="4" fontId="12" fillId="7" borderId="18" xfId="1" applyNumberFormat="1" applyFont="1" applyFill="1" applyBorder="1" applyAlignment="1" applyProtection="1">
      <alignment horizontal="center" vertical="center" readingOrder="2"/>
      <protection hidden="1"/>
    </xf>
    <xf numFmtId="1" fontId="6" fillId="2" borderId="0" xfId="0" applyNumberFormat="1" applyFont="1" applyFill="1" applyAlignment="1" applyProtection="1">
      <alignment horizontal="center" vertical="center" wrapText="1" readingOrder="2"/>
      <protection locked="0"/>
    </xf>
    <xf numFmtId="0" fontId="12" fillId="7" borderId="0" xfId="1" applyNumberFormat="1" applyFont="1" applyFill="1" applyBorder="1" applyAlignment="1" applyProtection="1">
      <alignment horizontal="center" vertical="center" readingOrder="2"/>
      <protection locked="0"/>
    </xf>
    <xf numFmtId="0" fontId="12" fillId="7" borderId="0" xfId="1" applyNumberFormat="1" applyFont="1" applyFill="1" applyBorder="1" applyAlignment="1" applyProtection="1">
      <alignment horizontal="center" vertical="center" readingOrder="2"/>
      <protection hidden="1"/>
    </xf>
    <xf numFmtId="9" fontId="5" fillId="7" borderId="14" xfId="0" applyNumberFormat="1" applyFont="1" applyFill="1" applyBorder="1" applyAlignment="1" applyProtection="1">
      <alignment horizontal="center" vertical="center" wrapText="1" readingOrder="2"/>
      <protection hidden="1"/>
    </xf>
    <xf numFmtId="4" fontId="12" fillId="7" borderId="39" xfId="1" applyNumberFormat="1" applyFont="1" applyFill="1" applyBorder="1" applyAlignment="1" applyProtection="1">
      <alignment horizontal="center" vertical="center" readingOrder="2"/>
      <protection hidden="1"/>
    </xf>
    <xf numFmtId="1" fontId="5" fillId="4" borderId="40" xfId="0" applyNumberFormat="1" applyFont="1" applyFill="1" applyBorder="1" applyAlignment="1" applyProtection="1">
      <alignment horizontal="center" vertical="center" wrapText="1" readingOrder="2"/>
      <protection locked="0"/>
    </xf>
    <xf numFmtId="9" fontId="5" fillId="4" borderId="41" xfId="0" applyNumberFormat="1" applyFont="1" applyFill="1" applyBorder="1" applyAlignment="1" applyProtection="1">
      <alignment horizontal="center" vertical="center" wrapText="1" readingOrder="2"/>
      <protection hidden="1"/>
    </xf>
    <xf numFmtId="1" fontId="5" fillId="4" borderId="43" xfId="0" applyNumberFormat="1" applyFont="1" applyFill="1" applyBorder="1" applyAlignment="1" applyProtection="1">
      <alignment horizontal="center" vertical="center" wrapText="1" readingOrder="2"/>
      <protection locked="0"/>
    </xf>
    <xf numFmtId="1" fontId="5" fillId="4" borderId="46" xfId="0" applyNumberFormat="1" applyFont="1" applyFill="1" applyBorder="1" applyAlignment="1" applyProtection="1">
      <alignment horizontal="center" vertical="center" wrapText="1" readingOrder="2"/>
      <protection locked="0"/>
    </xf>
    <xf numFmtId="0" fontId="5" fillId="4" borderId="47" xfId="0" applyFont="1" applyFill="1" applyBorder="1" applyAlignment="1" applyProtection="1">
      <alignment horizontal="center" vertical="center" wrapText="1" readingOrder="2"/>
      <protection hidden="1"/>
    </xf>
    <xf numFmtId="9" fontId="5" fillId="4" borderId="47" xfId="0" applyNumberFormat="1" applyFont="1" applyFill="1" applyBorder="1" applyAlignment="1" applyProtection="1">
      <alignment horizontal="center" vertical="center" wrapText="1" readingOrder="2"/>
      <protection hidden="1"/>
    </xf>
    <xf numFmtId="9" fontId="5" fillId="4" borderId="17" xfId="0" applyNumberFormat="1" applyFont="1" applyFill="1" applyBorder="1" applyAlignment="1" applyProtection="1">
      <alignment horizontal="center" vertical="center" wrapText="1" readingOrder="2"/>
      <protection hidden="1"/>
    </xf>
    <xf numFmtId="4" fontId="12" fillId="3" borderId="17" xfId="1" applyNumberFormat="1" applyFont="1" applyFill="1" applyBorder="1" applyAlignment="1" applyProtection="1">
      <alignment horizontal="center" vertical="center" readingOrder="2"/>
      <protection locked="0"/>
    </xf>
    <xf numFmtId="0" fontId="12" fillId="7" borderId="16" xfId="1" applyNumberFormat="1" applyFont="1" applyFill="1" applyBorder="1" applyAlignment="1" applyProtection="1">
      <alignment horizontal="center" vertical="center" readingOrder="2"/>
      <protection locked="0"/>
    </xf>
    <xf numFmtId="0" fontId="12" fillId="7" borderId="17" xfId="1" applyNumberFormat="1" applyFont="1" applyFill="1" applyBorder="1" applyAlignment="1" applyProtection="1">
      <alignment horizontal="center" vertical="center" readingOrder="2"/>
      <protection hidden="1"/>
    </xf>
    <xf numFmtId="9" fontId="5" fillId="7" borderId="17" xfId="0" applyNumberFormat="1" applyFont="1" applyFill="1" applyBorder="1" applyAlignment="1" applyProtection="1">
      <alignment horizontal="center" vertical="center" wrapText="1" readingOrder="2"/>
      <protection hidden="1"/>
    </xf>
    <xf numFmtId="4" fontId="12" fillId="7" borderId="17" xfId="1" applyNumberFormat="1" applyFont="1" applyFill="1" applyBorder="1" applyAlignment="1" applyProtection="1">
      <alignment horizontal="center" vertical="center" readingOrder="2"/>
      <protection hidden="1"/>
    </xf>
    <xf numFmtId="4" fontId="12" fillId="4" borderId="41" xfId="1" applyNumberFormat="1" applyFont="1" applyFill="1" applyBorder="1" applyAlignment="1" applyProtection="1">
      <alignment horizontal="center" vertical="center" readingOrder="2"/>
      <protection hidden="1"/>
    </xf>
    <xf numFmtId="4" fontId="12" fillId="4" borderId="44" xfId="1" applyNumberFormat="1" applyFont="1" applyFill="1" applyBorder="1" applyAlignment="1" applyProtection="1">
      <alignment horizontal="center" vertical="center" readingOrder="2"/>
      <protection hidden="1"/>
    </xf>
    <xf numFmtId="4" fontId="12" fillId="4" borderId="48" xfId="1" applyNumberFormat="1" applyFont="1" applyFill="1" applyBorder="1" applyAlignment="1" applyProtection="1">
      <alignment horizontal="center" vertical="center" readingOrder="2"/>
      <protection hidden="1"/>
    </xf>
    <xf numFmtId="4" fontId="12" fillId="4" borderId="42" xfId="1" applyNumberFormat="1" applyFont="1" applyFill="1" applyBorder="1" applyAlignment="1" applyProtection="1">
      <alignment horizontal="center" vertical="center" readingOrder="2"/>
      <protection hidden="1"/>
    </xf>
    <xf numFmtId="4" fontId="12" fillId="4" borderId="45" xfId="1" applyNumberFormat="1" applyFont="1" applyFill="1" applyBorder="1" applyAlignment="1" applyProtection="1">
      <alignment horizontal="center" vertical="center" readingOrder="2"/>
      <protection hidden="1"/>
    </xf>
    <xf numFmtId="4" fontId="12" fillId="4" borderId="49" xfId="1" applyNumberFormat="1" applyFont="1" applyFill="1" applyBorder="1" applyAlignment="1" applyProtection="1">
      <alignment horizontal="center" vertical="center" readingOrder="2"/>
      <protection hidden="1"/>
    </xf>
    <xf numFmtId="1" fontId="10" fillId="4" borderId="16" xfId="0" applyNumberFormat="1" applyFont="1" applyFill="1" applyBorder="1" applyAlignment="1" applyProtection="1">
      <alignment horizontal="center" vertical="center" wrapText="1" readingOrder="2"/>
      <protection locked="0"/>
    </xf>
    <xf numFmtId="0" fontId="5" fillId="4" borderId="18" xfId="0" applyFont="1" applyFill="1" applyBorder="1" applyAlignment="1" applyProtection="1">
      <alignment horizontal="center" vertical="center"/>
      <protection hidden="1"/>
    </xf>
    <xf numFmtId="0" fontId="12" fillId="6" borderId="18" xfId="0" applyFont="1" applyFill="1" applyBorder="1" applyAlignment="1" applyProtection="1">
      <alignment horizontal="right" vertical="center" wrapText="1" readingOrder="2"/>
      <protection locked="0"/>
    </xf>
    <xf numFmtId="0" fontId="5" fillId="7" borderId="18" xfId="0" applyFont="1" applyFill="1" applyBorder="1" applyAlignment="1" applyProtection="1">
      <alignment horizontal="center" vertical="center"/>
      <protection hidden="1"/>
    </xf>
    <xf numFmtId="0" fontId="10" fillId="4" borderId="16" xfId="0" applyFont="1" applyFill="1" applyBorder="1" applyAlignment="1" applyProtection="1">
      <alignment horizontal="right" vertical="center" wrapText="1" readingOrder="2"/>
      <protection locked="0"/>
    </xf>
    <xf numFmtId="4" fontId="12" fillId="3" borderId="18" xfId="1" applyNumberFormat="1" applyFont="1" applyFill="1" applyBorder="1" applyAlignment="1" applyProtection="1">
      <alignment horizontal="center" vertical="center" readingOrder="2"/>
      <protection locked="0"/>
    </xf>
    <xf numFmtId="43" fontId="10" fillId="4" borderId="18" xfId="1" applyFont="1" applyFill="1" applyBorder="1" applyAlignment="1" applyProtection="1">
      <alignment horizontal="center" vertical="center"/>
      <protection hidden="1"/>
    </xf>
    <xf numFmtId="4" fontId="20" fillId="3" borderId="9" xfId="1" applyNumberFormat="1" applyFont="1" applyFill="1" applyBorder="1" applyAlignment="1" applyProtection="1">
      <alignment horizontal="center" vertical="center" readingOrder="2"/>
      <protection locked="0"/>
    </xf>
    <xf numFmtId="4" fontId="5" fillId="4" borderId="18" xfId="0" applyNumberFormat="1" applyFont="1" applyFill="1" applyBorder="1" applyAlignment="1" applyProtection="1">
      <alignment horizontal="center" vertical="center"/>
      <protection hidden="1"/>
    </xf>
    <xf numFmtId="0" fontId="12" fillId="4" borderId="14" xfId="0" applyFont="1" applyFill="1" applyBorder="1" applyAlignment="1" applyProtection="1">
      <alignment horizontal="center" vertical="center" readingOrder="2"/>
      <protection hidden="1"/>
    </xf>
    <xf numFmtId="4" fontId="12" fillId="4" borderId="15" xfId="1" applyNumberFormat="1" applyFont="1" applyFill="1" applyBorder="1" applyAlignment="1" applyProtection="1">
      <alignment horizontal="center" vertical="center" readingOrder="2"/>
      <protection hidden="1"/>
    </xf>
    <xf numFmtId="1" fontId="5" fillId="7" borderId="18" xfId="0" applyNumberFormat="1" applyFont="1" applyFill="1" applyBorder="1" applyAlignment="1" applyProtection="1">
      <alignment horizontal="center" vertical="center" wrapText="1" readingOrder="2"/>
      <protection locked="0"/>
    </xf>
    <xf numFmtId="1" fontId="5" fillId="6" borderId="8" xfId="0" applyNumberFormat="1" applyFont="1" applyFill="1" applyBorder="1" applyAlignment="1" applyProtection="1">
      <alignment horizontal="right" vertical="center" wrapText="1"/>
      <protection locked="0"/>
    </xf>
    <xf numFmtId="4" fontId="12" fillId="6" borderId="18" xfId="1" applyNumberFormat="1" applyFont="1" applyFill="1" applyBorder="1" applyAlignment="1" applyProtection="1">
      <alignment horizontal="center" vertical="center" readingOrder="2"/>
      <protection locked="0"/>
    </xf>
    <xf numFmtId="0" fontId="10" fillId="4" borderId="16" xfId="0" applyFont="1" applyFill="1" applyBorder="1" applyAlignment="1" applyProtection="1">
      <alignment horizontal="center" vertical="center" wrapText="1" readingOrder="2"/>
      <protection locked="0"/>
    </xf>
    <xf numFmtId="4" fontId="12" fillId="6" borderId="33" xfId="1" applyNumberFormat="1" applyFont="1" applyFill="1" applyBorder="1" applyAlignment="1" applyProtection="1">
      <alignment horizontal="center" vertical="center" readingOrder="2"/>
      <protection locked="0"/>
    </xf>
    <xf numFmtId="4" fontId="12" fillId="6" borderId="50" xfId="1" applyNumberFormat="1" applyFont="1" applyFill="1" applyBorder="1" applyAlignment="1" applyProtection="1">
      <alignment horizontal="center" vertical="center" readingOrder="2"/>
      <protection locked="0"/>
    </xf>
    <xf numFmtId="0" fontId="10" fillId="5" borderId="16" xfId="0" applyFont="1" applyFill="1" applyBorder="1" applyAlignment="1" applyProtection="1">
      <alignment horizontal="center" vertical="center" wrapText="1" readingOrder="2"/>
      <protection locked="0"/>
    </xf>
    <xf numFmtId="0" fontId="10" fillId="5" borderId="17" xfId="0" applyFont="1" applyFill="1" applyBorder="1" applyAlignment="1" applyProtection="1">
      <alignment horizontal="center" vertical="center" wrapText="1" readingOrder="2"/>
      <protection locked="0"/>
    </xf>
    <xf numFmtId="0" fontId="10" fillId="5" borderId="18" xfId="0" applyFont="1" applyFill="1" applyBorder="1" applyAlignment="1" applyProtection="1">
      <alignment horizontal="center" vertical="center" wrapText="1" readingOrder="2"/>
      <protection locked="0"/>
    </xf>
    <xf numFmtId="0" fontId="10" fillId="5" borderId="16" xfId="0" applyFont="1" applyFill="1" applyBorder="1" applyAlignment="1" applyProtection="1">
      <alignment horizontal="right" vertical="top" wrapText="1" readingOrder="2"/>
      <protection locked="0"/>
    </xf>
    <xf numFmtId="43" fontId="10" fillId="4" borderId="17" xfId="1" applyFont="1" applyFill="1" applyBorder="1" applyAlignment="1" applyProtection="1">
      <alignment horizontal="center" vertical="center"/>
      <protection hidden="1"/>
    </xf>
    <xf numFmtId="43" fontId="10" fillId="4" borderId="17" xfId="1" applyFont="1" applyFill="1" applyBorder="1" applyAlignment="1" applyProtection="1">
      <alignment vertical="center"/>
      <protection hidden="1"/>
    </xf>
    <xf numFmtId="9" fontId="10" fillId="4" borderId="18" xfId="2" applyFont="1" applyFill="1" applyBorder="1" applyAlignment="1" applyProtection="1">
      <alignment horizontal="center" vertical="center"/>
      <protection hidden="1"/>
    </xf>
    <xf numFmtId="4" fontId="12" fillId="4" borderId="50" xfId="1" applyNumberFormat="1" applyFont="1" applyFill="1" applyBorder="1" applyAlignment="1" applyProtection="1">
      <alignment horizontal="center" vertical="center" readingOrder="2"/>
      <protection hidden="1"/>
    </xf>
    <xf numFmtId="3" fontId="12" fillId="3" borderId="51" xfId="1" applyNumberFormat="1" applyFont="1" applyFill="1" applyBorder="1" applyAlignment="1" applyProtection="1">
      <alignment horizontal="center" vertical="center" readingOrder="2"/>
      <protection locked="0"/>
    </xf>
    <xf numFmtId="3" fontId="12" fillId="7" borderId="15" xfId="1" applyNumberFormat="1" applyFont="1" applyFill="1" applyBorder="1" applyAlignment="1" applyProtection="1">
      <alignment horizontal="center" vertical="center" readingOrder="2"/>
      <protection hidden="1"/>
    </xf>
    <xf numFmtId="4" fontId="10" fillId="4" borderId="17" xfId="0" applyNumberFormat="1" applyFont="1" applyFill="1" applyBorder="1" applyAlignment="1" applyProtection="1">
      <alignment horizontal="center" vertical="center" wrapText="1" readingOrder="2"/>
      <protection hidden="1"/>
    </xf>
    <xf numFmtId="43" fontId="10" fillId="4" borderId="18" xfId="0" applyNumberFormat="1" applyFont="1" applyFill="1" applyBorder="1" applyAlignment="1" applyProtection="1">
      <alignment horizontal="center" vertical="center" wrapText="1" readingOrder="2"/>
      <protection hidden="1"/>
    </xf>
    <xf numFmtId="3" fontId="5" fillId="4" borderId="8" xfId="0" applyNumberFormat="1" applyFont="1" applyFill="1" applyBorder="1" applyAlignment="1" applyProtection="1">
      <alignment horizontal="center" vertical="center" wrapText="1" readingOrder="2"/>
      <protection hidden="1"/>
    </xf>
    <xf numFmtId="4" fontId="5" fillId="0" borderId="8" xfId="0" applyNumberFormat="1" applyFont="1" applyBorder="1" applyAlignment="1" applyProtection="1">
      <alignment horizontal="center" vertical="center"/>
      <protection hidden="1"/>
    </xf>
    <xf numFmtId="0" fontId="0" fillId="8" borderId="0" xfId="0" applyFill="1"/>
    <xf numFmtId="0" fontId="15" fillId="2" borderId="0" xfId="0" applyFont="1" applyFill="1" applyAlignment="1">
      <alignment vertical="center"/>
    </xf>
    <xf numFmtId="0" fontId="0" fillId="2" borderId="0" xfId="0" applyFill="1"/>
    <xf numFmtId="0" fontId="17" fillId="2" borderId="0" xfId="0" applyFont="1" applyFill="1" applyAlignment="1">
      <alignment horizontal="center" vertical="center"/>
    </xf>
    <xf numFmtId="0" fontId="17" fillId="2" borderId="0" xfId="0" applyFont="1" applyFill="1" applyAlignment="1">
      <alignment vertical="center"/>
    </xf>
    <xf numFmtId="0" fontId="17" fillId="8" borderId="0" xfId="0" applyFont="1" applyFill="1" applyAlignment="1">
      <alignment horizontal="center" vertical="center"/>
    </xf>
    <xf numFmtId="0" fontId="15" fillId="8" borderId="0" xfId="0" applyFont="1" applyFill="1" applyAlignment="1">
      <alignment horizontal="center" vertical="center"/>
    </xf>
    <xf numFmtId="0" fontId="15" fillId="2" borderId="0" xfId="0" applyFont="1" applyFill="1" applyAlignment="1">
      <alignment horizontal="center" vertical="center"/>
    </xf>
    <xf numFmtId="0" fontId="22" fillId="2" borderId="0" xfId="0" applyFont="1" applyFill="1" applyAlignment="1">
      <alignment horizontal="center" vertical="center"/>
    </xf>
    <xf numFmtId="0" fontId="22" fillId="2" borderId="0" xfId="0" applyFont="1" applyFill="1" applyAlignment="1">
      <alignment vertical="center" readingOrder="2"/>
    </xf>
    <xf numFmtId="0" fontId="22" fillId="2" borderId="0" xfId="0" applyFont="1" applyFill="1" applyAlignment="1">
      <alignment horizontal="right" vertical="center" readingOrder="2"/>
    </xf>
    <xf numFmtId="0" fontId="15" fillId="0" borderId="0" xfId="0" applyFont="1" applyAlignment="1">
      <alignment horizontal="center" vertical="center"/>
    </xf>
    <xf numFmtId="0" fontId="15" fillId="2" borderId="0" xfId="0" applyFont="1" applyFill="1" applyAlignment="1">
      <alignment horizontal="left" vertical="center"/>
    </xf>
    <xf numFmtId="0" fontId="23" fillId="9" borderId="61" xfId="0" applyFont="1" applyFill="1" applyBorder="1" applyAlignment="1">
      <alignment horizontal="right" vertical="center"/>
    </xf>
    <xf numFmtId="0" fontId="24" fillId="9" borderId="60" xfId="0" applyFont="1" applyFill="1" applyBorder="1" applyAlignment="1">
      <alignment horizontal="right" vertical="center" readingOrder="2"/>
    </xf>
    <xf numFmtId="0" fontId="22" fillId="2" borderId="0" xfId="0" applyFont="1" applyFill="1" applyAlignment="1">
      <alignment horizontal="right" vertical="center" indent="6" readingOrder="2"/>
    </xf>
    <xf numFmtId="0" fontId="22" fillId="2" borderId="59" xfId="0" applyFont="1" applyFill="1" applyBorder="1" applyAlignment="1">
      <alignment horizontal="right" vertical="center" readingOrder="2"/>
    </xf>
    <xf numFmtId="0" fontId="25" fillId="2" borderId="0" xfId="0" applyFont="1" applyFill="1" applyAlignment="1">
      <alignment horizontal="right" vertical="center" indent="6" readingOrder="2"/>
    </xf>
    <xf numFmtId="0" fontId="26" fillId="2" borderId="59" xfId="0" applyFont="1" applyFill="1" applyBorder="1" applyAlignment="1">
      <alignment horizontal="right" vertical="center" wrapText="1"/>
    </xf>
    <xf numFmtId="0" fontId="26" fillId="2" borderId="0" xfId="0" applyFont="1" applyFill="1" applyAlignment="1">
      <alignment horizontal="right" vertical="center" wrapText="1"/>
    </xf>
    <xf numFmtId="0" fontId="26" fillId="2" borderId="60" xfId="0" applyFont="1" applyFill="1" applyBorder="1" applyAlignment="1">
      <alignment horizontal="right" vertical="center" wrapText="1"/>
    </xf>
    <xf numFmtId="0" fontId="17" fillId="2" borderId="0" xfId="0" applyFont="1" applyFill="1" applyAlignment="1">
      <alignment horizontal="center" vertical="center"/>
    </xf>
    <xf numFmtId="0" fontId="17" fillId="6" borderId="0" xfId="0" applyFont="1" applyFill="1" applyAlignment="1">
      <alignment horizontal="center" vertical="center"/>
    </xf>
    <xf numFmtId="1" fontId="9" fillId="2" borderId="13" xfId="0" applyNumberFormat="1" applyFont="1" applyFill="1" applyBorder="1" applyAlignment="1" applyProtection="1">
      <alignment horizontal="center" vertical="center" wrapText="1" readingOrder="2"/>
      <protection locked="0"/>
    </xf>
    <xf numFmtId="1" fontId="9" fillId="2" borderId="14" xfId="0" applyNumberFormat="1" applyFont="1" applyFill="1" applyBorder="1" applyAlignment="1" applyProtection="1">
      <alignment horizontal="center" vertical="center" wrapText="1" readingOrder="2"/>
      <protection locked="0"/>
    </xf>
    <xf numFmtId="1" fontId="5" fillId="4" borderId="16" xfId="0" applyNumberFormat="1" applyFont="1" applyFill="1" applyBorder="1" applyAlignment="1" applyProtection="1">
      <alignment horizontal="center" vertical="center" wrapText="1" readingOrder="2"/>
      <protection locked="0"/>
    </xf>
    <xf numFmtId="1" fontId="5" fillId="4" borderId="17" xfId="0" applyNumberFormat="1" applyFont="1" applyFill="1" applyBorder="1" applyAlignment="1" applyProtection="1">
      <alignment horizontal="center" vertical="center" wrapText="1" readingOrder="2"/>
      <protection locked="0"/>
    </xf>
    <xf numFmtId="1" fontId="6" fillId="2" borderId="7" xfId="0" applyNumberFormat="1" applyFont="1" applyFill="1" applyBorder="1" applyAlignment="1" applyProtection="1">
      <alignment horizontal="center" vertical="center" wrapText="1" readingOrder="2"/>
      <protection locked="0"/>
    </xf>
    <xf numFmtId="1" fontId="6" fillId="2" borderId="8" xfId="0" applyNumberFormat="1" applyFont="1" applyFill="1" applyBorder="1" applyAlignment="1" applyProtection="1">
      <alignment horizontal="center" vertical="center" wrapText="1" readingOrder="2"/>
      <protection locked="0"/>
    </xf>
    <xf numFmtId="1" fontId="6" fillId="2" borderId="9" xfId="0" applyNumberFormat="1" applyFont="1" applyFill="1" applyBorder="1" applyAlignment="1" applyProtection="1">
      <alignment horizontal="center" vertical="center" wrapText="1" readingOrder="2"/>
      <protection locked="0"/>
    </xf>
    <xf numFmtId="0" fontId="7" fillId="0" borderId="0" xfId="0" applyFont="1" applyAlignment="1" applyProtection="1">
      <alignment horizontal="center"/>
      <protection locked="0"/>
    </xf>
    <xf numFmtId="1" fontId="6" fillId="2" borderId="10" xfId="0" applyNumberFormat="1" applyFont="1" applyFill="1" applyBorder="1" applyAlignment="1" applyProtection="1">
      <alignment horizontal="center" vertical="center" wrapText="1" readingOrder="2"/>
      <protection locked="0"/>
    </xf>
    <xf numFmtId="1" fontId="6" fillId="2" borderId="11" xfId="0" applyNumberFormat="1" applyFont="1" applyFill="1" applyBorder="1" applyAlignment="1" applyProtection="1">
      <alignment horizontal="center" vertical="center" wrapText="1" readingOrder="2"/>
      <protection locked="0"/>
    </xf>
    <xf numFmtId="1" fontId="6" fillId="2" borderId="12" xfId="0" applyNumberFormat="1" applyFont="1" applyFill="1" applyBorder="1" applyAlignment="1" applyProtection="1">
      <alignment horizontal="center" vertical="center" wrapText="1" readingOrder="2"/>
      <protection locked="0"/>
    </xf>
    <xf numFmtId="1" fontId="5" fillId="7" borderId="16" xfId="0" applyNumberFormat="1" applyFont="1" applyFill="1" applyBorder="1" applyAlignment="1" applyProtection="1">
      <alignment horizontal="center" vertical="center" wrapText="1" readingOrder="2"/>
      <protection locked="0"/>
    </xf>
    <xf numFmtId="1" fontId="5" fillId="7" borderId="17" xfId="0" applyNumberFormat="1" applyFont="1" applyFill="1" applyBorder="1" applyAlignment="1" applyProtection="1">
      <alignment horizontal="center" vertical="center" wrapText="1" readingOrder="2"/>
      <protection locked="0"/>
    </xf>
    <xf numFmtId="0" fontId="6" fillId="2" borderId="0" xfId="0" applyFont="1" applyFill="1" applyAlignment="1" applyProtection="1">
      <alignment horizontal="center" vertical="center"/>
      <protection locked="0"/>
    </xf>
    <xf numFmtId="4" fontId="12" fillId="3" borderId="30" xfId="1" applyNumberFormat="1" applyFont="1" applyFill="1" applyBorder="1" applyAlignment="1" applyProtection="1">
      <alignment horizontal="center" vertical="center" readingOrder="2"/>
      <protection locked="0"/>
    </xf>
    <xf numFmtId="4" fontId="12" fillId="3" borderId="34" xfId="1" applyNumberFormat="1" applyFont="1" applyFill="1" applyBorder="1" applyAlignment="1" applyProtection="1">
      <alignment horizontal="center" vertical="center" readingOrder="2"/>
      <protection locked="0"/>
    </xf>
    <xf numFmtId="1" fontId="9" fillId="2" borderId="7" xfId="0" applyNumberFormat="1" applyFont="1" applyFill="1" applyBorder="1" applyAlignment="1" applyProtection="1">
      <alignment horizontal="center" vertical="center" wrapText="1" readingOrder="2"/>
      <protection locked="0"/>
    </xf>
    <xf numFmtId="1" fontId="9" fillId="2" borderId="8" xfId="0" applyNumberFormat="1" applyFont="1" applyFill="1" applyBorder="1" applyAlignment="1" applyProtection="1">
      <alignment horizontal="center" vertical="center" wrapText="1" readingOrder="2"/>
      <protection locked="0"/>
    </xf>
    <xf numFmtId="1" fontId="6" fillId="2" borderId="19" xfId="0" applyNumberFormat="1" applyFont="1" applyFill="1" applyBorder="1" applyAlignment="1" applyProtection="1">
      <alignment horizontal="center" vertical="center" wrapText="1" readingOrder="2"/>
      <protection locked="0"/>
    </xf>
    <xf numFmtId="1" fontId="6" fillId="2" borderId="20" xfId="0" applyNumberFormat="1" applyFont="1" applyFill="1" applyBorder="1" applyAlignment="1" applyProtection="1">
      <alignment horizontal="center" vertical="center" wrapText="1" readingOrder="2"/>
      <protection locked="0"/>
    </xf>
    <xf numFmtId="1" fontId="6" fillId="2" borderId="21" xfId="0" applyNumberFormat="1" applyFont="1" applyFill="1" applyBorder="1" applyAlignment="1" applyProtection="1">
      <alignment horizontal="center" vertical="center" wrapText="1" readingOrder="2"/>
      <protection locked="0"/>
    </xf>
    <xf numFmtId="1" fontId="10" fillId="4" borderId="23" xfId="0" applyNumberFormat="1" applyFont="1" applyFill="1" applyBorder="1" applyAlignment="1" applyProtection="1">
      <alignment horizontal="center" vertical="center" wrapText="1" readingOrder="2"/>
      <protection locked="0"/>
    </xf>
    <xf numFmtId="1" fontId="10" fillId="4" borderId="0" xfId="0" applyNumberFormat="1" applyFont="1" applyFill="1" applyAlignment="1" applyProtection="1">
      <alignment horizontal="center" vertical="center" wrapText="1" readingOrder="2"/>
      <protection locked="0"/>
    </xf>
    <xf numFmtId="1" fontId="10" fillId="4" borderId="1" xfId="0" applyNumberFormat="1" applyFont="1" applyFill="1" applyBorder="1" applyAlignment="1" applyProtection="1">
      <alignment horizontal="center" vertical="center" wrapText="1" readingOrder="2"/>
      <protection locked="0"/>
    </xf>
    <xf numFmtId="1" fontId="10" fillId="4" borderId="22" xfId="0" applyNumberFormat="1" applyFont="1" applyFill="1" applyBorder="1" applyAlignment="1" applyProtection="1">
      <alignment horizontal="center" vertical="center" wrapText="1" readingOrder="2"/>
      <protection locked="0"/>
    </xf>
    <xf numFmtId="1" fontId="10" fillId="4" borderId="24" xfId="0" applyNumberFormat="1" applyFont="1" applyFill="1" applyBorder="1" applyAlignment="1" applyProtection="1">
      <alignment horizontal="center" vertical="center" wrapText="1" readingOrder="2"/>
      <protection locked="0"/>
    </xf>
    <xf numFmtId="1" fontId="10" fillId="4" borderId="25" xfId="0" applyNumberFormat="1" applyFont="1" applyFill="1" applyBorder="1" applyAlignment="1" applyProtection="1">
      <alignment horizontal="center" vertical="center" wrapText="1" readingOrder="2"/>
      <protection locked="0"/>
    </xf>
    <xf numFmtId="1" fontId="10" fillId="4" borderId="29" xfId="0" applyNumberFormat="1" applyFont="1" applyFill="1" applyBorder="1" applyAlignment="1" applyProtection="1">
      <alignment horizontal="center" vertical="center" wrapText="1" readingOrder="2"/>
      <protection locked="0"/>
    </xf>
    <xf numFmtId="0" fontId="6" fillId="2" borderId="16" xfId="0" applyFont="1" applyFill="1" applyBorder="1" applyAlignment="1" applyProtection="1">
      <alignment horizontal="center" vertical="center"/>
      <protection locked="0"/>
    </xf>
    <xf numFmtId="0" fontId="6" fillId="2" borderId="18" xfId="0" applyFont="1" applyFill="1" applyBorder="1" applyAlignment="1" applyProtection="1">
      <alignment horizontal="center" vertical="center"/>
      <protection locked="0"/>
    </xf>
    <xf numFmtId="0" fontId="6" fillId="2" borderId="17" xfId="0" applyFont="1" applyFill="1" applyBorder="1" applyAlignment="1" applyProtection="1">
      <alignment horizontal="center" vertical="center"/>
      <protection locked="0"/>
    </xf>
    <xf numFmtId="0" fontId="6" fillId="2" borderId="7" xfId="0" applyFont="1" applyFill="1" applyBorder="1" applyAlignment="1" applyProtection="1">
      <alignment horizontal="center" vertical="center"/>
      <protection locked="0"/>
    </xf>
    <xf numFmtId="0" fontId="6" fillId="2" borderId="9" xfId="0" applyFont="1" applyFill="1" applyBorder="1" applyAlignment="1" applyProtection="1">
      <alignment horizontal="center" vertical="center"/>
      <protection locked="0"/>
    </xf>
    <xf numFmtId="1" fontId="9" fillId="2" borderId="7" xfId="0" applyNumberFormat="1" applyFont="1" applyFill="1" applyBorder="1" applyAlignment="1">
      <alignment horizontal="center" vertical="center" wrapText="1" readingOrder="2"/>
    </xf>
    <xf numFmtId="1" fontId="9" fillId="2" borderId="8" xfId="0" applyNumberFormat="1" applyFont="1" applyFill="1" applyBorder="1" applyAlignment="1">
      <alignment horizontal="center" vertical="center" wrapText="1" readingOrder="2"/>
    </xf>
    <xf numFmtId="1" fontId="9" fillId="2" borderId="16" xfId="0" applyNumberFormat="1" applyFont="1" applyFill="1" applyBorder="1" applyAlignment="1">
      <alignment horizontal="center" vertical="center" wrapText="1" readingOrder="2"/>
    </xf>
    <xf numFmtId="1" fontId="9" fillId="2" borderId="17" xfId="0" applyNumberFormat="1" applyFont="1" applyFill="1" applyBorder="1" applyAlignment="1">
      <alignment horizontal="center" vertical="center" wrapText="1" readingOrder="2"/>
    </xf>
    <xf numFmtId="1" fontId="9" fillId="2" borderId="18" xfId="0" applyNumberFormat="1" applyFont="1" applyFill="1" applyBorder="1" applyAlignment="1">
      <alignment horizontal="center" vertical="center" wrapText="1" readingOrder="2"/>
    </xf>
    <xf numFmtId="0" fontId="17" fillId="4" borderId="7" xfId="0" applyFont="1" applyFill="1" applyBorder="1" applyAlignment="1">
      <alignment horizontal="center" vertical="center"/>
    </xf>
    <xf numFmtId="0" fontId="17" fillId="4" borderId="10" xfId="0" applyFont="1" applyFill="1" applyBorder="1" applyAlignment="1">
      <alignment horizontal="center" vertical="center"/>
    </xf>
    <xf numFmtId="0" fontId="18" fillId="5" borderId="8" xfId="0" applyFont="1" applyFill="1" applyBorder="1" applyAlignment="1">
      <alignment horizontal="center" vertical="center"/>
    </xf>
    <xf numFmtId="0" fontId="18" fillId="5" borderId="9" xfId="0" applyFont="1" applyFill="1" applyBorder="1" applyAlignment="1">
      <alignment horizontal="center" vertical="center"/>
    </xf>
    <xf numFmtId="0" fontId="17" fillId="6" borderId="20" xfId="0" applyFont="1" applyFill="1" applyBorder="1" applyAlignment="1">
      <alignment horizontal="center" vertical="top"/>
    </xf>
    <xf numFmtId="0" fontId="17" fillId="6" borderId="53" xfId="0" applyFont="1" applyFill="1" applyBorder="1" applyAlignment="1">
      <alignment horizontal="center" vertical="top"/>
    </xf>
    <xf numFmtId="0" fontId="17" fillId="6" borderId="0" xfId="0" applyFont="1" applyFill="1" applyAlignment="1">
      <alignment horizontal="center" vertical="top"/>
    </xf>
    <xf numFmtId="0" fontId="17" fillId="6" borderId="52" xfId="0" applyFont="1" applyFill="1" applyBorder="1" applyAlignment="1">
      <alignment horizontal="center" vertical="top"/>
    </xf>
    <xf numFmtId="0" fontId="17" fillId="6" borderId="55" xfId="0" applyFont="1" applyFill="1" applyBorder="1" applyAlignment="1">
      <alignment horizontal="center" vertical="top"/>
    </xf>
    <xf numFmtId="0" fontId="17" fillId="6" borderId="54" xfId="0" applyFont="1" applyFill="1" applyBorder="1" applyAlignment="1">
      <alignment horizontal="center" vertical="top"/>
    </xf>
    <xf numFmtId="0" fontId="17" fillId="4" borderId="56" xfId="0" applyFont="1" applyFill="1" applyBorder="1" applyAlignment="1">
      <alignment horizontal="center" vertical="center"/>
    </xf>
    <xf numFmtId="0" fontId="17" fillId="4" borderId="57" xfId="0" applyFont="1" applyFill="1" applyBorder="1" applyAlignment="1">
      <alignment horizontal="center" vertical="center"/>
    </xf>
    <xf numFmtId="0" fontId="17" fillId="4" borderId="58" xfId="0" applyFont="1" applyFill="1" applyBorder="1" applyAlignment="1">
      <alignment horizontal="center" vertical="center"/>
    </xf>
    <xf numFmtId="0" fontId="17" fillId="6" borderId="11" xfId="0" applyFont="1" applyFill="1" applyBorder="1" applyAlignment="1">
      <alignment horizontal="center" vertical="top"/>
    </xf>
    <xf numFmtId="0" fontId="17" fillId="6" borderId="12" xfId="0" applyFont="1" applyFill="1" applyBorder="1" applyAlignment="1">
      <alignment horizontal="center" vertical="top"/>
    </xf>
    <xf numFmtId="0" fontId="17" fillId="6" borderId="14" xfId="0" applyFont="1" applyFill="1" applyBorder="1" applyAlignment="1">
      <alignment horizontal="center" vertical="top"/>
    </xf>
    <xf numFmtId="0" fontId="17" fillId="6" borderId="15" xfId="0" applyFont="1" applyFill="1" applyBorder="1" applyAlignment="1">
      <alignment horizontal="center" vertical="top"/>
    </xf>
    <xf numFmtId="0" fontId="27" fillId="0" borderId="62" xfId="0" applyFont="1" applyBorder="1" applyAlignment="1">
      <alignment horizontal="center" vertical="center" readingOrder="1"/>
    </xf>
    <xf numFmtId="0" fontId="27" fillId="10" borderId="2" xfId="0" applyFont="1" applyFill="1" applyBorder="1" applyAlignment="1">
      <alignment horizontal="center" vertical="center" readingOrder="1"/>
    </xf>
    <xf numFmtId="0" fontId="27" fillId="0" borderId="62" xfId="0" applyFont="1" applyBorder="1" applyAlignment="1">
      <alignment horizontal="center" vertical="center" readingOrder="2"/>
    </xf>
    <xf numFmtId="0" fontId="27" fillId="10" borderId="2" xfId="0" applyFont="1" applyFill="1" applyBorder="1" applyAlignment="1">
      <alignment horizontal="center" vertical="center" readingOrder="2"/>
    </xf>
  </cellXfs>
  <cellStyles count="4">
    <cellStyle name="Comma" xfId="1" builtinId="3"/>
    <cellStyle name="Currency" xfId="3" builtinId="4"/>
    <cellStyle name="Normal" xfId="0" builtinId="0"/>
    <cellStyle name="Percent" xfId="2" builtinId="5"/>
  </cellStyles>
  <dxfs count="179">
    <dxf>
      <fill>
        <patternFill>
          <bgColor rgb="FFFFC000"/>
        </patternFill>
      </fill>
    </dxf>
    <dxf>
      <fill>
        <patternFill>
          <bgColor rgb="FFFF0000"/>
        </patternFill>
      </fill>
    </dxf>
    <dxf>
      <font>
        <color rgb="FF9C0006"/>
      </font>
    </dxf>
    <dxf>
      <fill>
        <patternFill>
          <bgColor rgb="FF00B050"/>
        </patternFill>
      </fill>
    </dxf>
    <dxf>
      <fill>
        <patternFill>
          <bgColor rgb="FFFFC000"/>
        </patternFill>
      </fill>
    </dxf>
    <dxf>
      <fill>
        <patternFill>
          <bgColor rgb="FFFF0000"/>
        </patternFill>
      </fill>
    </dxf>
    <dxf>
      <font>
        <color rgb="FFFF0000"/>
      </font>
      <fill>
        <patternFill patternType="none">
          <bgColor auto="1"/>
        </patternFill>
      </fill>
    </dxf>
    <dxf>
      <font>
        <color rgb="FF00B050"/>
      </font>
      <fill>
        <patternFill patternType="none">
          <bgColor auto="1"/>
        </patternFill>
      </fill>
    </dxf>
    <dxf>
      <font>
        <color auto="1"/>
      </font>
      <fill>
        <patternFill>
          <fgColor auto="1"/>
          <bgColor rgb="FF00B050"/>
        </patternFill>
      </fill>
    </dxf>
    <dxf>
      <fill>
        <patternFill>
          <bgColor theme="0" tint="-0.14996795556505021"/>
        </patternFill>
      </fill>
    </dxf>
    <dxf>
      <fill>
        <patternFill>
          <bgColor rgb="FF00B050"/>
        </patternFill>
      </fill>
    </dxf>
    <dxf>
      <fill>
        <patternFill>
          <bgColor rgb="FFFFC000"/>
        </patternFill>
      </fill>
    </dxf>
    <dxf>
      <fill>
        <patternFill>
          <bgColor rgb="FFFFFF00"/>
        </patternFill>
      </fill>
    </dxf>
    <dxf>
      <fill>
        <patternFill>
          <bgColor rgb="FFC00000"/>
        </patternFill>
      </fill>
    </dxf>
    <dxf>
      <fill>
        <patternFill>
          <bgColor rgb="FF00B050"/>
        </patternFill>
      </fill>
    </dxf>
    <dxf>
      <fill>
        <patternFill>
          <bgColor rgb="FFFFC000"/>
        </patternFill>
      </fill>
    </dxf>
    <dxf>
      <fill>
        <patternFill>
          <bgColor rgb="FFFF0000"/>
        </patternFill>
      </fill>
    </dxf>
    <dxf>
      <font>
        <strike val="0"/>
        <outline val="0"/>
        <shadow val="0"/>
        <u val="none"/>
        <vertAlign val="baseline"/>
        <sz val="14"/>
        <color theme="1"/>
        <name val="Sakkal Majalla"/>
        <scheme val="none"/>
      </font>
      <alignment horizontal="center" vertical="center" textRotation="0" indent="0" justifyLastLine="0" shrinkToFit="0"/>
      <border diagonalUp="0" diagonalDown="0">
        <left/>
        <right/>
        <top style="thick">
          <color theme="0" tint="-0.14993743705557422"/>
        </top>
        <bottom style="thick">
          <color theme="0" tint="-0.14993743705557422"/>
        </bottom>
        <vertical/>
        <horizontal style="thick">
          <color theme="0" tint="-0.14993743705557422"/>
        </horizontal>
      </border>
      <protection locked="0" hidden="0"/>
    </dxf>
    <dxf>
      <font>
        <b val="0"/>
        <i val="0"/>
        <strike val="0"/>
        <condense val="0"/>
        <extend val="0"/>
        <outline val="0"/>
        <shadow val="0"/>
        <u val="none"/>
        <vertAlign val="baseline"/>
        <sz val="14"/>
        <color theme="1"/>
        <name val="Sakkal Majalla"/>
        <scheme val="none"/>
      </font>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right/>
        <top style="thick">
          <color theme="0" tint="-0.14993743705557422"/>
        </top>
        <bottom style="thick">
          <color theme="0" tint="-0.14993743705557422"/>
        </bottom>
        <vertical/>
        <horizontal style="thick">
          <color theme="0" tint="-0.14993743705557422"/>
        </horizontal>
      </border>
      <protection locked="0" hidden="0"/>
    </dxf>
    <dxf>
      <font>
        <b/>
        <i val="0"/>
        <strike val="0"/>
        <condense val="0"/>
        <extend val="0"/>
        <outline val="0"/>
        <shadow val="0"/>
        <u val="none"/>
        <vertAlign val="baseline"/>
        <sz val="14"/>
        <color theme="1"/>
        <name val="Sakkal Majalla"/>
        <scheme val="none"/>
      </font>
      <numFmt numFmtId="1" formatCode="0"/>
      <fill>
        <patternFill patternType="solid">
          <fgColor indexed="64"/>
          <bgColor theme="0" tint="-0.14999847407452621"/>
        </patternFill>
      </fill>
      <alignment horizontal="general" vertical="center" textRotation="0" wrapText="1" indent="0" justifyLastLine="0" shrinkToFit="0" readingOrder="2"/>
      <border diagonalUp="0" diagonalDown="0" outline="0">
        <left/>
        <right style="thin">
          <color indexed="64"/>
        </right>
        <top/>
        <bottom style="thin">
          <color indexed="64"/>
        </bottom>
      </border>
      <protection locked="0" hidden="0"/>
    </dxf>
    <dxf>
      <border outline="0">
        <top style="thin">
          <color indexed="64"/>
        </top>
      </border>
    </dxf>
    <dxf>
      <border outline="0">
        <left style="thin">
          <color indexed="64"/>
        </left>
        <top style="thin">
          <color indexed="64"/>
        </top>
        <bottom style="thin">
          <color indexed="64"/>
        </bottom>
      </border>
    </dxf>
    <dxf>
      <font>
        <strike val="0"/>
        <outline val="0"/>
        <shadow val="0"/>
        <u val="none"/>
        <vertAlign val="baseline"/>
        <sz val="14"/>
        <color theme="1"/>
        <name val="Sakkal Majalla"/>
        <scheme val="none"/>
      </font>
      <alignment horizontal="center" vertical="center" textRotation="0" indent="0" justifyLastLine="0" shrinkToFit="0"/>
      <protection locked="0" hidden="0"/>
    </dxf>
    <dxf>
      <border outline="0">
        <bottom style="thin">
          <color indexed="64"/>
        </bottom>
      </border>
    </dxf>
    <dxf>
      <font>
        <strike val="0"/>
        <outline val="0"/>
        <shadow val="0"/>
        <u val="none"/>
        <vertAlign val="baseline"/>
        <sz val="14"/>
        <color theme="1"/>
        <name val="Sakkal Majalla"/>
        <scheme val="none"/>
      </font>
      <alignment horizontal="center" vertical="center" textRotation="0" indent="0" justifyLastLine="0" shrinkToFit="0"/>
      <protection locked="0" hidden="0"/>
    </dxf>
    <dxf>
      <font>
        <b val="0"/>
        <i val="0"/>
        <strike val="0"/>
        <condense val="0"/>
        <extend val="0"/>
        <outline val="0"/>
        <shadow val="0"/>
        <u val="none"/>
        <vertAlign val="baseline"/>
        <sz val="14"/>
        <color rgb="FF000000"/>
        <name val="Sakkal Majalla"/>
        <scheme val="none"/>
      </font>
      <numFmt numFmtId="4" formatCode="#,##0.00"/>
      <fill>
        <patternFill patternType="solid">
          <fgColor indexed="64"/>
          <bgColor theme="0" tint="-4.9989318521683403E-2"/>
        </patternFill>
      </fill>
      <alignment horizontal="center" vertical="center" textRotation="0" wrapText="0" indent="0" justifyLastLine="0" shrinkToFit="0" readingOrder="2"/>
      <border diagonalUp="0" diagonalDown="0">
        <left/>
        <right style="thick">
          <color theme="0" tint="-0.14993743705557422"/>
        </right>
        <top style="thick">
          <color theme="0" tint="-0.14993743705557422"/>
        </top>
        <bottom style="thick">
          <color theme="0" tint="-0.14993743705557422"/>
        </bottom>
        <vertical/>
        <horizontal/>
      </border>
      <protection locked="0" hidden="0"/>
    </dxf>
    <dxf>
      <font>
        <b val="0"/>
        <i val="0"/>
        <strike val="0"/>
        <condense val="0"/>
        <extend val="0"/>
        <outline val="0"/>
        <shadow val="0"/>
        <u val="none"/>
        <vertAlign val="baseline"/>
        <sz val="14"/>
        <color theme="1"/>
        <name val="Sakkal Majalla"/>
        <scheme val="none"/>
      </font>
      <numFmt numFmtId="4" formatCode="#,##0.00"/>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164" formatCode="_-* #,##0.00\ [$ر.س.‏-401]_-;\-* #,##0.00\ [$ر.س.‏-401]_-;_-* &quot;-&quot;??\ [$ر.س.‏-401]_-;_-@_-"/>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13" formatCode="0%"/>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0" formatCode="Genera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border>
        <top style="thick">
          <color theme="0" tint="-0.14996795556505021"/>
        </top>
      </border>
    </dxf>
    <dxf>
      <border diagonalUp="0" diagonalDown="0">
        <left style="thick">
          <color theme="0" tint="-0.14996795556505021"/>
        </left>
        <right style="thick">
          <color theme="0" tint="-0.14996795556505021"/>
        </right>
        <top style="thick">
          <color theme="0" tint="-0.14996795556505021"/>
        </top>
        <bottom style="thick">
          <color theme="0" tint="-0.14996795556505021"/>
        </bottom>
      </border>
    </dxf>
    <dxf>
      <font>
        <b val="0"/>
        <i val="0"/>
        <strike val="0"/>
        <condense val="0"/>
        <extend val="0"/>
        <outline val="0"/>
        <shadow val="0"/>
        <u val="none"/>
        <vertAlign val="baseline"/>
        <sz val="14"/>
        <color theme="1"/>
        <name val="Sakkal Majalla"/>
        <scheme val="none"/>
      </font>
      <numFmt numFmtId="1" formatCode="0"/>
      <alignment horizontal="center" vertical="center" textRotation="0" wrapText="1" indent="0" justifyLastLine="0" shrinkToFit="0" readingOrder="2"/>
      <protection locked="0" hidden="0"/>
    </dxf>
    <dxf>
      <border>
        <bottom style="thick">
          <color theme="0" tint="-0.14996795556505021"/>
        </bottom>
      </border>
    </dxf>
    <dxf>
      <font>
        <b/>
        <i val="0"/>
        <strike val="0"/>
        <condense val="0"/>
        <extend val="0"/>
        <outline val="0"/>
        <shadow val="0"/>
        <u val="none"/>
        <vertAlign val="baseline"/>
        <sz val="14"/>
        <color theme="0"/>
        <name val="Sakkal Majalla"/>
        <scheme val="none"/>
      </font>
      <numFmt numFmtId="1" formatCode="0"/>
      <fill>
        <patternFill patternType="solid">
          <fgColor indexed="64"/>
          <bgColor rgb="FF005257"/>
        </patternFill>
      </fill>
      <alignment horizontal="center" vertical="center" textRotation="0" wrapText="1" indent="0" justifyLastLine="0" shrinkToFit="0" readingOrder="2"/>
      <border diagonalUp="0" diagonalDown="0">
        <left style="thin">
          <color indexed="64"/>
        </left>
        <right style="thin">
          <color indexed="64"/>
        </right>
        <top/>
        <bottom/>
      </border>
      <protection locked="0" hidden="0"/>
    </dxf>
    <dxf>
      <font>
        <b val="0"/>
        <i val="0"/>
        <strike val="0"/>
        <condense val="0"/>
        <extend val="0"/>
        <outline val="0"/>
        <shadow val="0"/>
        <u val="none"/>
        <vertAlign val="baseline"/>
        <sz val="14"/>
        <color theme="1"/>
        <name val="Sakkal Majalla"/>
        <scheme val="none"/>
      </font>
      <numFmt numFmtId="13" formatCode="0%"/>
      <alignment horizontal="center" vertical="bottom" textRotation="0" wrapText="0" indent="0" justifyLastLine="0" shrinkToFit="0" readingOrder="0"/>
      <border diagonalUp="0" diagonalDown="0">
        <left/>
        <right/>
        <top style="thick">
          <color theme="0" tint="-0.14996795556505021"/>
        </top>
        <bottom style="thick">
          <color theme="0" tint="-0.14996795556505021"/>
        </bottom>
        <vertical/>
        <horizontal style="thick">
          <color theme="0" tint="-0.14996795556505021"/>
        </horizontal>
      </border>
      <protection locked="0" hidden="0"/>
    </dxf>
    <dxf>
      <font>
        <b val="0"/>
        <i val="0"/>
        <strike val="0"/>
        <condense val="0"/>
        <extend val="0"/>
        <outline val="0"/>
        <shadow val="0"/>
        <u val="none"/>
        <vertAlign val="baseline"/>
        <sz val="14"/>
        <color theme="1"/>
        <name val="Sakkal Majalla"/>
        <scheme val="none"/>
      </font>
      <numFmt numFmtId="0" formatCode="General"/>
      <alignment horizontal="center" vertical="bottom" textRotation="0" wrapText="0" indent="0" justifyLastLine="0" shrinkToFit="0" readingOrder="0"/>
      <border diagonalUp="0" diagonalDown="0">
        <left/>
        <right/>
        <top style="thick">
          <color theme="0" tint="-0.14996795556505021"/>
        </top>
        <bottom style="thick">
          <color theme="0" tint="-0.14996795556505021"/>
        </bottom>
        <vertical/>
        <horizontal style="thick">
          <color theme="0" tint="-0.14996795556505021"/>
        </horizontal>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vertical/>
        <horizontal style="thick">
          <color theme="0" tint="-0.14996795556505021"/>
        </horizontal>
      </border>
      <protection locked="0" hidden="0"/>
    </dxf>
    <dxf>
      <border>
        <top style="thick">
          <color theme="0" tint="-0.14996795556505021"/>
        </top>
      </border>
    </dxf>
    <dxf>
      <border diagonalUp="0" diagonalDown="0">
        <left style="thick">
          <color theme="0" tint="-0.14996795556505021"/>
        </left>
        <right style="thick">
          <color theme="0" tint="-0.14996795556505021"/>
        </right>
        <top style="thick">
          <color theme="0" tint="-0.14996795556505021"/>
        </top>
        <bottom style="thick">
          <color theme="0" tint="-0.14996795556505021"/>
        </bottom>
      </border>
    </dxf>
    <dxf>
      <font>
        <strike val="0"/>
        <outline val="0"/>
        <shadow val="0"/>
        <u val="none"/>
        <vertAlign val="baseline"/>
        <sz val="14"/>
        <name val="Sakkal Majalla"/>
        <scheme val="none"/>
      </font>
      <numFmt numFmtId="1" formatCode="0"/>
      <protection locked="0" hidden="0"/>
    </dxf>
    <dxf>
      <border>
        <bottom style="thick">
          <color theme="0" tint="-0.14996795556505021"/>
        </bottom>
      </border>
    </dxf>
    <dxf>
      <font>
        <b/>
        <i val="0"/>
        <strike val="0"/>
        <condense val="0"/>
        <extend val="0"/>
        <outline val="0"/>
        <shadow val="0"/>
        <u val="none"/>
        <vertAlign val="baseline"/>
        <sz val="14"/>
        <color theme="0"/>
        <name val="Sakkal Majalla"/>
        <scheme val="none"/>
      </font>
      <numFmt numFmtId="1" formatCode="0"/>
      <fill>
        <patternFill patternType="solid">
          <fgColor indexed="64"/>
          <bgColor rgb="FF005257"/>
        </patternFill>
      </fill>
      <alignment horizontal="center" vertical="center" textRotation="0" wrapText="1" indent="0" justifyLastLine="0" shrinkToFit="0" readingOrder="2"/>
      <border diagonalUp="0" diagonalDown="0">
        <left style="thin">
          <color indexed="64"/>
        </left>
        <right style="thin">
          <color indexed="64"/>
        </right>
        <top/>
        <bottom/>
      </border>
      <protection locked="0" hidden="0"/>
    </dxf>
    <dxf>
      <font>
        <b val="0"/>
        <i val="0"/>
        <strike val="0"/>
        <condense val="0"/>
        <extend val="0"/>
        <outline val="0"/>
        <shadow val="0"/>
        <u val="none"/>
        <vertAlign val="baseline"/>
        <sz val="14"/>
        <color rgb="FF000000"/>
        <name val="Sakkal Majalla"/>
        <scheme val="none"/>
      </font>
      <numFmt numFmtId="4" formatCode="#,##0.00"/>
      <fill>
        <patternFill patternType="solid">
          <fgColor indexed="64"/>
          <bgColor theme="0" tint="-4.9989318521683403E-2"/>
        </patternFill>
      </fill>
      <alignment horizontal="center" vertical="center" textRotation="0" wrapText="0" indent="0" justifyLastLine="0" shrinkToFit="0" readingOrder="2"/>
      <border diagonalUp="0" diagonalDown="0">
        <left/>
        <right style="thick">
          <color theme="0" tint="-0.14993743705557422"/>
        </right>
        <top style="thick">
          <color theme="0" tint="-0.14993743705557422"/>
        </top>
        <bottom style="thick">
          <color theme="0" tint="-0.14993743705557422"/>
        </bottom>
        <vertical/>
        <horizontal/>
      </border>
      <protection locked="0" hidden="0"/>
    </dxf>
    <dxf>
      <font>
        <b val="0"/>
        <i val="0"/>
        <strike val="0"/>
        <condense val="0"/>
        <extend val="0"/>
        <outline val="0"/>
        <shadow val="0"/>
        <u val="none"/>
        <vertAlign val="baseline"/>
        <sz val="14"/>
        <color theme="1"/>
        <name val="Sakkal Majalla"/>
        <scheme val="none"/>
      </font>
      <numFmt numFmtId="164" formatCode="_-* #,##0.00\ [$ر.س.‏-401]_-;\-* #,##0.00\ [$ر.س.‏-401]_-;_-* &quot;-&quot;??\ [$ر.س.‏-401]_-;_-@_-"/>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164" formatCode="_-* #,##0.00\ [$ر.س.‏-401]_-;\-* #,##0.00\ [$ر.س.‏-401]_-;_-* &quot;-&quot;??\ [$ر.س.‏-401]_-;_-@_-"/>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13" formatCode="0%"/>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0" formatCode="Genera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border>
        <top style="thick">
          <color theme="0" tint="-0.14996795556505021"/>
        </top>
      </border>
    </dxf>
    <dxf>
      <border diagonalUp="0" diagonalDown="0">
        <left style="thick">
          <color theme="0" tint="-0.14996795556505021"/>
        </left>
        <right style="thick">
          <color theme="0" tint="-0.14996795556505021"/>
        </right>
        <top style="thick">
          <color theme="0" tint="-0.14996795556505021"/>
        </top>
        <bottom style="thick">
          <color theme="0" tint="-0.14996795556505021"/>
        </bottom>
      </border>
    </dxf>
    <dxf>
      <font>
        <b val="0"/>
        <i val="0"/>
        <strike val="0"/>
        <condense val="0"/>
        <extend val="0"/>
        <outline val="0"/>
        <shadow val="0"/>
        <u val="none"/>
        <vertAlign val="baseline"/>
        <sz val="14"/>
        <color theme="1"/>
        <name val="Sakkal Majalla"/>
        <scheme val="none"/>
      </font>
      <numFmt numFmtId="1" formatCode="0"/>
      <alignment horizontal="center" vertical="center" textRotation="0" wrapText="1" indent="0" justifyLastLine="0" shrinkToFit="0" readingOrder="2"/>
      <protection locked="0" hidden="0"/>
    </dxf>
    <dxf>
      <border>
        <bottom style="thick">
          <color theme="0" tint="-0.14996795556505021"/>
        </bottom>
      </border>
    </dxf>
    <dxf>
      <font>
        <b/>
        <i val="0"/>
        <strike val="0"/>
        <condense val="0"/>
        <extend val="0"/>
        <outline val="0"/>
        <shadow val="0"/>
        <u val="none"/>
        <vertAlign val="baseline"/>
        <sz val="14"/>
        <color theme="0"/>
        <name val="Sakkal Majalla"/>
        <scheme val="none"/>
      </font>
      <numFmt numFmtId="1" formatCode="0"/>
      <fill>
        <patternFill patternType="solid">
          <fgColor indexed="64"/>
          <bgColor rgb="FF005257"/>
        </patternFill>
      </fill>
      <alignment horizontal="center" vertical="center" textRotation="0" wrapText="1" indent="0" justifyLastLine="0" shrinkToFit="0" readingOrder="2"/>
      <border diagonalUp="0" diagonalDown="0">
        <left style="thin">
          <color indexed="64"/>
        </left>
        <right style="thin">
          <color indexed="64"/>
        </right>
        <top/>
        <bottom/>
      </border>
      <protection locked="0" hidden="0"/>
    </dxf>
    <dxf>
      <font>
        <b val="0"/>
        <i val="0"/>
        <strike val="0"/>
        <condense val="0"/>
        <extend val="0"/>
        <outline val="0"/>
        <shadow val="0"/>
        <u val="none"/>
        <vertAlign val="baseline"/>
        <sz val="14"/>
        <color rgb="FF000000"/>
        <name val="Sakkal Majalla"/>
        <scheme val="none"/>
      </font>
      <numFmt numFmtId="4" formatCode="#,##0.00"/>
      <fill>
        <patternFill patternType="solid">
          <fgColor indexed="64"/>
          <bgColor theme="0" tint="-4.9989318521683403E-2"/>
        </patternFill>
      </fill>
      <alignment horizontal="center" vertical="center" textRotation="0" wrapText="0" indent="0" justifyLastLine="0" shrinkToFit="0" readingOrder="2"/>
      <border diagonalUp="0" diagonalDown="0">
        <left/>
        <right style="thick">
          <color theme="0" tint="-0.14993743705557422"/>
        </right>
        <top style="thick">
          <color theme="0" tint="-0.14993743705557422"/>
        </top>
        <bottom style="thick">
          <color theme="0" tint="-0.14993743705557422"/>
        </bottom>
        <vertical/>
        <horizontal/>
      </border>
      <protection locked="0" hidden="0"/>
    </dxf>
    <dxf>
      <font>
        <b val="0"/>
        <i val="0"/>
        <strike val="0"/>
        <condense val="0"/>
        <extend val="0"/>
        <outline val="0"/>
        <shadow val="0"/>
        <u val="none"/>
        <vertAlign val="baseline"/>
        <sz val="14"/>
        <color theme="1"/>
        <name val="Sakkal Majalla"/>
        <scheme val="none"/>
      </font>
      <numFmt numFmtId="164" formatCode="_-* #,##0.00\ [$ر.س.‏-401]_-;\-* #,##0.00\ [$ر.س.‏-401]_-;_-* &quot;-&quot;??\ [$ر.س.‏-401]_-;_-@_-"/>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164" formatCode="_-* #,##0.00\ [$ر.س.‏-401]_-;\-* #,##0.00\ [$ر.س.‏-401]_-;_-* &quot;-&quot;??\ [$ر.س.‏-401]_-;_-@_-"/>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13" formatCode="0%"/>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0" formatCode="Genera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border>
        <top style="thick">
          <color theme="0" tint="-0.14996795556505021"/>
        </top>
      </border>
    </dxf>
    <dxf>
      <border diagonalUp="0" diagonalDown="0">
        <left style="thick">
          <color theme="0" tint="-0.14996795556505021"/>
        </left>
        <right style="thick">
          <color theme="0" tint="-0.14996795556505021"/>
        </right>
        <top style="thick">
          <color theme="0" tint="-0.14996795556505021"/>
        </top>
        <bottom style="thick">
          <color theme="0" tint="-0.14996795556505021"/>
        </bottom>
      </border>
    </dxf>
    <dxf>
      <font>
        <b val="0"/>
        <i val="0"/>
        <strike val="0"/>
        <condense val="0"/>
        <extend val="0"/>
        <outline val="0"/>
        <shadow val="0"/>
        <u val="none"/>
        <vertAlign val="baseline"/>
        <sz val="14"/>
        <color theme="1"/>
        <name val="Sakkal Majalla"/>
        <scheme val="none"/>
      </font>
      <numFmt numFmtId="1" formatCode="0"/>
      <alignment horizontal="center" vertical="center" textRotation="0" wrapText="1" indent="0" justifyLastLine="0" shrinkToFit="0" readingOrder="2"/>
      <protection locked="0" hidden="0"/>
    </dxf>
    <dxf>
      <border>
        <bottom style="thick">
          <color theme="0" tint="-0.14996795556505021"/>
        </bottom>
      </border>
    </dxf>
    <dxf>
      <font>
        <b/>
        <i val="0"/>
        <strike val="0"/>
        <condense val="0"/>
        <extend val="0"/>
        <outline val="0"/>
        <shadow val="0"/>
        <u val="none"/>
        <vertAlign val="baseline"/>
        <sz val="14"/>
        <color theme="0"/>
        <name val="Sakkal Majalla"/>
        <scheme val="none"/>
      </font>
      <numFmt numFmtId="1" formatCode="0"/>
      <fill>
        <patternFill patternType="solid">
          <fgColor indexed="64"/>
          <bgColor rgb="FF005257"/>
        </patternFill>
      </fill>
      <alignment horizontal="center" vertical="center" textRotation="0" wrapText="1" indent="0" justifyLastLine="0" shrinkToFit="0" readingOrder="2"/>
      <border diagonalUp="0" diagonalDown="0">
        <left style="thin">
          <color indexed="64"/>
        </left>
        <right style="thin">
          <color indexed="64"/>
        </right>
        <top/>
        <bottom/>
      </border>
      <protection locked="0" hidden="0"/>
    </dxf>
    <dxf>
      <font>
        <b val="0"/>
        <i val="0"/>
        <strike val="0"/>
        <condense val="0"/>
        <extend val="0"/>
        <outline val="0"/>
        <shadow val="0"/>
        <u val="none"/>
        <vertAlign val="baseline"/>
        <sz val="14"/>
        <color rgb="FF000000"/>
        <name val="Sakkal Majalla"/>
        <scheme val="none"/>
      </font>
      <numFmt numFmtId="4" formatCode="#,##0.00"/>
      <fill>
        <patternFill patternType="solid">
          <fgColor indexed="64"/>
          <bgColor theme="0" tint="-4.9989318521683403E-2"/>
        </patternFill>
      </fill>
      <alignment horizontal="center" vertical="center" textRotation="0" wrapText="0" indent="0" justifyLastLine="0" shrinkToFit="0" readingOrder="2"/>
      <border diagonalUp="0" diagonalDown="0">
        <left/>
        <right style="thick">
          <color theme="0" tint="-0.14993743705557422"/>
        </right>
        <top style="thick">
          <color theme="0" tint="-0.14993743705557422"/>
        </top>
        <bottom style="thick">
          <color theme="0" tint="-0.14993743705557422"/>
        </bottom>
        <vertical/>
        <horizontal/>
      </border>
      <protection locked="0" hidden="0"/>
    </dxf>
    <dxf>
      <font>
        <b val="0"/>
        <i val="0"/>
        <strike val="0"/>
        <condense val="0"/>
        <extend val="0"/>
        <outline val="0"/>
        <shadow val="0"/>
        <u val="none"/>
        <vertAlign val="baseline"/>
        <sz val="14"/>
        <color theme="1"/>
        <name val="Sakkal Majalla"/>
        <scheme val="none"/>
      </font>
      <numFmt numFmtId="164" formatCode="_-* #,##0.00\ [$ر.س.‏-401]_-;\-* #,##0.00\ [$ر.س.‏-401]_-;_-* &quot;-&quot;??\ [$ر.س.‏-401]_-;_-@_-"/>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164" formatCode="_-* #,##0.00\ [$ر.س.‏-401]_-;\-* #,##0.00\ [$ر.س.‏-401]_-;_-* &quot;-&quot;??\ [$ر.س.‏-401]_-;_-@_-"/>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13" formatCode="0%"/>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0" formatCode="Genera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border>
        <top style="thick">
          <color theme="0" tint="-0.14996795556505021"/>
        </top>
      </border>
    </dxf>
    <dxf>
      <border diagonalUp="0" diagonalDown="0">
        <left style="thick">
          <color theme="0" tint="-0.14996795556505021"/>
        </left>
        <right style="thick">
          <color theme="0" tint="-0.14996795556505021"/>
        </right>
        <top style="thick">
          <color theme="0" tint="-0.14996795556505021"/>
        </top>
        <bottom style="thick">
          <color theme="0" tint="-0.14996795556505021"/>
        </bottom>
      </border>
    </dxf>
    <dxf>
      <font>
        <b val="0"/>
        <i val="0"/>
        <strike val="0"/>
        <condense val="0"/>
        <extend val="0"/>
        <outline val="0"/>
        <shadow val="0"/>
        <u val="none"/>
        <vertAlign val="baseline"/>
        <sz val="14"/>
        <color theme="1"/>
        <name val="Sakkal Majalla"/>
        <scheme val="none"/>
      </font>
      <numFmt numFmtId="1" formatCode="0"/>
      <alignment horizontal="center" vertical="center" textRotation="0" wrapText="1" indent="0" justifyLastLine="0" shrinkToFit="0" readingOrder="2"/>
      <protection locked="0" hidden="0"/>
    </dxf>
    <dxf>
      <border>
        <bottom style="thick">
          <color theme="0" tint="-0.14996795556505021"/>
        </bottom>
      </border>
    </dxf>
    <dxf>
      <font>
        <b/>
        <i val="0"/>
        <strike val="0"/>
        <condense val="0"/>
        <extend val="0"/>
        <outline val="0"/>
        <shadow val="0"/>
        <u val="none"/>
        <vertAlign val="baseline"/>
        <sz val="14"/>
        <color theme="0"/>
        <name val="Sakkal Majalla"/>
        <scheme val="none"/>
      </font>
      <numFmt numFmtId="1" formatCode="0"/>
      <fill>
        <patternFill patternType="solid">
          <fgColor indexed="64"/>
          <bgColor rgb="FF005257"/>
        </patternFill>
      </fill>
      <alignment horizontal="center" vertical="center" textRotation="0" wrapText="1" indent="0" justifyLastLine="0" shrinkToFit="0" readingOrder="2"/>
      <border diagonalUp="0" diagonalDown="0">
        <left style="thin">
          <color indexed="64"/>
        </left>
        <right style="thin">
          <color indexed="64"/>
        </right>
        <top/>
        <bottom/>
      </border>
      <protection locked="0" hidden="0"/>
    </dxf>
    <dxf>
      <font>
        <b val="0"/>
        <i val="0"/>
        <strike val="0"/>
        <condense val="0"/>
        <extend val="0"/>
        <outline val="0"/>
        <shadow val="0"/>
        <u val="none"/>
        <vertAlign val="baseline"/>
        <sz val="14"/>
        <color rgb="FF000000"/>
        <name val="Sakkal Majalla"/>
        <scheme val="none"/>
      </font>
      <numFmt numFmtId="4" formatCode="#,##0.00"/>
      <fill>
        <patternFill patternType="solid">
          <fgColor indexed="64"/>
          <bgColor theme="0" tint="-4.9989318521683403E-2"/>
        </patternFill>
      </fill>
      <alignment horizontal="center" vertical="center" textRotation="0" wrapText="0" indent="0" justifyLastLine="0" shrinkToFit="0" readingOrder="2"/>
      <border diagonalUp="0" diagonalDown="0">
        <left/>
        <right style="thick">
          <color theme="0" tint="-0.14993743705557422"/>
        </right>
        <top style="thick">
          <color theme="0" tint="-0.14993743705557422"/>
        </top>
        <bottom style="thick">
          <color theme="0" tint="-0.14993743705557422"/>
        </bottom>
        <vertical/>
        <horizontal style="thick">
          <color theme="0" tint="-0.14993743705557422"/>
        </horizontal>
      </border>
      <protection locked="0" hidden="0"/>
    </dxf>
    <dxf>
      <font>
        <b val="0"/>
        <i val="0"/>
        <strike val="0"/>
        <condense val="0"/>
        <extend val="0"/>
        <outline val="0"/>
        <shadow val="0"/>
        <u val="none"/>
        <vertAlign val="baseline"/>
        <sz val="14"/>
        <color theme="1"/>
        <name val="Sakkal Majalla"/>
        <scheme val="none"/>
      </font>
      <numFmt numFmtId="164" formatCode="_-* #,##0.00\ [$ر.س.‏-401]_-;\-* #,##0.00\ [$ر.س.‏-401]_-;_-* &quot;-&quot;??\ [$ر.س.‏-401]_-;_-@_-"/>
      <alignment horizontal="center" vertical="center" textRotation="0" wrapText="1" indent="0" justifyLastLine="0" shrinkToFit="0" readingOrder="2"/>
      <border diagonalUp="0" diagonalDown="0">
        <left/>
        <right/>
        <top style="thick">
          <color theme="0" tint="-0.14993743705557422"/>
        </top>
        <bottom style="thick">
          <color theme="0" tint="-0.14993743705557422"/>
        </bottom>
        <vertical/>
        <horizontal style="thick">
          <color theme="0" tint="-0.14993743705557422"/>
        </horizontal>
      </border>
      <protection locked="0" hidden="0"/>
    </dxf>
    <dxf>
      <font>
        <b val="0"/>
        <i val="0"/>
        <strike val="0"/>
        <condense val="0"/>
        <extend val="0"/>
        <outline val="0"/>
        <shadow val="0"/>
        <u val="none"/>
        <vertAlign val="baseline"/>
        <sz val="14"/>
        <color theme="1"/>
        <name val="Sakkal Majalla"/>
        <scheme val="none"/>
      </font>
      <numFmt numFmtId="164" formatCode="_-* #,##0.00\ [$ر.س.‏-401]_-;\-* #,##0.00\ [$ر.س.‏-401]_-;_-* &quot;-&quot;??\ [$ر.س.‏-401]_-;_-@_-"/>
      <alignment horizontal="center" vertical="center" textRotation="0" wrapText="1" indent="0" justifyLastLine="0" shrinkToFit="0" readingOrder="2"/>
      <border diagonalUp="0" diagonalDown="0">
        <left/>
        <right/>
        <top style="thick">
          <color theme="0" tint="-0.14993743705557422"/>
        </top>
        <bottom style="thick">
          <color theme="0" tint="-0.14993743705557422"/>
        </bottom>
        <vertical/>
        <horizontal style="thick">
          <color theme="0" tint="-0.14993743705557422"/>
        </horizontal>
      </border>
      <protection locked="0" hidden="0"/>
    </dxf>
    <dxf>
      <font>
        <b val="0"/>
        <i val="0"/>
        <strike val="0"/>
        <condense val="0"/>
        <extend val="0"/>
        <outline val="0"/>
        <shadow val="0"/>
        <u val="none"/>
        <vertAlign val="baseline"/>
        <sz val="14"/>
        <color theme="1"/>
        <name val="Sakkal Majalla"/>
        <scheme val="none"/>
      </font>
      <numFmt numFmtId="13" formatCode="0%"/>
      <alignment horizontal="center" vertical="center" textRotation="0" wrapText="1" indent="0" justifyLastLine="0" shrinkToFit="0" readingOrder="2"/>
      <border diagonalUp="0" diagonalDown="0">
        <left/>
        <right/>
        <top style="thick">
          <color theme="0" tint="-0.14993743705557422"/>
        </top>
        <bottom style="thick">
          <color theme="0" tint="-0.14993743705557422"/>
        </bottom>
        <vertical/>
        <horizontal style="thick">
          <color theme="0" tint="-0.14993743705557422"/>
        </horizontal>
      </border>
      <protection locked="0" hidden="0"/>
    </dxf>
    <dxf>
      <font>
        <b val="0"/>
        <i val="0"/>
        <strike val="0"/>
        <condense val="0"/>
        <extend val="0"/>
        <outline val="0"/>
        <shadow val="0"/>
        <u val="none"/>
        <vertAlign val="baseline"/>
        <sz val="14"/>
        <color theme="1"/>
        <name val="Sakkal Majalla"/>
        <scheme val="none"/>
      </font>
      <numFmt numFmtId="0" formatCode="General"/>
      <alignment horizontal="center" vertical="center" textRotation="0" wrapText="1" indent="0" justifyLastLine="0" shrinkToFit="0" readingOrder="2"/>
      <border diagonalUp="0" diagonalDown="0">
        <left/>
        <right/>
        <top style="thick">
          <color theme="0" tint="-0.14993743705557422"/>
        </top>
        <bottom style="thick">
          <color theme="0" tint="-0.14993743705557422"/>
        </bottom>
        <vertical/>
        <horizontal style="thick">
          <color theme="0" tint="-0.14993743705557422"/>
        </horizontal>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style="thick">
          <color theme="0" tint="-0.14993743705557422"/>
        </left>
        <right/>
        <top style="thick">
          <color theme="0" tint="-0.14993743705557422"/>
        </top>
        <bottom style="thick">
          <color theme="0" tint="-0.14993743705557422"/>
        </bottom>
        <vertical/>
        <horizontal style="thick">
          <color theme="0" tint="-0.14993743705557422"/>
        </horizontal>
      </border>
      <protection locked="0" hidden="0"/>
    </dxf>
    <dxf>
      <border>
        <top style="thick">
          <color theme="0" tint="-0.14996795556505021"/>
        </top>
      </border>
    </dxf>
    <dxf>
      <border diagonalUp="0" diagonalDown="0">
        <left style="thick">
          <color theme="0" tint="-0.14996795556505021"/>
        </left>
        <right style="thick">
          <color theme="0" tint="-0.14996795556505021"/>
        </right>
        <top style="thick">
          <color theme="0" tint="-0.14996795556505021"/>
        </top>
        <bottom style="thick">
          <color theme="0" tint="-0.14996795556505021"/>
        </bottom>
      </border>
    </dxf>
    <dxf>
      <font>
        <b val="0"/>
        <i val="0"/>
        <strike val="0"/>
        <condense val="0"/>
        <extend val="0"/>
        <outline val="0"/>
        <shadow val="0"/>
        <u val="none"/>
        <vertAlign val="baseline"/>
        <sz val="14"/>
        <color theme="1"/>
        <name val="Sakkal Majalla"/>
        <scheme val="none"/>
      </font>
      <numFmt numFmtId="1" formatCode="0"/>
      <alignment horizontal="center" vertical="center" textRotation="0" wrapText="1" indent="0" justifyLastLine="0" shrinkToFit="0" readingOrder="2"/>
      <protection locked="0" hidden="0"/>
    </dxf>
    <dxf>
      <border>
        <bottom style="thick">
          <color theme="0" tint="-0.14996795556505021"/>
        </bottom>
      </border>
    </dxf>
    <dxf>
      <font>
        <b/>
        <i val="0"/>
        <strike val="0"/>
        <condense val="0"/>
        <extend val="0"/>
        <outline val="0"/>
        <shadow val="0"/>
        <u val="none"/>
        <vertAlign val="baseline"/>
        <sz val="14"/>
        <color theme="0"/>
        <name val="Sakkal Majalla"/>
        <scheme val="none"/>
      </font>
      <numFmt numFmtId="1" formatCode="0"/>
      <fill>
        <patternFill patternType="solid">
          <fgColor indexed="64"/>
          <bgColor rgb="FF005257"/>
        </patternFill>
      </fill>
      <alignment horizontal="center" vertical="center" textRotation="0" wrapText="1" indent="0" justifyLastLine="0" shrinkToFit="0" readingOrder="2"/>
      <border diagonalUp="0" diagonalDown="0">
        <left style="thin">
          <color indexed="64"/>
        </left>
        <right style="thin">
          <color indexed="64"/>
        </right>
        <top/>
        <bottom/>
      </border>
      <protection locked="0" hidden="0"/>
    </dxf>
    <dxf>
      <font>
        <b val="0"/>
        <i val="0"/>
        <strike val="0"/>
        <condense val="0"/>
        <extend val="0"/>
        <outline val="0"/>
        <shadow val="0"/>
        <u val="none"/>
        <vertAlign val="baseline"/>
        <sz val="14"/>
        <color theme="1"/>
        <name val="Sakkal Majalla"/>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right/>
        <top style="thick">
          <color theme="0" tint="-0.14996795556505021"/>
        </top>
        <bottom style="thick">
          <color theme="0" tint="-0.14996795556505021"/>
        </bottom>
      </border>
      <protection locked="1" hidden="1"/>
    </dxf>
    <dxf>
      <font>
        <b val="0"/>
        <i val="0"/>
        <strike val="0"/>
        <condense val="0"/>
        <extend val="0"/>
        <outline val="0"/>
        <shadow val="0"/>
        <u val="none"/>
        <vertAlign val="baseline"/>
        <sz val="14"/>
        <color theme="1"/>
        <name val="Sakkal Majalla"/>
        <scheme val="none"/>
      </font>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1" hidden="1"/>
    </dxf>
    <dxf>
      <font>
        <b val="0"/>
        <i val="0"/>
        <strike val="0"/>
        <condense val="0"/>
        <extend val="0"/>
        <outline val="0"/>
        <shadow val="0"/>
        <u val="none"/>
        <vertAlign val="baseline"/>
        <sz val="14"/>
        <color theme="1"/>
        <name val="Sakkal Majalla"/>
        <scheme val="none"/>
      </font>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1" hidden="1"/>
    </dxf>
    <dxf>
      <font>
        <b val="0"/>
        <i val="0"/>
        <strike val="0"/>
        <condense val="0"/>
        <extend val="0"/>
        <outline val="0"/>
        <shadow val="0"/>
        <u val="none"/>
        <vertAlign val="baseline"/>
        <sz val="14"/>
        <color theme="1"/>
        <name val="Sakkal Majalla"/>
        <scheme val="none"/>
      </font>
      <numFmt numFmtId="13" formatCode="0%"/>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1" hidden="1"/>
    </dxf>
    <dxf>
      <font>
        <b val="0"/>
        <i val="0"/>
        <strike val="0"/>
        <condense val="0"/>
        <extend val="0"/>
        <outline val="0"/>
        <shadow val="0"/>
        <u val="none"/>
        <vertAlign val="baseline"/>
        <sz val="14"/>
        <color theme="1"/>
        <name val="Sakkal Majalla"/>
        <scheme val="none"/>
      </font>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1" hidden="1"/>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border>
      <protection locked="0" hidden="0"/>
    </dxf>
    <dxf>
      <border>
        <top style="thick">
          <color theme="0" tint="-0.14996795556505021"/>
        </top>
      </border>
    </dxf>
    <dxf>
      <border diagonalUp="0" diagonalDown="0">
        <left style="thick">
          <color theme="0" tint="-0.14996795556505021"/>
        </left>
        <right style="thick">
          <color theme="0" tint="-0.14996795556505021"/>
        </right>
        <top style="thick">
          <color theme="0" tint="-0.14996795556505021"/>
        </top>
        <bottom style="thick">
          <color theme="0" tint="-0.14996795556505021"/>
        </bottom>
      </border>
    </dxf>
    <dxf>
      <font>
        <b val="0"/>
        <i val="0"/>
        <strike val="0"/>
        <condense val="0"/>
        <extend val="0"/>
        <outline val="0"/>
        <shadow val="0"/>
        <u val="none"/>
        <vertAlign val="baseline"/>
        <sz val="14"/>
        <color theme="1"/>
        <name val="Sakkal Majalla"/>
        <scheme val="none"/>
      </font>
      <numFmt numFmtId="1" formatCode="0"/>
      <alignment horizontal="center" vertical="center" textRotation="0" wrapText="1" indent="0" justifyLastLine="0" shrinkToFit="0" readingOrder="2"/>
      <protection locked="0" hidden="0"/>
    </dxf>
    <dxf>
      <border>
        <bottom style="thick">
          <color theme="0" tint="-0.14996795556505021"/>
        </bottom>
      </border>
    </dxf>
    <dxf>
      <font>
        <b/>
        <i val="0"/>
        <strike val="0"/>
        <condense val="0"/>
        <extend val="0"/>
        <outline val="0"/>
        <shadow val="0"/>
        <u val="none"/>
        <vertAlign val="baseline"/>
        <sz val="14"/>
        <color theme="0"/>
        <name val="Sakkal Majalla"/>
        <scheme val="none"/>
      </font>
      <numFmt numFmtId="1" formatCode="0"/>
      <fill>
        <patternFill patternType="solid">
          <fgColor indexed="64"/>
          <bgColor rgb="FF005257"/>
        </patternFill>
      </fill>
      <alignment horizontal="center" vertical="center" textRotation="0" wrapText="1" indent="0" justifyLastLine="0" shrinkToFit="0" readingOrder="2"/>
      <border diagonalUp="0" diagonalDown="0">
        <left style="thin">
          <color indexed="64"/>
        </left>
        <right style="thin">
          <color indexed="64"/>
        </right>
        <top/>
        <bottom/>
      </border>
      <protection locked="0" hidden="0"/>
    </dxf>
    <dxf>
      <font>
        <b val="0"/>
        <i val="0"/>
        <strike val="0"/>
        <condense val="0"/>
        <extend val="0"/>
        <outline val="0"/>
        <shadow val="0"/>
        <u val="none"/>
        <vertAlign val="baseline"/>
        <sz val="14"/>
        <color rgb="FF000000"/>
        <name val="Sakkal Majalla"/>
        <scheme val="none"/>
      </font>
      <numFmt numFmtId="4" formatCode="#,##0.00"/>
      <fill>
        <patternFill patternType="solid">
          <fgColor indexed="64"/>
          <bgColor rgb="FFFFFFFF"/>
        </patternFill>
      </fill>
      <alignment horizontal="center" vertical="center" textRotation="0" wrapText="0" indent="0" justifyLastLine="0" shrinkToFit="0" readingOrder="2"/>
      <border diagonalUp="0" diagonalDown="0">
        <left style="thick">
          <color theme="0" tint="-0.14993743705557422"/>
        </left>
        <right style="thick">
          <color theme="0" tint="-0.14993743705557422"/>
        </right>
        <top style="thick">
          <color theme="0" tint="-0.14993743705557422"/>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style="thick">
          <color theme="0" tint="-0.14996795556505021"/>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rgb="FF000000"/>
        <name val="Sakkal Majalla"/>
        <scheme val="none"/>
      </font>
      <numFmt numFmtId="164" formatCode="_-* #,##0.00\ [$ر.س.‏-401]_-;\-* #,##0.00\ [$ر.س.‏-401]_-;_-* &quot;-&quot;??\ [$ر.س.‏-401]_-;_-@_-"/>
      <fill>
        <patternFill patternType="solid">
          <fgColor indexed="64"/>
          <bgColor rgb="FFFFFFFF"/>
        </patternFill>
      </fill>
      <alignment horizontal="center" vertical="center" textRotation="0" wrapText="0" indent="0" justifyLastLine="0" shrinkToFit="0" readingOrder="2"/>
      <border diagonalUp="0" diagonalDown="0">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vertical/>
        <horizontal/>
      </border>
      <protection locked="0" hidden="0"/>
    </dxf>
    <dxf>
      <border outline="0">
        <top style="thick">
          <color theme="0" tint="-0.14996795556505021"/>
        </top>
      </border>
    </dxf>
    <dxf>
      <border outline="0">
        <left style="thick">
          <color theme="0" tint="-0.14996795556505021"/>
        </left>
        <right style="thick">
          <color theme="0" tint="-0.14996795556505021"/>
        </right>
        <bottom style="thick">
          <color theme="0" tint="-0.14996795556505021"/>
        </bottom>
      </border>
    </dxf>
    <dxf>
      <numFmt numFmtId="1" formatCode="0"/>
      <protection locked="0" hidden="0"/>
    </dxf>
    <dxf>
      <border outline="0">
        <bottom style="thick">
          <color theme="0" tint="-0.14996795556505021"/>
        </bottom>
      </border>
    </dxf>
    <dxf>
      <font>
        <b/>
        <i val="0"/>
        <strike val="0"/>
        <condense val="0"/>
        <extend val="0"/>
        <outline val="0"/>
        <shadow val="0"/>
        <u val="none"/>
        <vertAlign val="baseline"/>
        <sz val="14"/>
        <color theme="1"/>
        <name val="Sakkal Majalla"/>
        <scheme val="none"/>
      </font>
      <numFmt numFmtId="1" formatCode="0"/>
      <fill>
        <patternFill patternType="solid">
          <fgColor indexed="64"/>
          <bgColor theme="0" tint="-0.14999847407452621"/>
        </patternFill>
      </fill>
      <alignment horizontal="center" vertical="center" textRotation="0" wrapText="1" indent="0" justifyLastLine="0" shrinkToFit="0" readingOrder="2"/>
      <protection locked="0" hidden="0"/>
    </dxf>
    <dxf>
      <font>
        <strike val="0"/>
        <outline val="0"/>
        <shadow val="0"/>
        <u val="none"/>
        <vertAlign val="baseline"/>
        <sz val="12"/>
        <color theme="1"/>
        <name val="Sakkal Majalla"/>
        <scheme val="none"/>
      </font>
      <fill>
        <patternFill patternType="solid">
          <fgColor indexed="64"/>
          <bgColor theme="0"/>
        </patternFill>
      </fill>
      <border diagonalUp="0" diagonalDown="0">
        <left/>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rgb="FF005257"/>
        </patternFill>
      </fill>
      <alignment horizontal="right" vertical="center" textRotation="0" wrapText="1" indent="0" justifyLastLine="0" shrinkToFit="0" readingOrder="2"/>
      <border diagonalUp="0" diagonalDown="0">
        <left style="thick">
          <color theme="0" tint="-0.24994659260841701"/>
        </left>
        <right/>
        <top style="thick">
          <color theme="0" tint="-0.14996795556505021"/>
        </top>
        <bottom style="thick">
          <color theme="0" tint="-0.14996795556505021"/>
        </bottom>
      </border>
      <protection locked="0" hidden="0"/>
    </dxf>
    <dxf>
      <border>
        <top style="thick">
          <color theme="0" tint="-0.14996795556505021"/>
        </top>
      </border>
    </dxf>
    <dxf>
      <border diagonalUp="0" diagonalDown="0">
        <left style="thick">
          <color theme="0" tint="-0.14996795556505021"/>
        </left>
        <right style="thick">
          <color theme="0" tint="-0.14996795556505021"/>
        </right>
        <top style="thick">
          <color theme="0" tint="-0.14996795556505021"/>
        </top>
        <bottom style="thick">
          <color theme="0" tint="-0.14996795556505021"/>
        </bottom>
      </border>
    </dxf>
    <dxf>
      <font>
        <strike val="0"/>
        <outline val="0"/>
        <shadow val="0"/>
        <u val="none"/>
        <vertAlign val="baseline"/>
        <sz val="14"/>
        <color theme="1"/>
        <family val="1"/>
      </font>
      <numFmt numFmtId="1" formatCode="0"/>
      <protection locked="0" hidden="0"/>
    </dxf>
    <dxf>
      <border>
        <bottom style="thick">
          <color theme="0" tint="-0.14996795556505021"/>
        </bottom>
      </border>
    </dxf>
    <dxf>
      <font>
        <b/>
        <i val="0"/>
        <strike val="0"/>
        <condense val="0"/>
        <extend val="0"/>
        <outline val="0"/>
        <shadow val="0"/>
        <u val="none"/>
        <vertAlign val="baseline"/>
        <sz val="14"/>
        <color theme="1"/>
        <name val="Sakkal Majalla"/>
        <family val="1"/>
        <scheme val="none"/>
      </font>
      <numFmt numFmtId="1" formatCode="0"/>
      <fill>
        <patternFill patternType="solid">
          <fgColor indexed="64"/>
          <bgColor rgb="FF005257"/>
        </patternFill>
      </fill>
      <alignment horizontal="center" vertical="center" textRotation="0" wrapText="1" indent="0" justifyLastLine="0" shrinkToFit="0" readingOrder="2"/>
      <protection locked="0" hidden="0"/>
    </dxf>
    <dxf>
      <font>
        <b val="0"/>
        <i val="0"/>
        <strike val="0"/>
        <condense val="0"/>
        <extend val="0"/>
        <outline val="0"/>
        <shadow val="0"/>
        <u val="none"/>
        <vertAlign val="baseline"/>
        <sz val="14"/>
        <color rgb="FF000000"/>
        <name val="Sakkal Majalla"/>
        <scheme val="none"/>
      </font>
      <numFmt numFmtId="164" formatCode="_-* #,##0.00\ [$ر.س.‏-401]_-;\-* #,##0.00\ [$ر.س.‏-401]_-;_-* &quot;-&quot;??\ [$ر.س.‏-401]_-;_-@_-"/>
      <fill>
        <patternFill patternType="solid">
          <fgColor indexed="64"/>
          <bgColor rgb="FFFFFFFF"/>
        </patternFill>
      </fill>
      <alignment horizontal="center" vertical="center" textRotation="0" wrapText="0" indent="0" justifyLastLine="0" shrinkToFit="0" readingOrder="2"/>
      <border diagonalUp="0" diagonalDown="0">
        <left/>
        <right/>
        <top style="thick">
          <color theme="0" tint="-0.14996795556505021"/>
        </top>
        <bottom style="thick">
          <color theme="0" tint="-0.14996795556505021"/>
        </bottom>
        <vertical/>
        <horizontal style="thick">
          <color theme="0" tint="-0.14996795556505021"/>
        </horizontal>
      </border>
      <protection locked="0" hidden="0"/>
    </dxf>
    <dxf>
      <font>
        <b val="0"/>
        <i val="0"/>
        <strike val="0"/>
        <condense val="0"/>
        <extend val="0"/>
        <outline val="0"/>
        <shadow val="0"/>
        <u val="none"/>
        <vertAlign val="baseline"/>
        <sz val="14"/>
        <color theme="0"/>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vertical/>
        <horizontal style="thick">
          <color theme="0" tint="-0.14996795556505021"/>
        </horizontal>
      </border>
      <protection locked="0" hidden="0"/>
    </dxf>
    <dxf>
      <border>
        <top style="thick">
          <color theme="0" tint="-0.14996795556505021"/>
        </top>
      </border>
    </dxf>
    <dxf>
      <border diagonalUp="0" diagonalDown="0">
        <left style="thick">
          <color theme="0" tint="-0.14993743705557422"/>
        </left>
        <right style="thick">
          <color theme="0" tint="-0.14993743705557422"/>
        </right>
        <top style="thick">
          <color theme="0" tint="-0.14993743705557422"/>
        </top>
        <bottom style="thick">
          <color theme="0" tint="-0.14996795556505021"/>
        </bottom>
      </border>
    </dxf>
    <dxf>
      <numFmt numFmtId="1" formatCode="0"/>
      <protection locked="0" hidden="0"/>
    </dxf>
    <dxf>
      <border>
        <bottom style="thick">
          <color theme="0" tint="-0.14996795556505021"/>
        </bottom>
      </border>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0.14999847407452621"/>
        </patternFill>
      </fill>
      <alignment horizontal="center" vertical="center" textRotation="0" wrapText="1" indent="0" justifyLastLine="0" shrinkToFit="0" readingOrder="2"/>
      <protection locked="0" hidden="0"/>
    </dxf>
    <dxf>
      <font>
        <b val="0"/>
        <i val="0"/>
        <strike val="0"/>
        <condense val="0"/>
        <extend val="0"/>
        <outline val="0"/>
        <shadow val="0"/>
        <u val="none"/>
        <vertAlign val="baseline"/>
        <sz val="14"/>
        <color rgb="FF000000"/>
        <name val="Sakkal Majalla"/>
        <scheme val="none"/>
      </font>
      <numFmt numFmtId="4" formatCode="#,##0.00"/>
      <fill>
        <patternFill patternType="solid">
          <fgColor indexed="64"/>
          <bgColor rgb="FFFFFFFF"/>
        </patternFill>
      </fill>
      <alignment horizontal="center" vertical="center" textRotation="0" wrapText="0" indent="0" justifyLastLine="0" shrinkToFit="0" readingOrder="2"/>
      <border diagonalUp="0" diagonalDown="0">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style="thick">
          <color theme="0" tint="-0.14996795556505021"/>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rgb="FF000000"/>
        <name val="Sakkal Majalla"/>
        <scheme val="none"/>
      </font>
      <numFmt numFmtId="164" formatCode="_-* #,##0.00\ [$ر.س.‏-401]_-;\-* #,##0.00\ [$ر.س.‏-401]_-;_-* &quot;-&quot;??\ [$ر.س.‏-401]_-;_-@_-"/>
      <fill>
        <patternFill patternType="solid">
          <fgColor indexed="64"/>
          <bgColor rgb="FFFFFFFF"/>
        </patternFill>
      </fill>
      <alignment horizontal="center" vertical="center" textRotation="0" wrapText="0" indent="0" justifyLastLine="0" shrinkToFit="0" readingOrder="2"/>
      <border diagonalUp="0" diagonalDown="0">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vertical/>
        <horizontal/>
      </border>
      <protection locked="0" hidden="0"/>
    </dxf>
    <dxf>
      <border outline="0">
        <top style="thick">
          <color theme="0" tint="-0.14996795556505021"/>
        </top>
      </border>
    </dxf>
    <dxf>
      <border outline="0">
        <left style="thick">
          <color theme="0" tint="-0.14996795556505021"/>
        </left>
        <right style="thick">
          <color theme="0" tint="-0.14996795556505021"/>
        </right>
        <bottom style="thick">
          <color theme="0" tint="-0.14996795556505021"/>
        </bottom>
      </border>
    </dxf>
    <dxf>
      <numFmt numFmtId="1" formatCode="0"/>
      <protection locked="0" hidden="0"/>
    </dxf>
    <dxf>
      <border outline="0">
        <bottom style="thick">
          <color theme="0" tint="-0.14996795556505021"/>
        </bottom>
      </border>
    </dxf>
    <dxf>
      <font>
        <b/>
        <i val="0"/>
        <strike val="0"/>
        <condense val="0"/>
        <extend val="0"/>
        <outline val="0"/>
        <shadow val="0"/>
        <u val="none"/>
        <vertAlign val="baseline"/>
        <sz val="14"/>
        <color theme="1"/>
        <name val="Sakkal Majalla"/>
        <scheme val="none"/>
      </font>
      <numFmt numFmtId="1" formatCode="0"/>
      <fill>
        <patternFill patternType="solid">
          <fgColor indexed="64"/>
          <bgColor theme="0" tint="-0.14999847407452621"/>
        </patternFill>
      </fill>
      <alignment horizontal="center" vertical="center" textRotation="0" wrapText="1" indent="0" justifyLastLine="0" shrinkToFit="0" readingOrder="2"/>
      <protection locked="0" hidden="0"/>
    </dxf>
    <dxf>
      <font>
        <b val="0"/>
        <i val="0"/>
        <strike val="0"/>
        <condense val="0"/>
        <extend val="0"/>
        <outline val="0"/>
        <shadow val="0"/>
        <u val="none"/>
        <vertAlign val="baseline"/>
        <sz val="14"/>
        <color rgb="FF000000"/>
        <name val="Sakkal Majalla"/>
        <scheme val="none"/>
      </font>
      <numFmt numFmtId="4" formatCode="#,##0.00"/>
      <fill>
        <patternFill patternType="solid">
          <fgColor indexed="64"/>
          <bgColor theme="0" tint="-0.14999847407452621"/>
        </patternFill>
      </fill>
      <alignment horizontal="center" vertical="center" textRotation="0" wrapText="0" indent="0" justifyLastLine="0" shrinkToFit="0" readingOrder="2"/>
      <border diagonalUp="0" diagonalDown="0">
        <left style="thick">
          <color theme="0" tint="-0.14990691854609822"/>
        </left>
        <right/>
        <top/>
        <bottom/>
        <vertical style="thick">
          <color theme="0" tint="-0.14990691854609822"/>
        </vertical>
        <horizontal/>
      </border>
      <protection locked="1" hidden="1"/>
    </dxf>
    <dxf>
      <font>
        <b val="0"/>
        <i val="0"/>
        <strike val="0"/>
        <condense val="0"/>
        <extend val="0"/>
        <outline val="0"/>
        <shadow val="0"/>
        <u val="none"/>
        <vertAlign val="baseline"/>
        <sz val="14"/>
        <color rgb="FF000000"/>
        <name val="Sakkal Majalla"/>
        <scheme val="none"/>
      </font>
      <numFmt numFmtId="164" formatCode="_-* #,##0.00\ [$ر.س.‏-401]_-;\-* #,##0.00\ [$ر.س.‏-401]_-;_-* &quot;-&quot;??\ [$ر.س.‏-401]_-;_-@_-"/>
      <fill>
        <patternFill patternType="solid">
          <fgColor indexed="64"/>
          <bgColor rgb="FFFFFFFF"/>
        </patternFill>
      </fill>
      <alignment horizontal="center" vertical="center" textRotation="0" wrapText="0" indent="0" justifyLastLine="0" shrinkToFit="0" readingOrder="2"/>
      <border diagonalUp="0" diagonalDown="0" outline="0">
        <left/>
        <right/>
        <top/>
        <bottom style="thick">
          <color theme="0" tint="-0.14993743705557422"/>
        </bottom>
      </border>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style="thick">
          <color theme="0" tint="-0.14990691854609822"/>
        </left>
        <right style="thick">
          <color theme="0" tint="-0.14990691854609822"/>
        </right>
        <top/>
        <bottom/>
        <vertical style="thick">
          <color theme="0" tint="-0.14990691854609822"/>
        </vertical>
        <horizontal/>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outline="0">
        <left/>
        <right/>
        <top/>
        <bottom style="thick">
          <color theme="0" tint="-0.14993743705557422"/>
        </bottom>
      </border>
    </dxf>
    <dxf>
      <font>
        <b val="0"/>
        <i val="0"/>
        <strike val="0"/>
        <condense val="0"/>
        <extend val="0"/>
        <outline val="0"/>
        <shadow val="0"/>
        <u val="none"/>
        <vertAlign val="baseline"/>
        <sz val="14"/>
        <color rgb="FF000000"/>
        <name val="Sakkal Majalla"/>
        <scheme val="none"/>
      </font>
      <numFmt numFmtId="4" formatCode="#,##0.00"/>
      <fill>
        <patternFill patternType="solid">
          <fgColor indexed="64"/>
          <bgColor theme="0" tint="-0.14999847407452621"/>
        </patternFill>
      </fill>
      <alignment horizontal="center" vertical="center" textRotation="0" wrapText="0" indent="0" justifyLastLine="0" shrinkToFit="0" readingOrder="2"/>
      <border diagonalUp="0" diagonalDown="0">
        <left style="thick">
          <color theme="0" tint="-0.14990691854609822"/>
        </left>
        <right style="thick">
          <color theme="0" tint="-0.14990691854609822"/>
        </right>
        <top/>
        <bottom/>
        <vertical style="thick">
          <color theme="0" tint="-0.14990691854609822"/>
        </vertical>
        <horizontal/>
      </border>
      <protection locked="1" hidden="1"/>
    </dxf>
    <dxf>
      <font>
        <b val="0"/>
        <i val="0"/>
        <strike val="0"/>
        <condense val="0"/>
        <extend val="0"/>
        <outline val="0"/>
        <shadow val="0"/>
        <u val="none"/>
        <vertAlign val="baseline"/>
        <sz val="14"/>
        <color rgb="FF000000"/>
        <name val="Sakkal Majalla"/>
        <scheme val="none"/>
      </font>
      <numFmt numFmtId="164" formatCode="_-* #,##0.00\ [$ر.س.‏-401]_-;\-* #,##0.00\ [$ر.س.‏-401]_-;_-* &quot;-&quot;??\ [$ر.س.‏-401]_-;_-@_-"/>
      <fill>
        <patternFill patternType="solid">
          <fgColor indexed="64"/>
          <bgColor rgb="FFFFFFFF"/>
        </patternFill>
      </fill>
      <alignment horizontal="center" vertical="center" textRotation="0" wrapText="0" indent="0" justifyLastLine="0" shrinkToFit="0" readingOrder="2"/>
      <border diagonalUp="0" diagonalDown="0" outline="0">
        <left/>
        <right/>
        <top/>
        <bottom style="thick">
          <color theme="0" tint="-0.14993743705557422"/>
        </bottom>
      </border>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right style="thick">
          <color theme="0" tint="-0.14990691854609822"/>
        </right>
        <top/>
        <bottom/>
        <vertical style="thick">
          <color theme="0" tint="-0.14990691854609822"/>
        </vertical>
        <horizontal/>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outline="0">
        <left/>
        <right/>
        <top/>
        <bottom style="thick">
          <color theme="0" tint="-0.14993743705557422"/>
        </bottom>
      </border>
    </dxf>
    <dxf>
      <border diagonalUp="0" diagonalDown="0">
        <left style="thick">
          <color theme="0" tint="-0.14990691854609822"/>
        </left>
        <right style="thick">
          <color theme="0" tint="-0.14990691854609822"/>
        </right>
        <top style="thick">
          <color theme="0" tint="-0.14990691854609822"/>
        </top>
        <bottom style="thick">
          <color theme="0" tint="-0.14990691854609822"/>
        </bottom>
      </border>
    </dxf>
    <dxf>
      <protection locked="0" hidden="0"/>
    </dxf>
    <dxf>
      <border outline="0">
        <bottom style="thick">
          <color theme="0" tint="-0.14993743705557422"/>
        </bottom>
      </border>
    </dxf>
    <dxf>
      <border diagonalUp="0" diagonalDown="0">
        <left style="thick">
          <color theme="0" tint="-0.14990691854609822"/>
        </left>
        <right style="thick">
          <color theme="0" tint="-0.14990691854609822"/>
        </right>
        <top/>
        <bottom/>
        <vertical style="thick">
          <color theme="0" tint="-0.14990691854609822"/>
        </vertical>
        <horizontal/>
      </border>
      <protection locked="0" hidden="0"/>
    </dxf>
    <dxf>
      <font>
        <b val="0"/>
        <i val="0"/>
        <strike val="0"/>
        <condense val="0"/>
        <extend val="0"/>
        <outline val="0"/>
        <shadow val="0"/>
        <u val="none"/>
        <vertAlign val="baseline"/>
        <sz val="14"/>
        <color rgb="FF000000"/>
        <name val="Sakkal Majalla"/>
        <scheme val="none"/>
      </font>
      <numFmt numFmtId="4" formatCode="#,##0.00"/>
      <fill>
        <patternFill patternType="solid">
          <fgColor indexed="64"/>
          <bgColor rgb="FFFFFFFF"/>
        </patternFill>
      </fill>
      <alignment horizontal="center" vertical="center" textRotation="0" wrapText="0" indent="0" justifyLastLine="0" shrinkToFit="0" readingOrder="2"/>
      <border diagonalUp="0" diagonalDown="0">
        <left style="thick">
          <color theme="0" tint="-0.14993743705557422"/>
        </left>
        <right style="thick">
          <color theme="0" tint="-0.14993743705557422"/>
        </right>
        <top style="thick">
          <color theme="0" tint="-0.14993743705557422"/>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style="thick">
          <color theme="0" tint="-0.14996795556505021"/>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rgb="FF000000"/>
        <name val="Sakkal Majalla"/>
        <scheme val="none"/>
      </font>
      <numFmt numFmtId="164" formatCode="_-* #,##0.00\ [$ر.س.‏-401]_-;\-* #,##0.00\ [$ر.س.‏-401]_-;_-* &quot;-&quot;??\ [$ر.س.‏-401]_-;_-@_-"/>
      <fill>
        <patternFill patternType="solid">
          <fgColor indexed="64"/>
          <bgColor rgb="FFFFFFFF"/>
        </patternFill>
      </fill>
      <alignment horizontal="center" vertical="center" textRotation="0" wrapText="0" indent="0" justifyLastLine="0" shrinkToFit="0" readingOrder="2"/>
      <border diagonalUp="0" diagonalDown="0">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vertical/>
        <horizontal/>
      </border>
      <protection locked="0" hidden="0"/>
    </dxf>
    <dxf>
      <border outline="0">
        <top style="thick">
          <color theme="0" tint="-0.14996795556505021"/>
        </top>
      </border>
    </dxf>
    <dxf>
      <border outline="0">
        <left style="thick">
          <color theme="0" tint="-0.14996795556505021"/>
        </left>
        <right style="thick">
          <color theme="0" tint="-0.14996795556505021"/>
        </right>
        <bottom style="thick">
          <color theme="0" tint="-0.14996795556505021"/>
        </bottom>
      </border>
    </dxf>
    <dxf>
      <numFmt numFmtId="1" formatCode="0"/>
      <protection locked="0" hidden="0"/>
    </dxf>
    <dxf>
      <border outline="0">
        <bottom style="thick">
          <color theme="0" tint="-0.14996795556505021"/>
        </bottom>
      </border>
    </dxf>
    <dxf>
      <font>
        <b/>
        <i val="0"/>
        <strike val="0"/>
        <condense val="0"/>
        <extend val="0"/>
        <outline val="0"/>
        <shadow val="0"/>
        <u val="none"/>
        <vertAlign val="baseline"/>
        <sz val="14"/>
        <color theme="1"/>
        <name val="Sakkal Majalla"/>
        <scheme val="none"/>
      </font>
      <numFmt numFmtId="1" formatCode="0"/>
      <fill>
        <patternFill patternType="solid">
          <fgColor indexed="64"/>
          <bgColor theme="0" tint="-0.14999847407452621"/>
        </patternFill>
      </fill>
      <alignment horizontal="center" vertical="center" textRotation="0" wrapText="1" indent="0" justifyLastLine="0" shrinkToFit="0" readingOrder="2"/>
      <protection locked="0" hidden="0"/>
    </dxf>
    <dxf>
      <font>
        <b val="0"/>
        <i val="0"/>
        <strike val="0"/>
        <condense val="0"/>
        <extend val="0"/>
        <outline val="0"/>
        <shadow val="0"/>
        <u val="none"/>
        <vertAlign val="baseline"/>
        <sz val="14"/>
        <color rgb="FF000000"/>
        <name val="Sakkal Majalla"/>
        <scheme val="none"/>
      </font>
      <numFmt numFmtId="4" formatCode="#,##0.00"/>
      <fill>
        <patternFill patternType="solid">
          <fgColor indexed="64"/>
          <bgColor rgb="FFFFFFFF"/>
        </patternFill>
      </fill>
      <alignment horizontal="center" vertical="center" textRotation="0" wrapText="0" indent="0" justifyLastLine="0" shrinkToFit="0" readingOrder="2"/>
      <border diagonalUp="0" diagonalDown="0">
        <left style="thick">
          <color theme="0" tint="-0.14993743705557422"/>
        </left>
        <right style="thick">
          <color theme="0" tint="-0.14993743705557422"/>
        </right>
        <top style="thick">
          <color theme="0" tint="-0.14993743705557422"/>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style="thick">
          <color theme="0" tint="-0.14996795556505021"/>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rgb="FF000000"/>
        <name val="Sakkal Majalla"/>
        <scheme val="none"/>
      </font>
      <numFmt numFmtId="4" formatCode="#,##0.00"/>
      <fill>
        <patternFill patternType="solid">
          <fgColor indexed="64"/>
          <bgColor rgb="FFFFFFFF"/>
        </patternFill>
      </fill>
      <alignment horizontal="center" vertical="center" textRotation="0" wrapText="0" indent="0" justifyLastLine="0" shrinkToFit="0" readingOrder="2"/>
      <border diagonalUp="0" diagonalDown="0">
        <left style="thick">
          <color theme="0" tint="-0.14993743705557422"/>
        </left>
        <right style="thick">
          <color theme="0" tint="-0.14993743705557422"/>
        </right>
        <top style="thick">
          <color theme="0" tint="-0.14993743705557422"/>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4.9989318521683403E-2"/>
        </patternFill>
      </fill>
      <alignment horizontal="center" vertical="center" textRotation="0" wrapText="1" indent="0" justifyLastLine="0" shrinkToFit="0" readingOrder="2"/>
      <border diagonalUp="0" diagonalDown="0">
        <left/>
        <right/>
        <top style="thick">
          <color theme="0" tint="-0.14996795556505021"/>
        </top>
        <bottom style="thick">
          <color theme="0" tint="-0.14996795556505021"/>
        </bottom>
        <vertical/>
        <horizontal/>
      </border>
      <protection locked="0" hidden="0"/>
    </dxf>
    <dxf>
      <border outline="0">
        <top style="thick">
          <color theme="0" tint="-0.14996795556505021"/>
        </top>
      </border>
    </dxf>
    <dxf>
      <border outline="0">
        <left style="thick">
          <color theme="0" tint="-0.14996795556505021"/>
        </left>
        <right style="thick">
          <color theme="0" tint="-0.14996795556505021"/>
        </right>
        <bottom style="thick">
          <color theme="0" tint="-0.14996795556505021"/>
        </bottom>
      </border>
    </dxf>
    <dxf>
      <numFmt numFmtId="1" formatCode="0"/>
      <protection locked="0" hidden="0"/>
    </dxf>
    <dxf>
      <border outline="0">
        <bottom style="thick">
          <color theme="0" tint="-0.14996795556505021"/>
        </bottom>
      </border>
    </dxf>
    <dxf>
      <font>
        <b/>
        <i val="0"/>
        <strike val="0"/>
        <condense val="0"/>
        <extend val="0"/>
        <outline val="0"/>
        <shadow val="0"/>
        <u val="none"/>
        <vertAlign val="baseline"/>
        <sz val="14"/>
        <color theme="1"/>
        <name val="Sakkal Majalla"/>
        <scheme val="none"/>
      </font>
      <numFmt numFmtId="1" formatCode="0"/>
      <fill>
        <patternFill patternType="solid">
          <fgColor indexed="64"/>
          <bgColor theme="0" tint="-0.14999847407452621"/>
        </patternFill>
      </fill>
      <alignment horizontal="center" vertical="center" textRotation="0" wrapText="1" indent="0" justifyLastLine="0" shrinkToFit="0" readingOrder="2"/>
      <protection locked="0" hidden="0"/>
    </dxf>
    <dxf>
      <font>
        <b val="0"/>
        <i val="0"/>
        <strike val="0"/>
        <condense val="0"/>
        <extend val="0"/>
        <outline val="0"/>
        <shadow val="0"/>
        <u val="none"/>
        <vertAlign val="baseline"/>
        <sz val="14"/>
        <color rgb="FF000000"/>
        <name val="Sakkal Majalla"/>
        <scheme val="none"/>
      </font>
      <numFmt numFmtId="3" formatCode="#,##0"/>
      <fill>
        <patternFill patternType="solid">
          <fgColor indexed="64"/>
          <bgColor rgb="FFFFFFFF"/>
        </patternFill>
      </fill>
      <alignment horizontal="center" vertical="center" textRotation="0" wrapText="0" indent="0" justifyLastLine="0" shrinkToFit="0" readingOrder="2"/>
      <border diagonalUp="0" diagonalDown="0">
        <left/>
        <right style="thick">
          <color theme="0" tint="-0.14996795556505021"/>
        </right>
        <top style="thick">
          <color theme="0" tint="-0.14996795556505021"/>
        </top>
        <bottom style="thick">
          <color theme="0" tint="-0.14996795556505021"/>
        </bottom>
      </border>
      <protection locked="0" hidden="0"/>
    </dxf>
    <dxf>
      <font>
        <b val="0"/>
        <i val="0"/>
        <strike val="0"/>
        <condense val="0"/>
        <extend val="0"/>
        <outline val="0"/>
        <shadow val="0"/>
        <u val="none"/>
        <vertAlign val="baseline"/>
        <sz val="14"/>
        <color theme="1"/>
        <name val="Sakkal Majalla"/>
        <scheme val="none"/>
      </font>
      <border diagonalUp="0" diagonalDown="0">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border diagonalUp="0" diagonalDown="0">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alignment horizontal="right" vertical="center" textRotation="0" wrapText="1" indent="0" justifyLastLine="0" shrinkToFit="0" readingOrder="0"/>
      <border diagonalUp="0" diagonalDown="0">
        <left style="thick">
          <color theme="0" tint="-0.14993743705557422"/>
        </left>
        <right style="thick">
          <color theme="0" tint="-0.14993743705557422"/>
        </right>
        <top style="thick">
          <color theme="0" tint="-0.14996795556505021"/>
        </top>
        <bottom style="thick">
          <color theme="0" tint="-0.14993743705557422"/>
        </bottom>
        <vertical/>
        <horizontal/>
      </border>
      <protection locked="0" hidden="0"/>
    </dxf>
    <dxf>
      <font>
        <b val="0"/>
        <i val="0"/>
        <strike val="0"/>
        <condense val="0"/>
        <extend val="0"/>
        <outline val="0"/>
        <shadow val="0"/>
        <u val="none"/>
        <vertAlign val="baseline"/>
        <sz val="14"/>
        <color theme="1"/>
        <name val="Sakkal Majalla"/>
        <scheme val="none"/>
      </font>
      <alignment horizontal="right" vertical="center" textRotation="0" wrapText="0" indent="0" justifyLastLine="0" shrinkToFit="0" readingOrder="0"/>
      <border diagonalUp="0" diagonalDown="0">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alignment horizontal="center" vertical="center" textRotation="0" wrapText="0" indent="0" justifyLastLine="0" shrinkToFit="0" readingOrder="0"/>
      <border diagonalUp="0" diagonalDown="0">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border diagonalUp="0" diagonalDown="0">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border diagonalUp="0" diagonalDown="0">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border diagonalUp="0" diagonalDown="0">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alignment horizontal="center" vertical="center" textRotation="0" wrapText="0" indent="0" justifyLastLine="0" shrinkToFit="0" readingOrder="0"/>
      <border diagonalUp="0" diagonalDown="0">
        <left/>
        <right/>
        <top style="thick">
          <color theme="0" tint="-0.14996795556505021"/>
        </top>
        <bottom style="thick">
          <color theme="0" tint="-0.14996795556505021"/>
        </bottom>
        <vertical/>
        <horizontal/>
      </border>
      <protection locked="0" hidden="0"/>
    </dxf>
    <dxf>
      <font>
        <b val="0"/>
        <i val="0"/>
        <strike val="0"/>
        <condense val="0"/>
        <extend val="0"/>
        <outline val="0"/>
        <shadow val="0"/>
        <u val="none"/>
        <vertAlign val="baseline"/>
        <sz val="14"/>
        <color theme="1"/>
        <name val="Sakkal Majalla"/>
        <scheme val="none"/>
      </font>
      <alignment horizontal="center" vertical="center" textRotation="0" wrapText="0" indent="0" justifyLastLine="0" shrinkToFit="0" readingOrder="0"/>
      <border diagonalUp="0" diagonalDown="0">
        <left style="thick">
          <color theme="0" tint="-0.14993743705557422"/>
        </left>
        <right style="thick">
          <color theme="0" tint="-0.14993743705557422"/>
        </right>
        <top style="thick">
          <color theme="0" tint="-0.14996795556505021"/>
        </top>
        <bottom style="thick">
          <color theme="0" tint="-0.14993743705557422"/>
        </bottom>
        <vertical/>
        <horizontal/>
      </border>
      <protection locked="0" hidden="0"/>
    </dxf>
    <dxf>
      <font>
        <b val="0"/>
        <i val="0"/>
        <strike val="0"/>
        <condense val="0"/>
        <extend val="0"/>
        <outline val="0"/>
        <shadow val="0"/>
        <u val="none"/>
        <vertAlign val="baseline"/>
        <sz val="14"/>
        <color theme="1"/>
        <name val="Sakkal Majalla"/>
        <scheme val="none"/>
      </font>
      <alignment horizontal="center" vertical="center" textRotation="0" wrapText="0" indent="0" justifyLastLine="0" shrinkToFit="0" readingOrder="0"/>
      <border diagonalUp="0" diagonalDown="0">
        <left/>
        <right/>
        <top style="thick">
          <color theme="0" tint="-0.14996795556505021"/>
        </top>
        <bottom style="thick">
          <color theme="0" tint="-0.14996795556505021"/>
        </bottom>
        <vertical/>
        <horizontal/>
      </border>
      <protection locked="0" hidden="0"/>
    </dxf>
    <dxf>
      <border outline="0">
        <top style="thick">
          <color theme="0" tint="-0.14996795556505021"/>
        </top>
      </border>
    </dxf>
    <dxf>
      <border outline="0">
        <left style="thick">
          <color theme="0" tint="-0.14996795556505021"/>
        </left>
        <right style="thick">
          <color theme="0" tint="-0.14996795556505021"/>
        </right>
        <bottom style="thick">
          <color theme="0" tint="-0.14996795556505021"/>
        </bottom>
      </border>
    </dxf>
    <dxf>
      <numFmt numFmtId="1" formatCode="0"/>
      <protection locked="0" hidden="0"/>
    </dxf>
    <dxf>
      <border outline="0">
        <bottom style="thick">
          <color theme="0" tint="-0.14996795556505021"/>
        </bottom>
      </border>
    </dxf>
    <dxf>
      <font>
        <b val="0"/>
        <i val="0"/>
        <strike val="0"/>
        <condense val="0"/>
        <extend val="0"/>
        <outline val="0"/>
        <shadow val="0"/>
        <u val="none"/>
        <vertAlign val="baseline"/>
        <sz val="14"/>
        <color theme="1"/>
        <name val="Sakkal Majalla"/>
        <scheme val="none"/>
      </font>
      <numFmt numFmtId="1" formatCode="0"/>
      <fill>
        <patternFill patternType="solid">
          <fgColor indexed="64"/>
          <bgColor theme="0" tint="-0.14999847407452621"/>
        </patternFill>
      </fill>
      <alignment horizontal="center" vertical="center" textRotation="0" wrapText="1" indent="0" justifyLastLine="0" shrinkToFit="0" readingOrder="2"/>
      <protection locked="0" hidden="0"/>
    </dxf>
  </dxfs>
  <tableStyles count="0" defaultTableStyle="TableStyleMedium2" defaultPivotStyle="PivotStyleLight16"/>
  <colors>
    <mruColors>
      <color rgb="FF005257"/>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25</xdr:row>
      <xdr:rowOff>242452</xdr:rowOff>
    </xdr:from>
    <xdr:to>
      <xdr:col>17</xdr:col>
      <xdr:colOff>762000</xdr:colOff>
      <xdr:row>28</xdr:row>
      <xdr:rowOff>1286</xdr:rowOff>
    </xdr:to>
    <xdr:pic>
      <xdr:nvPicPr>
        <xdr:cNvPr id="3" name="Picture 2">
          <a:extLst>
            <a:ext uri="{FF2B5EF4-FFF2-40B4-BE49-F238E27FC236}">
              <a16:creationId xmlns:a16="http://schemas.microsoft.com/office/drawing/2014/main" id="{1ABA0D8F-629E-AB95-0B3D-B72330D2C88E}"/>
            </a:ext>
          </a:extLst>
        </xdr:cNvPr>
        <xdr:cNvPicPr>
          <a:picLocks noChangeAspect="1"/>
        </xdr:cNvPicPr>
      </xdr:nvPicPr>
      <xdr:blipFill>
        <a:blip xmlns:r="http://schemas.openxmlformats.org/officeDocument/2006/relationships" r:embed="rId1"/>
        <a:stretch>
          <a:fillRect/>
        </a:stretch>
      </xdr:blipFill>
      <xdr:spPr>
        <a:xfrm>
          <a:off x="9636615682" y="8035634"/>
          <a:ext cx="14010409" cy="6400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92</xdr:row>
      <xdr:rowOff>78442</xdr:rowOff>
    </xdr:from>
    <xdr:to>
      <xdr:col>18</xdr:col>
      <xdr:colOff>3135467</xdr:colOff>
      <xdr:row>94</xdr:row>
      <xdr:rowOff>12231</xdr:rowOff>
    </xdr:to>
    <xdr:pic>
      <xdr:nvPicPr>
        <xdr:cNvPr id="4" name="Picture 3">
          <a:extLst>
            <a:ext uri="{FF2B5EF4-FFF2-40B4-BE49-F238E27FC236}">
              <a16:creationId xmlns:a16="http://schemas.microsoft.com/office/drawing/2014/main" id="{29755623-BCDB-AD8F-DFBD-A5D237006446}"/>
            </a:ext>
          </a:extLst>
        </xdr:cNvPr>
        <xdr:cNvPicPr>
          <a:picLocks noChangeAspect="1"/>
        </xdr:cNvPicPr>
      </xdr:nvPicPr>
      <xdr:blipFill>
        <a:blip xmlns:r="http://schemas.openxmlformats.org/officeDocument/2006/relationships" r:embed="rId1"/>
        <a:stretch>
          <a:fillRect/>
        </a:stretch>
      </xdr:blipFill>
      <xdr:spPr>
        <a:xfrm>
          <a:off x="9719382590" y="24372795"/>
          <a:ext cx="13822704" cy="647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746211</xdr:colOff>
      <xdr:row>0</xdr:row>
      <xdr:rowOff>34483</xdr:rowOff>
    </xdr:from>
    <xdr:to>
      <xdr:col>6</xdr:col>
      <xdr:colOff>1213186</xdr:colOff>
      <xdr:row>4</xdr:row>
      <xdr:rowOff>126224</xdr:rowOff>
    </xdr:to>
    <xdr:sp macro="" textlink="">
      <xdr:nvSpPr>
        <xdr:cNvPr id="2" name="Rectangle 1">
          <a:extLst>
            <a:ext uri="{FF2B5EF4-FFF2-40B4-BE49-F238E27FC236}">
              <a16:creationId xmlns:a16="http://schemas.microsoft.com/office/drawing/2014/main" id="{E02173DC-CA8D-48CD-A5B9-2AA95520EE17}"/>
            </a:ext>
          </a:extLst>
        </xdr:cNvPr>
        <xdr:cNvSpPr/>
      </xdr:nvSpPr>
      <xdr:spPr>
        <a:xfrm flipH="1">
          <a:off x="9986508139" y="34483"/>
          <a:ext cx="1873500" cy="856916"/>
        </a:xfrm>
        <a:prstGeom prst="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800">
              <a:solidFill>
                <a:schemeClr val="bg1">
                  <a:lumMod val="50000"/>
                </a:schemeClr>
              </a:solidFill>
              <a:latin typeface="Sakkal Majalla" panose="02000000000000000000" pitchFamily="2" charset="-78"/>
              <a:cs typeface="Sakkal Majalla" panose="02000000000000000000" pitchFamily="2" charset="-78"/>
            </a:rPr>
            <a:t>يتم تعبئة</a:t>
          </a:r>
          <a:r>
            <a:rPr lang="ar-SA" sz="1800" baseline="0">
              <a:solidFill>
                <a:schemeClr val="bg1">
                  <a:lumMod val="50000"/>
                </a:schemeClr>
              </a:solidFill>
              <a:latin typeface="Sakkal Majalla" panose="02000000000000000000" pitchFamily="2" charset="-78"/>
              <a:cs typeface="Sakkal Majalla" panose="02000000000000000000" pitchFamily="2" charset="-78"/>
            </a:rPr>
            <a:t> الحقول البيضاء فقط</a:t>
          </a:r>
          <a:endParaRPr lang="en-US" sz="1800">
            <a:solidFill>
              <a:schemeClr val="bg1">
                <a:lumMod val="50000"/>
              </a:schemeClr>
            </a:solidFill>
            <a:latin typeface="Sakkal Majalla" panose="02000000000000000000" pitchFamily="2" charset="-78"/>
            <a:cs typeface="Sakkal Majalla" panose="02000000000000000000" pitchFamily="2" charset="-7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455706</xdr:colOff>
      <xdr:row>0</xdr:row>
      <xdr:rowOff>37353</xdr:rowOff>
    </xdr:from>
    <xdr:to>
      <xdr:col>11</xdr:col>
      <xdr:colOff>167591</xdr:colOff>
      <xdr:row>3</xdr:row>
      <xdr:rowOff>28615</xdr:rowOff>
    </xdr:to>
    <xdr:sp macro="" textlink="">
      <xdr:nvSpPr>
        <xdr:cNvPr id="2" name="Rectangle 1">
          <a:extLst>
            <a:ext uri="{FF2B5EF4-FFF2-40B4-BE49-F238E27FC236}">
              <a16:creationId xmlns:a16="http://schemas.microsoft.com/office/drawing/2014/main" id="{36A63CA8-08B8-4C31-A75F-51385ACCB44F}"/>
            </a:ext>
          </a:extLst>
        </xdr:cNvPr>
        <xdr:cNvSpPr/>
      </xdr:nvSpPr>
      <xdr:spPr>
        <a:xfrm flipH="1">
          <a:off x="10029739585" y="37353"/>
          <a:ext cx="2311650" cy="872791"/>
        </a:xfrm>
        <a:prstGeom prst="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800">
              <a:solidFill>
                <a:schemeClr val="bg1">
                  <a:lumMod val="50000"/>
                </a:schemeClr>
              </a:solidFill>
              <a:latin typeface="Sakkal Majalla" panose="02000000000000000000" pitchFamily="2" charset="-78"/>
              <a:cs typeface="Sakkal Majalla" panose="02000000000000000000" pitchFamily="2" charset="-78"/>
            </a:rPr>
            <a:t>يتم تعبئة</a:t>
          </a:r>
          <a:r>
            <a:rPr lang="ar-SA" sz="1800" baseline="0">
              <a:solidFill>
                <a:schemeClr val="bg1">
                  <a:lumMod val="50000"/>
                </a:schemeClr>
              </a:solidFill>
              <a:latin typeface="Sakkal Majalla" panose="02000000000000000000" pitchFamily="2" charset="-78"/>
              <a:cs typeface="Sakkal Majalla" panose="02000000000000000000" pitchFamily="2" charset="-78"/>
            </a:rPr>
            <a:t> الحقول البيضاء فقط</a:t>
          </a:r>
          <a:endParaRPr lang="en-US" sz="1800">
            <a:solidFill>
              <a:schemeClr val="bg1">
                <a:lumMod val="50000"/>
              </a:schemeClr>
            </a:solidFill>
            <a:latin typeface="Sakkal Majalla" panose="02000000000000000000" pitchFamily="2" charset="-78"/>
            <a:cs typeface="Sakkal Majalla" panose="02000000000000000000" pitchFamily="2" charset="-7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1086386</xdr:colOff>
      <xdr:row>0</xdr:row>
      <xdr:rowOff>114760</xdr:rowOff>
    </xdr:from>
    <xdr:to>
      <xdr:col>4</xdr:col>
      <xdr:colOff>777054</xdr:colOff>
      <xdr:row>3</xdr:row>
      <xdr:rowOff>84780</xdr:rowOff>
    </xdr:to>
    <xdr:sp macro="" textlink="">
      <xdr:nvSpPr>
        <xdr:cNvPr id="2" name="Rectangle 1">
          <a:extLst>
            <a:ext uri="{FF2B5EF4-FFF2-40B4-BE49-F238E27FC236}">
              <a16:creationId xmlns:a16="http://schemas.microsoft.com/office/drawing/2014/main" id="{228916EF-D5C0-404C-9BF9-6A0C8C290230}"/>
            </a:ext>
          </a:extLst>
        </xdr:cNvPr>
        <xdr:cNvSpPr/>
      </xdr:nvSpPr>
      <xdr:spPr>
        <a:xfrm flipH="1">
          <a:off x="10028856681" y="114760"/>
          <a:ext cx="2314825" cy="872791"/>
        </a:xfrm>
        <a:prstGeom prst="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800">
              <a:solidFill>
                <a:schemeClr val="bg1">
                  <a:lumMod val="50000"/>
                </a:schemeClr>
              </a:solidFill>
              <a:latin typeface="Sakkal Majalla" panose="02000000000000000000" pitchFamily="2" charset="-78"/>
              <a:cs typeface="Sakkal Majalla" panose="02000000000000000000" pitchFamily="2" charset="-78"/>
            </a:rPr>
            <a:t>يتم تعبئة</a:t>
          </a:r>
          <a:r>
            <a:rPr lang="ar-SA" sz="1800" baseline="0">
              <a:solidFill>
                <a:schemeClr val="bg1">
                  <a:lumMod val="50000"/>
                </a:schemeClr>
              </a:solidFill>
              <a:latin typeface="Sakkal Majalla" panose="02000000000000000000" pitchFamily="2" charset="-78"/>
              <a:cs typeface="Sakkal Majalla" panose="02000000000000000000" pitchFamily="2" charset="-78"/>
            </a:rPr>
            <a:t> الحقول البيضاء فقط</a:t>
          </a:r>
          <a:endParaRPr lang="en-US" sz="1800">
            <a:solidFill>
              <a:schemeClr val="bg1">
                <a:lumMod val="50000"/>
              </a:schemeClr>
            </a:solidFill>
            <a:latin typeface="Sakkal Majalla" panose="02000000000000000000" pitchFamily="2" charset="-78"/>
            <a:cs typeface="Sakkal Majalla" panose="02000000000000000000" pitchFamily="2" charset="-7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564444</xdr:colOff>
      <xdr:row>0</xdr:row>
      <xdr:rowOff>28222</xdr:rowOff>
    </xdr:from>
    <xdr:to>
      <xdr:col>7</xdr:col>
      <xdr:colOff>452158</xdr:colOff>
      <xdr:row>3</xdr:row>
      <xdr:rowOff>50466</xdr:rowOff>
    </xdr:to>
    <xdr:sp macro="" textlink="">
      <xdr:nvSpPr>
        <xdr:cNvPr id="2" name="Rectangle 1">
          <a:extLst>
            <a:ext uri="{FF2B5EF4-FFF2-40B4-BE49-F238E27FC236}">
              <a16:creationId xmlns:a16="http://schemas.microsoft.com/office/drawing/2014/main" id="{29B35B1A-75B1-4464-8F87-07EA9C4D5D60}"/>
            </a:ext>
          </a:extLst>
        </xdr:cNvPr>
        <xdr:cNvSpPr/>
      </xdr:nvSpPr>
      <xdr:spPr>
        <a:xfrm flipH="1">
          <a:off x="9936747509" y="28222"/>
          <a:ext cx="2314825" cy="875966"/>
        </a:xfrm>
        <a:prstGeom prst="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800">
              <a:solidFill>
                <a:schemeClr val="bg1">
                  <a:lumMod val="50000"/>
                </a:schemeClr>
              </a:solidFill>
              <a:latin typeface="Sakkal Majalla" panose="02000000000000000000" pitchFamily="2" charset="-78"/>
              <a:cs typeface="Sakkal Majalla" panose="02000000000000000000" pitchFamily="2" charset="-78"/>
            </a:rPr>
            <a:t>يتم تعبئة</a:t>
          </a:r>
          <a:r>
            <a:rPr lang="ar-SA" sz="1800" baseline="0">
              <a:solidFill>
                <a:schemeClr val="bg1">
                  <a:lumMod val="50000"/>
                </a:schemeClr>
              </a:solidFill>
              <a:latin typeface="Sakkal Majalla" panose="02000000000000000000" pitchFamily="2" charset="-78"/>
              <a:cs typeface="Sakkal Majalla" panose="02000000000000000000" pitchFamily="2" charset="-78"/>
            </a:rPr>
            <a:t> الحقول البيضاء فقط</a:t>
          </a:r>
          <a:endParaRPr lang="en-US" sz="1800">
            <a:solidFill>
              <a:schemeClr val="bg1">
                <a:lumMod val="50000"/>
              </a:schemeClr>
            </a:solidFill>
            <a:latin typeface="Sakkal Majalla" panose="02000000000000000000" pitchFamily="2" charset="-78"/>
            <a:cs typeface="Sakkal Majalla" panose="02000000000000000000" pitchFamily="2" charset="-7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457200</xdr:colOff>
      <xdr:row>3</xdr:row>
      <xdr:rowOff>76200</xdr:rowOff>
    </xdr:from>
    <xdr:to>
      <xdr:col>7</xdr:col>
      <xdr:colOff>266700</xdr:colOff>
      <xdr:row>5</xdr:row>
      <xdr:rowOff>168275</xdr:rowOff>
    </xdr:to>
    <xdr:sp macro="" textlink="">
      <xdr:nvSpPr>
        <xdr:cNvPr id="2" name="Rectangle 1">
          <a:extLst>
            <a:ext uri="{FF2B5EF4-FFF2-40B4-BE49-F238E27FC236}">
              <a16:creationId xmlns:a16="http://schemas.microsoft.com/office/drawing/2014/main" id="{44BA60AF-B09D-4D86-A162-E2ACFCCF4C19}"/>
            </a:ext>
          </a:extLst>
        </xdr:cNvPr>
        <xdr:cNvSpPr/>
      </xdr:nvSpPr>
      <xdr:spPr>
        <a:xfrm flipH="1">
          <a:off x="9983152500" y="647700"/>
          <a:ext cx="4076700" cy="473075"/>
        </a:xfrm>
        <a:prstGeom prst="rect">
          <a:avLst/>
        </a:prstGeom>
        <a:noFill/>
        <a:ln w="635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800" baseline="0">
              <a:solidFill>
                <a:schemeClr val="bg1">
                  <a:lumMod val="50000"/>
                </a:schemeClr>
              </a:solidFill>
              <a:latin typeface="Sakkal Majalla" panose="02000000000000000000" pitchFamily="2" charset="-78"/>
              <a:cs typeface="Sakkal Majalla" panose="02000000000000000000" pitchFamily="2" charset="-78"/>
            </a:rPr>
            <a:t> </a:t>
          </a:r>
          <a:r>
            <a:rPr lang="ar-SA" sz="1800">
              <a:solidFill>
                <a:schemeClr val="bg1">
                  <a:lumMod val="50000"/>
                </a:schemeClr>
              </a:solidFill>
              <a:latin typeface="Sakkal Majalla" panose="02000000000000000000" pitchFamily="2" charset="-78"/>
              <a:cs typeface="Sakkal Majalla" panose="02000000000000000000" pitchFamily="2" charset="-78"/>
            </a:rPr>
            <a:t>ارفاق</a:t>
          </a:r>
          <a:r>
            <a:rPr lang="ar-SA" sz="1800" baseline="0">
              <a:solidFill>
                <a:schemeClr val="bg1">
                  <a:lumMod val="50000"/>
                </a:schemeClr>
              </a:solidFill>
              <a:latin typeface="Sakkal Majalla" panose="02000000000000000000" pitchFamily="2" charset="-78"/>
              <a:cs typeface="Sakkal Majalla" panose="02000000000000000000" pitchFamily="2" charset="-78"/>
            </a:rPr>
            <a:t> قائمة المركز المالي هنا موقعة و مختومة</a:t>
          </a:r>
          <a:r>
            <a:rPr lang="en-US" sz="1800" baseline="0">
              <a:solidFill>
                <a:schemeClr val="bg1">
                  <a:lumMod val="50000"/>
                </a:schemeClr>
              </a:solidFill>
              <a:latin typeface="Sakkal Majalla" panose="02000000000000000000" pitchFamily="2" charset="-78"/>
              <a:cs typeface="Sakkal Majalla" panose="02000000000000000000" pitchFamily="2" charset="-78"/>
            </a:rPr>
            <a:t> </a:t>
          </a:r>
          <a:r>
            <a:rPr lang="ar-SA" sz="1800" baseline="0">
              <a:solidFill>
                <a:schemeClr val="bg1">
                  <a:lumMod val="50000"/>
                </a:schemeClr>
              </a:solidFill>
              <a:latin typeface="Sakkal Majalla" panose="02000000000000000000" pitchFamily="2" charset="-78"/>
              <a:cs typeface="Sakkal Majalla" panose="02000000000000000000" pitchFamily="2" charset="-78"/>
            </a:rPr>
            <a:t>(اختياري)</a:t>
          </a:r>
          <a:endParaRPr lang="en-US" sz="1800">
            <a:solidFill>
              <a:schemeClr val="bg1">
                <a:lumMod val="50000"/>
              </a:schemeClr>
            </a:solidFill>
            <a:latin typeface="Sakkal Majalla" panose="02000000000000000000" pitchFamily="2" charset="-78"/>
            <a:cs typeface="Sakkal Majalla" panose="02000000000000000000" pitchFamily="2" charset="-78"/>
          </a:endParaRPr>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A2F8EA-FDEB-49D6-8B04-B7D3B71201EB}" name="Table3" displayName="Table3" ref="A2:L17" totalsRowShown="0" headerRowDxfId="178" dataDxfId="176" headerRowBorderDxfId="177" tableBorderDxfId="175" totalsRowBorderDxfId="174">
  <autoFilter ref="A2:L17" xr:uid="{6AA2F8EA-FDEB-49D6-8B04-B7D3B71201EB}"/>
  <tableColumns count="12">
    <tableColumn id="1" xr3:uid="{CE9BA210-F7FB-4CDD-B5E7-976252CF7333}" name="#" dataDxfId="173"/>
    <tableColumn id="12" xr3:uid="{B13E6054-B737-425B-90C5-DDBA5BB6C046}" name="نوع حساب الضمان " dataDxfId="172"/>
    <tableColumn id="2" xr3:uid="{EA2F0DD5-F0A9-4F25-BC9B-0491F6206643}" name="البند" dataDxfId="171"/>
    <tableColumn id="3" xr3:uid="{3C5D8334-389C-46BF-89A0-0CAB26CC789D}" name="رقم وثيقة الصرف" dataDxfId="170"/>
    <tableColumn id="4" xr3:uid="{35B914F7-0723-40A9-AFA6-1749CB23C7DB}" name="تاريخ الوثيقة" dataDxfId="169"/>
    <tableColumn id="5" xr3:uid="{BAB8026F-CE7E-43E2-9130-BD679EC9912B}" name="اسم المستفيد" dataDxfId="168"/>
    <tableColumn id="6" xr3:uid="{0DF7A11B-89AA-4D96-BA61-6BAD2B8C13F1}" name="صفة المستفيد" dataDxfId="167"/>
    <tableColumn id="7" xr3:uid="{39D413DC-B15E-4C4B-9118-BDC30213D857}" name="بيان الصرف" dataDxfId="166"/>
    <tableColumn id="11" xr3:uid="{92AA1F7A-F076-4EEC-9FB1-94304240FD41}" name="حالة الوثيقة" dataDxfId="165"/>
    <tableColumn id="8" xr3:uid="{42D2777D-F2AF-4FFF-B4B2-C52DFE173774}" name="تاريخ اعتماد الوثيقة" dataDxfId="164"/>
    <tableColumn id="9" xr3:uid="{172B535D-6BF6-4362-8173-6EA781283AA6}" name="تاريخ الدفع" dataDxfId="163"/>
    <tableColumn id="10" xr3:uid="{A2D4A809-B534-4D2E-9C46-41966E547A34}" name="المبلغ" dataDxfId="162"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9D5FB7C-28EB-4FA0-A872-81724FB1646A}" name="Table7" displayName="Table7" ref="A8:D15" totalsRowShown="0" headerRowDxfId="161" dataDxfId="159" headerRowBorderDxfId="160" tableBorderDxfId="158" totalsRowBorderDxfId="157">
  <autoFilter ref="A8:D15" xr:uid="{49D5FB7C-28EB-4FA0-A872-81724FB1646A}">
    <filterColumn colId="0" hiddenButton="1"/>
    <filterColumn colId="1" hiddenButton="1"/>
    <filterColumn colId="2" hiddenButton="1"/>
    <filterColumn colId="3" hiddenButton="1"/>
  </autoFilter>
  <tableColumns count="4">
    <tableColumn id="1" xr3:uid="{C6801FD4-C103-48D8-B3FB-BF099F1B1C12}" name="العمليات المدينة" dataDxfId="156"/>
    <tableColumn id="2" xr3:uid="{870F1463-DBE4-4072-8DFD-65474A448CBC}" name="المبلغ" dataDxfId="155" dataCellStyle="Comma">
      <calculatedColumnFormula>SUM(B3:B8)</calculatedColumnFormula>
    </tableColumn>
    <tableColumn id="3" xr3:uid="{F9479554-E5C7-436C-BF15-6A33B6DB8725}" name="العمليات الدائنة" dataDxfId="154"/>
    <tableColumn id="4" xr3:uid="{9B9A5CC5-00B0-4DA2-9A72-B024C2B22131}" name="المبلغ2" dataDxfId="153" dataCellStyle="Comma">
      <calculatedColumnFormula>SUM(D3:D8)</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9A0A24A-CC0A-4629-9F5B-588518285958}" name="Table8" displayName="Table8" ref="F8:I15" totalsRowShown="0" headerRowDxfId="152" dataDxfId="150" headerRowBorderDxfId="151" tableBorderDxfId="149" totalsRowBorderDxfId="148">
  <autoFilter ref="F8:I15" xr:uid="{89A0A24A-CC0A-4629-9F5B-588518285958}">
    <filterColumn colId="0" hiddenButton="1"/>
    <filterColumn colId="1" hiddenButton="1"/>
    <filterColumn colId="2" hiddenButton="1"/>
    <filterColumn colId="3" hiddenButton="1"/>
  </autoFilter>
  <tableColumns count="4">
    <tableColumn id="1" xr3:uid="{103A289A-4B3C-431D-94B7-B0922D58B9D2}" name="العمليات المدينة" dataDxfId="147"/>
    <tableColumn id="2" xr3:uid="{36CFE59B-2949-47C5-92EE-7CB4EBED5911}" name="المبلغ" dataDxfId="146" dataCellStyle="Comma"/>
    <tableColumn id="3" xr3:uid="{8CFEA1D7-2BCC-4909-AC7D-1DE3D984509C}" name="العمليات الدائنة" dataDxfId="145"/>
    <tableColumn id="4" xr3:uid="{A78BA9FB-628A-4E19-9338-4DC54B13E54C}" name="المبلغ2" dataDxfId="144"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BDC43FF-447B-4B59-A989-68D2D89050B7}" name="Table10" displayName="Table10" ref="A18:D18" headerRowCount="0" totalsRowShown="0" headerRowDxfId="143" dataDxfId="141" headerRowBorderDxfId="142" tableBorderDxfId="140">
  <tableColumns count="4">
    <tableColumn id="1" xr3:uid="{5FE693ED-6F71-40F8-8E85-E2B0E56AFB17}" name="Column1" headerRowDxfId="139" dataDxfId="138"/>
    <tableColumn id="2" xr3:uid="{F69173B6-C5B5-4FF7-956F-8D253B2BE9FF}" name="Column2" headerRowDxfId="137" dataDxfId="136" headerRowCellStyle="Comma" dataCellStyle="Comma">
      <calculatedColumnFormula>C5</calculatedColumnFormula>
    </tableColumn>
    <tableColumn id="3" xr3:uid="{A89562CE-0EEC-486F-8D09-B4D9A46C3E4B}" name="Column3" headerRowDxfId="135" dataDxfId="134"/>
    <tableColumn id="4" xr3:uid="{D3CF6CC2-2D4E-4F8D-B3FF-38831855612B}" name="Column4" headerRowDxfId="133" dataDxfId="132" headerRowCellStyle="Comma" dataCellStyle="Comma">
      <calculatedColumnFormula>B18+I15-G15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835B6A8-B3EC-4B4F-898A-3FB4C4907C3F}" name="Table11" displayName="Table11" ref="F18:I24" totalsRowShown="0" headerRowDxfId="131" dataDxfId="129" headerRowBorderDxfId="130" tableBorderDxfId="128" totalsRowBorderDxfId="127">
  <autoFilter ref="F18:I24" xr:uid="{5835B6A8-B3EC-4B4F-898A-3FB4C4907C3F}">
    <filterColumn colId="0" hiddenButton="1"/>
    <filterColumn colId="1" hiddenButton="1"/>
    <filterColumn colId="2" hiddenButton="1"/>
    <filterColumn colId="3" hiddenButton="1"/>
  </autoFilter>
  <tableColumns count="4">
    <tableColumn id="1" xr3:uid="{4E5C52F1-7B5E-41E4-8D36-C37F27B3CC22}" name="العمليات المدينة" dataDxfId="126"/>
    <tableColumn id="2" xr3:uid="{AEB19A5E-3D4A-421C-8299-243F3FB6BAC3}" name="المبلغ" dataDxfId="125" dataCellStyle="Comma"/>
    <tableColumn id="3" xr3:uid="{0F81213E-C2BD-4FE7-A3CA-4F3A65E3E2E2}" name="العمليات الدائنة" dataDxfId="124"/>
    <tableColumn id="4" xr3:uid="{B7794FBA-42F0-4D13-9007-12BEF31D7667}" name="المبلغ2" dataDxfId="123" dataCellStyle="Comma">
      <calculatedColumnFormula>SUM(I14:I18)</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385F679-1162-4195-9C38-64A15917B599}" name="Table12" displayName="Table12" ref="A27:B32" totalsRowShown="0" headerRowDxfId="122" dataDxfId="120" headerRowBorderDxfId="121" tableBorderDxfId="119" totalsRowBorderDxfId="118">
  <autoFilter ref="A27:B32" xr:uid="{0385F679-1162-4195-9C38-64A15917B599}">
    <filterColumn colId="0" hiddenButton="1"/>
    <filterColumn colId="1" hiddenButton="1"/>
  </autoFilter>
  <tableColumns count="2">
    <tableColumn id="1" xr3:uid="{FA255FDA-FC93-416B-8E5D-59FAB91A4AA8}" name=" المصاريف الإدارية التسويقي - الغير انشائية : 20% " dataDxfId="117"/>
    <tableColumn id="2" xr3:uid="{E5F29695-D8A7-4CCD-AB4D-B0BE27799FC9}" name="المبلغ" dataDxfId="116"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C48B217-7D23-42FD-81E6-BA69BCEB35D6}" name="Table13" displayName="Table13" ref="C27:D30" totalsRowShown="0" headerRowDxfId="115" dataDxfId="113" headerRowBorderDxfId="114" tableBorderDxfId="112" totalsRowBorderDxfId="111">
  <autoFilter ref="C27:D30" xr:uid="{3C48B217-7D23-42FD-81E6-BA69BCEB35D6}">
    <filterColumn colId="0" hiddenButton="1"/>
    <filterColumn colId="1" hiddenButton="1"/>
  </autoFilter>
  <tableColumns count="2">
    <tableColumn id="1" xr3:uid="{6A781E42-E769-4024-86C2-F4180E3E990E}" name="  حساب الحفظ: 5%" dataDxfId="110"/>
    <tableColumn id="2" xr3:uid="{D51FD64D-4F5C-49ED-8CB0-369246633795}" name="المبلغ" dataDxfId="109"/>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09D00-C5FC-4113-BF15-87AF80C4C6E7}" name="Table82" displayName="Table82" ref="F27:I34" totalsRowShown="0" headerRowDxfId="108" dataDxfId="106" headerRowBorderDxfId="107" tableBorderDxfId="105" totalsRowBorderDxfId="104">
  <autoFilter ref="F27:I34" xr:uid="{46909D00-C5FC-4113-BF15-87AF80C4C6E7}">
    <filterColumn colId="0" hiddenButton="1"/>
    <filterColumn colId="1" hiddenButton="1"/>
    <filterColumn colId="2" hiddenButton="1"/>
    <filterColumn colId="3" hiddenButton="1"/>
  </autoFilter>
  <tableColumns count="4">
    <tableColumn id="1" xr3:uid="{40285A5C-61C7-4132-BB2F-58183753DFB0}" name="العمليات المدينة" dataDxfId="103"/>
    <tableColumn id="2" xr3:uid="{87A68A60-577B-44A4-A441-E29FEC7928AD}" name="المبلغ" dataDxfId="102" dataCellStyle="Comma"/>
    <tableColumn id="3" xr3:uid="{C4AA399A-B718-47F2-BE51-10223E0F5313}" name="العمليات الدائنة" dataDxfId="101"/>
    <tableColumn id="4" xr3:uid="{145427A1-4DC0-40F8-B7C7-6C9C4EE2F8FE}" name="المبلغ2" dataDxfId="100"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2C5148E-05FF-4919-81BB-755DC302875F}" name="Table19" displayName="Table19" ref="B1:G17" totalsRowShown="0" headerRowDxfId="99" dataDxfId="97" headerRowBorderDxfId="98" tableBorderDxfId="96" totalsRowBorderDxfId="95">
  <autoFilter ref="B1:G17" xr:uid="{62C5148E-05FF-4919-81BB-755DC302875F}">
    <filterColumn colId="0" hiddenButton="1"/>
    <filterColumn colId="1" hiddenButton="1"/>
    <filterColumn colId="2" hiddenButton="1"/>
    <filterColumn colId="3" hiddenButton="1"/>
    <filterColumn colId="4" hiddenButton="1"/>
    <filterColumn colId="5" hiddenButton="1"/>
  </autoFilter>
  <tableColumns count="6">
    <tableColumn id="1" xr3:uid="{14C64B1D-0131-498D-A1A4-56FBFD319F8C}" name="بيان نوع الوحدات" dataDxfId="94"/>
    <tableColumn id="2" xr3:uid="{DC5BCD34-5684-41AA-A880-86140DFE1E26}" name="عدد" dataDxfId="93"/>
    <tableColumn id="3" xr3:uid="{835A628F-359E-4083-98B8-F1D915D82A8C}" name="نسبة" dataDxfId="92">
      <calculatedColumnFormula>C2/$C$17</calculatedColumnFormula>
    </tableColumn>
    <tableColumn id="4" xr3:uid="{6F913408-3F2A-4DA5-ABEA-FB1C67AB96D7}" name="قيمة الوحدات" dataDxfId="91"/>
    <tableColumn id="5" xr3:uid="{B9BAF22E-F7D2-4C02-BE88-1882930A8CEF}" name="قيمة المحصل من الوحدات المباعة" dataDxfId="90"/>
    <tableColumn id="6" xr3:uid="{E45428E8-37B6-4875-93FC-49752E7E24D4}" name="المتبقي" dataDxfId="89"/>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FF8BE01-5F81-4063-B6A0-EBF0B4D71EAD}" name="Table1921" displayName="Table1921" ref="B18:G34" totalsRowShown="0" headerRowDxfId="88" dataDxfId="86" headerRowBorderDxfId="87" tableBorderDxfId="85" totalsRowBorderDxfId="84">
  <autoFilter ref="B18:G34" xr:uid="{9FF8BE01-5F81-4063-B6A0-EBF0B4D71EAD}">
    <filterColumn colId="0" hiddenButton="1"/>
    <filterColumn colId="1" hiddenButton="1"/>
    <filterColumn colId="2" hiddenButton="1"/>
    <filterColumn colId="3" hiddenButton="1"/>
    <filterColumn colId="4" hiddenButton="1"/>
    <filterColumn colId="5" hiddenButton="1"/>
  </autoFilter>
  <tableColumns count="6">
    <tableColumn id="1" xr3:uid="{1C248470-ED7A-4E53-BC72-A4A3F8A92E17}" name="بيان نوع الوحدات" dataDxfId="83"/>
    <tableColumn id="2" xr3:uid="{B967060E-06AB-4A42-9482-AFBD1ACF58F5}" name="عدد" dataDxfId="82">
      <calculatedColumnFormula>SUM(C4:C18)</calculatedColumnFormula>
    </tableColumn>
    <tableColumn id="3" xr3:uid="{E7D8917D-1A07-4415-ABC1-8665D9AAC059}" name="نسبة" dataDxfId="81">
      <calculatedColumnFormula>Table1921[[#This Row],[عدد]]/$C$34</calculatedColumnFormula>
    </tableColumn>
    <tableColumn id="4" xr3:uid="{6E65F4DC-4A2D-4B9B-A090-CD2EDD1CDD20}" name="قيمة الوحدات" dataDxfId="80">
      <calculatedColumnFormula>SUBTOTAL(109,E4:E18)</calculatedColumnFormula>
    </tableColumn>
    <tableColumn id="5" xr3:uid="{0A099C3C-8833-4746-AEE7-C310E7B365FC}" name="قيمة المحصل من الوحدات المباعة" dataDxfId="79">
      <calculatedColumnFormula>SUBTOTAL(109,F4:F18)</calculatedColumnFormula>
    </tableColumn>
    <tableColumn id="6" xr3:uid="{160DF552-2905-47B8-AF4B-558C4D776171}" name="المتبقي" dataDxfId="78" dataCellStyle="Comma"/>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EEC88F5-0E35-48B2-83C5-F7C5022E8D5D}" name="Table192122" displayName="Table192122" ref="B35:G51" totalsRowShown="0" headerRowDxfId="77" dataDxfId="75" headerRowBorderDxfId="76" tableBorderDxfId="74" totalsRowBorderDxfId="73">
  <autoFilter ref="B35:G51" xr:uid="{4EEC88F5-0E35-48B2-83C5-F7C5022E8D5D}">
    <filterColumn colId="0" hiddenButton="1"/>
    <filterColumn colId="1" hiddenButton="1"/>
    <filterColumn colId="2" hiddenButton="1"/>
    <filterColumn colId="3" hiddenButton="1"/>
    <filterColumn colId="4" hiddenButton="1"/>
    <filterColumn colId="5" hiddenButton="1"/>
  </autoFilter>
  <tableColumns count="6">
    <tableColumn id="1" xr3:uid="{A704C6F3-CAAC-40EB-95A3-FAF7910BC8B1}" name="بيان نوع الوحدات" dataDxfId="72"/>
    <tableColumn id="2" xr3:uid="{FEA9411B-DF7A-4342-9F75-C3CF1BC6B1CA}" name="عدد" dataDxfId="71">
      <calculatedColumnFormula>SUM(C21:C35)</calculatedColumnFormula>
    </tableColumn>
    <tableColumn id="3" xr3:uid="{EE719376-4E78-4925-B1F4-CECBBACDDED4}" name="نسبة" dataDxfId="70">
      <calculatedColumnFormula>Table192122[[#This Row],[عدد]]/$C$51</calculatedColumnFormula>
    </tableColumn>
    <tableColumn id="4" xr3:uid="{52D7990F-6882-492F-8870-1DE85B59F262}" name="قيمة الوحدات" dataDxfId="69">
      <calculatedColumnFormula>SUBTOTAL(109,E21:E35)</calculatedColumnFormula>
    </tableColumn>
    <tableColumn id="5" xr3:uid="{CB4DDE54-42EC-4F25-A9A5-49E9F24B4EA9}" name="قيمة المحصل من الوحدات المباعة" dataDxfId="68">
      <calculatedColumnFormula>SUBTOTAL(109,F21:F35)</calculatedColumnFormula>
    </tableColumn>
    <tableColumn id="6" xr3:uid="{C31E24EC-4349-4B2E-B77A-8B3D38E7A87F}" name="المتبقي" dataDxfId="67" dataCellStyle="Comma"/>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7089B44-9470-4E75-8242-58B69F4B57CE}" name="Table19212223" displayName="Table19212223" ref="B52:G68" totalsRowShown="0" headerRowDxfId="66" dataDxfId="64" headerRowBorderDxfId="65" tableBorderDxfId="63" totalsRowBorderDxfId="62">
  <autoFilter ref="B52:G68" xr:uid="{97089B44-9470-4E75-8242-58B69F4B57CE}">
    <filterColumn colId="0" hiddenButton="1"/>
    <filterColumn colId="1" hiddenButton="1"/>
    <filterColumn colId="2" hiddenButton="1"/>
    <filterColumn colId="3" hiddenButton="1"/>
    <filterColumn colId="4" hiddenButton="1"/>
    <filterColumn colId="5" hiddenButton="1"/>
  </autoFilter>
  <tableColumns count="6">
    <tableColumn id="1" xr3:uid="{F4295205-446F-49E7-878A-BBDACA2B8E1D}" name="بيان نوع الوحدات" dataDxfId="61"/>
    <tableColumn id="2" xr3:uid="{FF26A2B1-428A-4A32-A3A3-2F623F323EF9}" name="عدد" dataDxfId="60">
      <calculatedColumnFormula>SUM(C38:C52)</calculatedColumnFormula>
    </tableColumn>
    <tableColumn id="3" xr3:uid="{1D715E73-E47E-4CA6-82ED-CB30A4C9B318}" name="نسبة" dataDxfId="59">
      <calculatedColumnFormula>SUM(109,D38:D52)</calculatedColumnFormula>
    </tableColumn>
    <tableColumn id="4" xr3:uid="{A02A4AF3-4842-4FD3-BCA7-0F27E52D841B}" name="قيمة الوحدات" dataDxfId="58">
      <calculatedColumnFormula>SUBTOTAL(109,E38:E52)</calculatedColumnFormula>
    </tableColumn>
    <tableColumn id="5" xr3:uid="{4A874491-5219-4953-967E-0BDBBA4612E8}" name="قيمة المحصل من الوحدات المباعة" dataDxfId="57">
      <calculatedColumnFormula>SUBTOTAL(109,F38:F52)</calculatedColumnFormula>
    </tableColumn>
    <tableColumn id="6" xr3:uid="{AF652139-998B-43FF-A799-3DEE3F1432A1}" name="المتبقي" dataDxfId="56" dataCellStyle="Comma"/>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259510A-2421-4F07-8EA3-56652E54DCF4}" name="Table1921222324" displayName="Table1921222324" ref="B69:G85" totalsRowShown="0" headerRowDxfId="55" dataDxfId="53" headerRowBorderDxfId="54" tableBorderDxfId="52" totalsRowBorderDxfId="51">
  <autoFilter ref="B69:G85" xr:uid="{D259510A-2421-4F07-8EA3-56652E54DCF4}">
    <filterColumn colId="0" hiddenButton="1"/>
    <filterColumn colId="1" hiddenButton="1"/>
    <filterColumn colId="2" hiddenButton="1"/>
    <filterColumn colId="3" hiddenButton="1"/>
    <filterColumn colId="4" hiddenButton="1"/>
    <filterColumn colId="5" hiddenButton="1"/>
  </autoFilter>
  <tableColumns count="6">
    <tableColumn id="1" xr3:uid="{51C9ADC7-6F6A-4E13-8C5F-B2457569A063}" name="بيان نوع الوحدات" dataDxfId="50"/>
    <tableColumn id="2" xr3:uid="{166C94D2-842C-46BD-9D7B-D8E76B16C6C8}" name="عدد" dataDxfId="49">
      <calculatedColumnFormula>SUM(C55:C69)</calculatedColumnFormula>
    </tableColumn>
    <tableColumn id="3" xr3:uid="{D956495E-C3F9-4738-A5D6-8A608CDCFA39}" name="نسبة" dataDxfId="48">
      <calculatedColumnFormula>Table1921222324[[#This Row],[عدد]]/$C$85</calculatedColumnFormula>
    </tableColumn>
    <tableColumn id="4" xr3:uid="{6BC376E6-17D0-40F8-BD91-652A9F130022}" name="قيمة الوحدات" dataDxfId="47">
      <calculatedColumnFormula>SUBTOTAL(109,E55:E69)</calculatedColumnFormula>
    </tableColumn>
    <tableColumn id="5" xr3:uid="{1869EE1E-A8DE-4EAA-917C-3D7E662A006D}" name="قيمة المحصل من الوحدات المباعة" dataDxfId="46">
      <calculatedColumnFormula>SUBTOTAL(109,F55:F69)</calculatedColumnFormula>
    </tableColumn>
    <tableColumn id="6" xr3:uid="{E7298941-94A9-479B-B2A1-F8452EEE48DF}" name="المتبقي" dataDxfId="45" dataCellStyle="Comma"/>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C49EB88-0CDC-4A9F-934B-957A17DA3785}" name="Table24" displayName="Table24" ref="B103:D119" totalsRowShown="0" headerRowDxfId="44" dataDxfId="42" headerRowBorderDxfId="43" tableBorderDxfId="41" totalsRowBorderDxfId="40">
  <autoFilter ref="B103:D119" xr:uid="{6C49EB88-0CDC-4A9F-934B-957A17DA3785}">
    <filterColumn colId="0" hiddenButton="1"/>
    <filterColumn colId="1" hiddenButton="1"/>
    <filterColumn colId="2" hiddenButton="1"/>
  </autoFilter>
  <tableColumns count="3">
    <tableColumn id="1" xr3:uid="{C2726997-004A-49C6-8BA9-F06575D39C0B}" name="بيان نوع الوحدات" dataDxfId="39"/>
    <tableColumn id="2" xr3:uid="{DDDA7C20-BF7A-42DA-9F92-888DAED0323C}" name="عدد" dataDxfId="38">
      <calculatedColumnFormula>SUM(C72:C85)</calculatedColumnFormula>
    </tableColumn>
    <tableColumn id="3" xr3:uid="{C76B8E4F-78C4-4808-B869-70F961893460}" name="نسبة (من الوحدات المرخصة)" dataDxfId="37" dataCellStyle="Percent">
      <calculatedColumnFormula>SUM(D72:D85)</calculatedColumnFormula>
    </tableColumn>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9E46A4E-8336-4E57-9116-B722D454FEE2}" name="Table19212223246" displayName="Table19212223246" ref="B86:G102" totalsRowShown="0" headerRowDxfId="36" dataDxfId="34" headerRowBorderDxfId="35" tableBorderDxfId="33" totalsRowBorderDxfId="32">
  <autoFilter ref="B86:G102" xr:uid="{A9E46A4E-8336-4E57-9116-B722D454FEE2}">
    <filterColumn colId="0" hiddenButton="1"/>
    <filterColumn colId="1" hiddenButton="1"/>
    <filterColumn colId="2" hiddenButton="1"/>
    <filterColumn colId="3" hiddenButton="1"/>
    <filterColumn colId="4" hiddenButton="1"/>
    <filterColumn colId="5" hiddenButton="1"/>
  </autoFilter>
  <tableColumns count="6">
    <tableColumn id="1" xr3:uid="{CBB73BDA-0014-4EF3-BB20-8ADF4AF0D2F4}" name="بيان نوع الوحدات" dataDxfId="31"/>
    <tableColumn id="2" xr3:uid="{756169EA-99C2-480B-98E2-413CD6EE9A2C}" name="عدد" dataDxfId="30">
      <calculatedColumnFormula>SUM(C86:C102)</calculatedColumnFormula>
    </tableColumn>
    <tableColumn id="3" xr3:uid="{CD5B8F81-3435-49FD-871A-D00D7D5DD606}" name="نسبة" dataDxfId="29">
      <calculatedColumnFormula>Table19212223246[[#This Row],[عدد]]/$C$85</calculatedColumnFormula>
    </tableColumn>
    <tableColumn id="4" xr3:uid="{ACC52526-F384-41C3-89C6-50BA887AA0E4}" name="قيمة الوحدات" dataDxfId="28">
      <calculatedColumnFormula>SUBTOTAL(109,E86:E102)</calculatedColumnFormula>
    </tableColumn>
    <tableColumn id="5" xr3:uid="{B847932B-27B3-429C-B6CB-CCE382F19080}" name="قيمة المحصل من الوحدات المباعة (متوقع)" dataDxfId="27">
      <calculatedColumnFormula>SUBTOTAL(109,F72:F86)</calculatedColumnFormula>
    </tableColumn>
    <tableColumn id="6" xr3:uid="{64B35A5F-6417-4AE0-B2BC-5B91DBEF3F87}" name="المتبقي" dataDxfId="26" dataCellStyle="Comma"/>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6A2BD51-FFAA-4A3C-98E0-6CBF6E3DEAD0}" name="Table25" displayName="Table25" ref="A2:B13" headerRowCount="0" totalsRowShown="0" headerRowDxfId="25" dataDxfId="23" headerRowBorderDxfId="24" tableBorderDxfId="22" totalsRowBorderDxfId="21">
  <tableColumns count="2">
    <tableColumn id="1" xr3:uid="{331AE8B1-9643-499D-9883-4F1BA60EEB20}" name="Column1" headerRowDxfId="20" dataDxfId="19"/>
    <tableColumn id="2" xr3:uid="{CAC15DF5-9D31-48F5-8D96-2851A1B2A457}" name="Column2" headerRowDxfId="18" dataDxfId="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vmlDrawing" Target="../drawings/vmlDrawing4.vml"/><Relationship Id="rId7"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6.bin"/><Relationship Id="rId6" Type="http://schemas.openxmlformats.org/officeDocument/2006/relationships/table" Target="../tables/table4.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vmlDrawing" Target="../drawings/vmlDrawing5.vml"/><Relationship Id="rId7" Type="http://schemas.openxmlformats.org/officeDocument/2006/relationships/table" Target="../tables/table12.xml"/><Relationship Id="rId2" Type="http://schemas.openxmlformats.org/officeDocument/2006/relationships/drawing" Target="../drawings/drawing4.xml"/><Relationship Id="rId1" Type="http://schemas.openxmlformats.org/officeDocument/2006/relationships/printerSettings" Target="../printerSettings/printerSettings7.bin"/><Relationship Id="rId6" Type="http://schemas.openxmlformats.org/officeDocument/2006/relationships/table" Target="../tables/table11.xml"/><Relationship Id="rId5" Type="http://schemas.openxmlformats.org/officeDocument/2006/relationships/table" Target="../tables/table10.xml"/><Relationship Id="rId10" Type="http://schemas.openxmlformats.org/officeDocument/2006/relationships/table" Target="../tables/table15.xml"/><Relationship Id="rId4" Type="http://schemas.openxmlformats.org/officeDocument/2006/relationships/table" Target="../tables/table9.xml"/><Relationship Id="rId9"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AC0E3-BA57-43CC-8C26-EAF40C4CD38F}">
  <sheetPr>
    <tabColor rgb="FF005257"/>
  </sheetPr>
  <dimension ref="A1:R40"/>
  <sheetViews>
    <sheetView showGridLines="0" showRowColHeaders="0" rightToLeft="1" zoomScale="53" zoomScaleNormal="80" workbookViewId="0">
      <selection activeCell="A113" sqref="A113"/>
    </sheetView>
  </sheetViews>
  <sheetFormatPr defaultColWidth="8.85546875" defaultRowHeight="15" x14ac:dyDescent="0.25"/>
  <cols>
    <col min="1" max="18" width="11.7109375" style="139" customWidth="1"/>
    <col min="19" max="16384" width="8.85546875" style="139"/>
  </cols>
  <sheetData>
    <row r="1" spans="1:18" ht="24.6" customHeight="1" x14ac:dyDescent="0.25">
      <c r="A1" s="151" t="e" vm="1">
        <v>#VALUE!</v>
      </c>
      <c r="B1" s="151"/>
      <c r="C1" s="151"/>
      <c r="D1" s="151"/>
      <c r="E1" s="151"/>
      <c r="F1" s="151"/>
      <c r="G1" s="151"/>
      <c r="H1" s="151"/>
      <c r="I1" s="151"/>
      <c r="J1" s="151"/>
      <c r="K1" s="151"/>
      <c r="L1" s="151"/>
      <c r="M1" s="151"/>
      <c r="N1" s="151"/>
      <c r="O1" s="151"/>
      <c r="P1" s="151"/>
      <c r="Q1" s="151"/>
      <c r="R1" s="151"/>
    </row>
    <row r="2" spans="1:18" ht="24.6" customHeight="1" x14ac:dyDescent="0.25">
      <c r="A2" s="151"/>
      <c r="B2" s="151"/>
      <c r="C2" s="151"/>
      <c r="D2" s="151"/>
      <c r="E2" s="151"/>
      <c r="F2" s="151"/>
      <c r="G2" s="151"/>
      <c r="H2" s="151"/>
      <c r="I2" s="151"/>
      <c r="J2" s="151"/>
      <c r="K2" s="151"/>
      <c r="L2" s="151"/>
      <c r="M2" s="151"/>
      <c r="N2" s="151"/>
      <c r="O2" s="151"/>
      <c r="P2" s="151"/>
      <c r="Q2" s="151"/>
      <c r="R2" s="151"/>
    </row>
    <row r="3" spans="1:18" ht="24.6" customHeight="1" x14ac:dyDescent="0.25">
      <c r="A3" s="151"/>
      <c r="B3" s="151"/>
      <c r="C3" s="151"/>
      <c r="D3" s="151"/>
      <c r="E3" s="151"/>
      <c r="F3" s="151"/>
      <c r="G3" s="151"/>
      <c r="H3" s="151"/>
      <c r="I3" s="151"/>
      <c r="J3" s="151"/>
      <c r="K3" s="151"/>
      <c r="L3" s="151"/>
      <c r="M3" s="151"/>
      <c r="N3" s="151"/>
      <c r="O3" s="151"/>
      <c r="P3" s="151"/>
      <c r="Q3" s="151"/>
      <c r="R3" s="151"/>
    </row>
    <row r="4" spans="1:18" ht="24.6" customHeight="1" x14ac:dyDescent="0.25">
      <c r="A4" s="151"/>
      <c r="B4" s="151"/>
      <c r="C4" s="151"/>
      <c r="D4" s="151"/>
      <c r="E4" s="151"/>
      <c r="F4" s="151"/>
      <c r="G4" s="151"/>
      <c r="H4" s="151"/>
      <c r="I4" s="151"/>
      <c r="J4" s="151"/>
      <c r="K4" s="151"/>
      <c r="L4" s="151"/>
      <c r="M4" s="151"/>
      <c r="N4" s="151"/>
      <c r="O4" s="151"/>
      <c r="P4" s="151"/>
      <c r="Q4" s="151"/>
      <c r="R4" s="151"/>
    </row>
    <row r="5" spans="1:18" ht="24.6" customHeight="1" x14ac:dyDescent="0.25">
      <c r="A5" s="151"/>
      <c r="B5" s="151"/>
      <c r="C5" s="151"/>
      <c r="D5" s="151"/>
      <c r="E5" s="151"/>
      <c r="F5" s="151"/>
      <c r="G5" s="151"/>
      <c r="H5" s="151"/>
      <c r="I5" s="151"/>
      <c r="J5" s="151"/>
      <c r="K5" s="151"/>
      <c r="L5" s="151"/>
      <c r="M5" s="151"/>
      <c r="N5" s="151"/>
      <c r="O5" s="151"/>
      <c r="P5" s="151"/>
      <c r="Q5" s="151"/>
      <c r="R5" s="151"/>
    </row>
    <row r="6" spans="1:18" ht="24.6" customHeight="1" x14ac:dyDescent="0.25">
      <c r="A6" s="151"/>
      <c r="B6" s="151"/>
      <c r="C6" s="151"/>
      <c r="D6" s="151"/>
      <c r="E6" s="151"/>
      <c r="F6" s="151"/>
      <c r="G6" s="151"/>
      <c r="H6" s="151"/>
      <c r="I6" s="151"/>
      <c r="J6" s="151"/>
      <c r="K6" s="151"/>
      <c r="L6" s="151"/>
      <c r="M6" s="151"/>
      <c r="N6" s="151"/>
      <c r="O6" s="151"/>
      <c r="P6" s="151"/>
      <c r="Q6" s="151"/>
      <c r="R6" s="151"/>
    </row>
    <row r="7" spans="1:18" ht="24.6" customHeight="1" x14ac:dyDescent="0.25">
      <c r="A7" s="151"/>
      <c r="B7" s="151"/>
      <c r="C7" s="151"/>
      <c r="D7" s="151"/>
      <c r="E7" s="151"/>
      <c r="F7" s="151"/>
      <c r="G7" s="151"/>
      <c r="H7" s="151"/>
      <c r="I7" s="151"/>
      <c r="J7" s="151"/>
      <c r="K7" s="151"/>
      <c r="L7" s="151"/>
      <c r="M7" s="151"/>
      <c r="N7" s="151"/>
      <c r="O7" s="151"/>
      <c r="P7" s="151"/>
      <c r="Q7" s="151"/>
      <c r="R7" s="151"/>
    </row>
    <row r="8" spans="1:18" ht="18.75" x14ac:dyDescent="0.25">
      <c r="A8" s="140"/>
      <c r="B8" s="140"/>
      <c r="C8" s="140"/>
      <c r="D8" s="140"/>
      <c r="E8" s="140"/>
      <c r="F8" s="140"/>
      <c r="G8" s="140"/>
      <c r="H8" s="140"/>
      <c r="I8" s="140"/>
      <c r="J8" s="140"/>
      <c r="K8" s="140"/>
      <c r="L8" s="140"/>
      <c r="M8" s="140"/>
      <c r="N8" s="140"/>
      <c r="O8" s="140"/>
      <c r="P8" s="141"/>
      <c r="Q8" s="141"/>
      <c r="R8" s="141"/>
    </row>
    <row r="9" spans="1:18" ht="23.25" x14ac:dyDescent="0.25">
      <c r="A9" s="142"/>
      <c r="B9" s="142"/>
      <c r="C9" s="142"/>
      <c r="D9" s="142"/>
      <c r="E9" s="142"/>
      <c r="F9" s="142"/>
      <c r="G9" s="142"/>
      <c r="H9" s="142"/>
      <c r="I9" s="142"/>
      <c r="J9" s="142"/>
      <c r="K9" s="142"/>
      <c r="L9" s="142"/>
      <c r="M9" s="142"/>
      <c r="N9" s="142"/>
      <c r="O9" s="141"/>
      <c r="P9" s="141"/>
      <c r="Q9" s="141"/>
      <c r="R9" s="141"/>
    </row>
    <row r="10" spans="1:18" ht="14.45" customHeight="1" x14ac:dyDescent="0.25">
      <c r="A10" s="157" t="s">
        <v>214</v>
      </c>
      <c r="B10" s="157"/>
      <c r="C10" s="157"/>
      <c r="D10" s="157"/>
      <c r="E10" s="157"/>
      <c r="F10" s="157"/>
      <c r="G10" s="157"/>
      <c r="H10" s="157"/>
      <c r="I10" s="157"/>
      <c r="J10" s="157"/>
      <c r="K10" s="157"/>
      <c r="L10" s="157"/>
      <c r="M10" s="157"/>
      <c r="N10" s="157"/>
      <c r="O10" s="157"/>
      <c r="P10" s="157"/>
      <c r="Q10" s="157"/>
      <c r="R10" s="157"/>
    </row>
    <row r="11" spans="1:18" ht="24.6" customHeight="1" x14ac:dyDescent="0.25">
      <c r="A11" s="158"/>
      <c r="B11" s="158"/>
      <c r="C11" s="158"/>
      <c r="D11" s="158"/>
      <c r="E11" s="158"/>
      <c r="F11" s="158"/>
      <c r="G11" s="158"/>
      <c r="H11" s="158"/>
      <c r="I11" s="158"/>
      <c r="J11" s="158"/>
      <c r="K11" s="158"/>
      <c r="L11" s="158"/>
      <c r="M11" s="158"/>
      <c r="N11" s="158"/>
      <c r="O11" s="158"/>
      <c r="P11" s="158"/>
      <c r="Q11" s="158"/>
      <c r="R11" s="158"/>
    </row>
    <row r="12" spans="1:18" ht="24.6" customHeight="1" x14ac:dyDescent="0.25">
      <c r="A12" s="158"/>
      <c r="B12" s="158"/>
      <c r="C12" s="158"/>
      <c r="D12" s="158"/>
      <c r="E12" s="158"/>
      <c r="F12" s="158"/>
      <c r="G12" s="158"/>
      <c r="H12" s="158"/>
      <c r="I12" s="158"/>
      <c r="J12" s="158"/>
      <c r="K12" s="158"/>
      <c r="L12" s="158"/>
      <c r="M12" s="158"/>
      <c r="N12" s="158"/>
      <c r="O12" s="158"/>
      <c r="P12" s="158"/>
      <c r="Q12" s="158"/>
      <c r="R12" s="158"/>
    </row>
    <row r="13" spans="1:18" ht="25.15" customHeight="1" x14ac:dyDescent="0.25">
      <c r="A13" s="158"/>
      <c r="B13" s="158"/>
      <c r="C13" s="158"/>
      <c r="D13" s="158"/>
      <c r="E13" s="158"/>
      <c r="F13" s="158"/>
      <c r="G13" s="158"/>
      <c r="H13" s="158"/>
      <c r="I13" s="158"/>
      <c r="J13" s="158"/>
      <c r="K13" s="158"/>
      <c r="L13" s="158"/>
      <c r="M13" s="158"/>
      <c r="N13" s="158"/>
      <c r="O13" s="158"/>
      <c r="P13" s="158"/>
      <c r="Q13" s="158"/>
      <c r="R13" s="158"/>
    </row>
    <row r="14" spans="1:18" ht="24.6" customHeight="1" x14ac:dyDescent="0.25">
      <c r="A14" s="158"/>
      <c r="B14" s="158"/>
      <c r="C14" s="158"/>
      <c r="D14" s="158"/>
      <c r="E14" s="158"/>
      <c r="F14" s="158"/>
      <c r="G14" s="158"/>
      <c r="H14" s="158"/>
      <c r="I14" s="158"/>
      <c r="J14" s="158"/>
      <c r="K14" s="158"/>
      <c r="L14" s="158"/>
      <c r="M14" s="158"/>
      <c r="N14" s="158"/>
      <c r="O14" s="158"/>
      <c r="P14" s="158"/>
      <c r="Q14" s="158"/>
      <c r="R14" s="158"/>
    </row>
    <row r="15" spans="1:18" ht="24.6" customHeight="1" x14ac:dyDescent="0.25">
      <c r="A15" s="158"/>
      <c r="B15" s="158"/>
      <c r="C15" s="158"/>
      <c r="D15" s="158"/>
      <c r="E15" s="158"/>
      <c r="F15" s="158"/>
      <c r="G15" s="158"/>
      <c r="H15" s="158"/>
      <c r="I15" s="158"/>
      <c r="J15" s="158"/>
      <c r="K15" s="158"/>
      <c r="L15" s="158"/>
      <c r="M15" s="158"/>
      <c r="N15" s="158"/>
      <c r="O15" s="158"/>
      <c r="P15" s="158"/>
      <c r="Q15" s="158"/>
      <c r="R15" s="158"/>
    </row>
    <row r="16" spans="1:18" ht="24.6" customHeight="1" x14ac:dyDescent="0.25">
      <c r="A16" s="158"/>
      <c r="B16" s="158"/>
      <c r="C16" s="158"/>
      <c r="D16" s="158"/>
      <c r="E16" s="158"/>
      <c r="F16" s="158"/>
      <c r="G16" s="158"/>
      <c r="H16" s="158"/>
      <c r="I16" s="158"/>
      <c r="J16" s="158"/>
      <c r="K16" s="158"/>
      <c r="L16" s="158"/>
      <c r="M16" s="158"/>
      <c r="N16" s="158"/>
      <c r="O16" s="158"/>
      <c r="P16" s="158"/>
      <c r="Q16" s="158"/>
      <c r="R16" s="158"/>
    </row>
    <row r="17" spans="1:18" ht="24.6" customHeight="1" x14ac:dyDescent="0.25">
      <c r="A17" s="158"/>
      <c r="B17" s="158"/>
      <c r="C17" s="158"/>
      <c r="D17" s="158"/>
      <c r="E17" s="158"/>
      <c r="F17" s="158"/>
      <c r="G17" s="158"/>
      <c r="H17" s="158"/>
      <c r="I17" s="158"/>
      <c r="J17" s="158"/>
      <c r="K17" s="158"/>
      <c r="L17" s="158"/>
      <c r="M17" s="158"/>
      <c r="N17" s="158"/>
      <c r="O17" s="158"/>
      <c r="P17" s="158"/>
      <c r="Q17" s="158"/>
      <c r="R17" s="158"/>
    </row>
    <row r="18" spans="1:18" ht="24.6" customHeight="1" x14ac:dyDescent="0.25">
      <c r="A18" s="158"/>
      <c r="B18" s="158"/>
      <c r="C18" s="158"/>
      <c r="D18" s="158"/>
      <c r="E18" s="158"/>
      <c r="F18" s="158"/>
      <c r="G18" s="158"/>
      <c r="H18" s="158"/>
      <c r="I18" s="158"/>
      <c r="J18" s="158"/>
      <c r="K18" s="158"/>
      <c r="L18" s="158"/>
      <c r="M18" s="158"/>
      <c r="N18" s="158"/>
      <c r="O18" s="158"/>
      <c r="P18" s="158"/>
      <c r="Q18" s="158"/>
      <c r="R18" s="158"/>
    </row>
    <row r="19" spans="1:18" ht="24.6" customHeight="1" x14ac:dyDescent="0.25">
      <c r="A19" s="159"/>
      <c r="B19" s="159"/>
      <c r="C19" s="159"/>
      <c r="D19" s="159"/>
      <c r="E19" s="159"/>
      <c r="F19" s="159"/>
      <c r="G19" s="159"/>
      <c r="H19" s="159"/>
      <c r="I19" s="159"/>
      <c r="J19" s="159"/>
      <c r="K19" s="159"/>
      <c r="L19" s="159"/>
      <c r="M19" s="159"/>
      <c r="N19" s="159"/>
      <c r="O19" s="159"/>
      <c r="P19" s="159"/>
      <c r="Q19" s="159"/>
      <c r="R19" s="159"/>
    </row>
    <row r="20" spans="1:18" ht="24.6" customHeight="1" x14ac:dyDescent="0.25">
      <c r="A20" s="160"/>
      <c r="B20" s="160"/>
      <c r="C20" s="160"/>
      <c r="D20" s="160"/>
      <c r="E20" s="160"/>
      <c r="F20" s="160"/>
      <c r="G20" s="160"/>
      <c r="H20" s="160"/>
      <c r="I20" s="160"/>
      <c r="J20" s="160"/>
      <c r="K20" s="160"/>
      <c r="L20" s="160"/>
      <c r="M20" s="160"/>
      <c r="N20" s="160"/>
      <c r="O20" s="160"/>
      <c r="P20" s="160"/>
      <c r="Q20" s="160"/>
      <c r="R20" s="160"/>
    </row>
    <row r="21" spans="1:18" ht="24.6" customHeight="1" x14ac:dyDescent="0.25">
      <c r="A21" s="160"/>
      <c r="B21" s="160"/>
      <c r="C21" s="160"/>
      <c r="D21" s="160"/>
      <c r="E21" s="160"/>
      <c r="F21" s="160"/>
      <c r="G21" s="160"/>
      <c r="H21" s="160"/>
      <c r="I21" s="160"/>
      <c r="J21" s="160"/>
      <c r="K21" s="160"/>
      <c r="L21" s="160"/>
      <c r="M21" s="160"/>
      <c r="N21" s="160"/>
      <c r="O21" s="160"/>
      <c r="P21" s="160"/>
      <c r="Q21" s="160"/>
      <c r="R21" s="160"/>
    </row>
    <row r="22" spans="1:18" ht="23.25" x14ac:dyDescent="0.25">
      <c r="A22" s="143"/>
      <c r="B22" s="143"/>
      <c r="C22" s="143"/>
      <c r="D22" s="143"/>
      <c r="E22" s="143"/>
      <c r="F22" s="143"/>
      <c r="G22" s="143"/>
      <c r="H22" s="143"/>
      <c r="I22" s="143"/>
      <c r="J22" s="143"/>
      <c r="K22" s="143"/>
      <c r="L22" s="143"/>
      <c r="M22" s="143"/>
      <c r="N22" s="143"/>
      <c r="O22" s="143"/>
      <c r="P22" s="141"/>
      <c r="Q22" s="141"/>
      <c r="R22" s="141"/>
    </row>
    <row r="23" spans="1:18" ht="23.25" x14ac:dyDescent="0.25">
      <c r="A23" s="143"/>
      <c r="B23" s="143"/>
      <c r="C23" s="143"/>
      <c r="D23" s="143"/>
      <c r="E23" s="143"/>
      <c r="F23" s="143"/>
      <c r="G23" s="143"/>
      <c r="H23" s="143"/>
      <c r="I23" s="143"/>
      <c r="J23" s="143"/>
      <c r="K23" s="143"/>
      <c r="L23" s="143"/>
      <c r="M23" s="143"/>
      <c r="N23" s="143"/>
      <c r="O23" s="143"/>
      <c r="P23" s="141"/>
      <c r="Q23" s="141"/>
      <c r="R23" s="141"/>
    </row>
    <row r="24" spans="1:18" ht="23.25" x14ac:dyDescent="0.25">
      <c r="A24" s="143"/>
      <c r="B24" s="143"/>
      <c r="C24" s="143"/>
      <c r="D24" s="143"/>
      <c r="E24" s="143"/>
      <c r="F24" s="143"/>
      <c r="G24" s="143"/>
      <c r="H24" s="143"/>
      <c r="I24" s="143"/>
      <c r="J24" s="143"/>
      <c r="K24" s="143"/>
      <c r="L24" s="143"/>
      <c r="M24" s="143"/>
      <c r="N24" s="143"/>
      <c r="O24" s="143"/>
      <c r="P24" s="141"/>
      <c r="Q24" s="141"/>
      <c r="R24" s="141"/>
    </row>
    <row r="25" spans="1:18" ht="23.25" x14ac:dyDescent="0.25">
      <c r="A25" s="143"/>
      <c r="B25" s="143"/>
      <c r="C25" s="143"/>
      <c r="D25" s="143"/>
      <c r="E25" s="143"/>
      <c r="F25" s="143"/>
      <c r="G25" s="143"/>
      <c r="H25" s="143"/>
      <c r="I25" s="143"/>
      <c r="J25" s="143"/>
      <c r="K25" s="143"/>
      <c r="L25" s="143"/>
      <c r="M25" s="143"/>
      <c r="N25" s="143"/>
      <c r="O25" s="143"/>
      <c r="P25" s="141"/>
      <c r="Q25" s="141"/>
      <c r="R25" s="141"/>
    </row>
    <row r="26" spans="1:18" ht="23.25" customHeight="1" x14ac:dyDescent="0.25">
      <c r="A26" s="161"/>
      <c r="B26" s="161"/>
      <c r="C26" s="161"/>
      <c r="D26" s="161"/>
      <c r="E26" s="161"/>
      <c r="F26" s="161"/>
      <c r="G26" s="161"/>
      <c r="H26" s="161"/>
      <c r="I26" s="161"/>
      <c r="J26" s="161"/>
      <c r="K26" s="161"/>
      <c r="L26" s="161"/>
      <c r="M26" s="161"/>
      <c r="N26" s="161"/>
      <c r="O26" s="161"/>
      <c r="P26" s="161"/>
      <c r="Q26" s="161"/>
      <c r="R26" s="161"/>
    </row>
    <row r="27" spans="1:18" ht="23.25" customHeight="1" x14ac:dyDescent="0.25">
      <c r="A27" s="161"/>
      <c r="B27" s="161"/>
      <c r="C27" s="161"/>
      <c r="D27" s="161"/>
      <c r="E27" s="161"/>
      <c r="F27" s="161"/>
      <c r="G27" s="161"/>
      <c r="H27" s="161"/>
      <c r="I27" s="161"/>
      <c r="J27" s="161"/>
      <c r="K27" s="161"/>
      <c r="L27" s="161"/>
      <c r="M27" s="161"/>
      <c r="N27" s="161"/>
      <c r="O27" s="161"/>
      <c r="P27" s="161"/>
      <c r="Q27" s="161"/>
      <c r="R27" s="161"/>
    </row>
    <row r="28" spans="1:18" ht="23.25" customHeight="1" x14ac:dyDescent="0.25">
      <c r="A28" s="161"/>
      <c r="B28" s="161"/>
      <c r="C28" s="161"/>
      <c r="D28" s="161"/>
      <c r="E28" s="161"/>
      <c r="F28" s="161"/>
      <c r="G28" s="161"/>
      <c r="H28" s="161"/>
      <c r="I28" s="161"/>
      <c r="J28" s="161"/>
      <c r="K28" s="161"/>
      <c r="L28" s="161"/>
      <c r="M28" s="161"/>
      <c r="N28" s="161"/>
      <c r="O28" s="161"/>
      <c r="P28" s="161"/>
      <c r="Q28" s="161"/>
      <c r="R28" s="161"/>
    </row>
    <row r="29" spans="1:18" ht="23.25" x14ac:dyDescent="0.25">
      <c r="A29" s="144"/>
      <c r="B29" s="144"/>
      <c r="C29" s="144"/>
      <c r="D29" s="144"/>
      <c r="E29" s="144"/>
      <c r="F29" s="144"/>
      <c r="G29" s="144"/>
      <c r="H29" s="144"/>
      <c r="I29" s="144"/>
      <c r="J29" s="144"/>
      <c r="K29" s="144"/>
      <c r="L29" s="144"/>
      <c r="M29" s="144"/>
      <c r="N29" s="144"/>
    </row>
    <row r="30" spans="1:18" ht="23.25" x14ac:dyDescent="0.25">
      <c r="A30" s="144"/>
      <c r="B30" s="144"/>
      <c r="C30" s="144"/>
      <c r="D30" s="144"/>
      <c r="E30" s="144"/>
      <c r="F30" s="144"/>
      <c r="G30" s="144"/>
      <c r="H30" s="144"/>
      <c r="I30" s="144"/>
      <c r="J30" s="144"/>
      <c r="K30" s="144"/>
      <c r="L30" s="144"/>
      <c r="M30" s="144"/>
      <c r="N30" s="144"/>
    </row>
    <row r="31" spans="1:18" ht="23.25" x14ac:dyDescent="0.25">
      <c r="A31" s="144"/>
      <c r="B31" s="144"/>
      <c r="C31" s="144"/>
      <c r="D31" s="144"/>
      <c r="E31" s="144"/>
      <c r="F31" s="144"/>
      <c r="G31" s="144"/>
      <c r="H31" s="144"/>
      <c r="I31" s="144"/>
      <c r="J31" s="144"/>
      <c r="K31" s="144"/>
      <c r="L31" s="144"/>
      <c r="M31" s="144"/>
      <c r="N31" s="144"/>
    </row>
    <row r="32" spans="1:18" ht="23.25" x14ac:dyDescent="0.25">
      <c r="A32" s="144"/>
      <c r="B32" s="144"/>
      <c r="C32" s="144"/>
      <c r="D32" s="144"/>
      <c r="E32" s="144"/>
      <c r="F32" s="144"/>
      <c r="G32" s="144"/>
      <c r="H32" s="144"/>
      <c r="I32" s="144"/>
      <c r="J32" s="144"/>
      <c r="K32" s="144"/>
      <c r="L32" s="144"/>
      <c r="M32" s="144"/>
      <c r="N32" s="144"/>
    </row>
    <row r="33" spans="1:14" ht="23.25" x14ac:dyDescent="0.25">
      <c r="A33" s="144"/>
      <c r="B33" s="144"/>
      <c r="C33" s="144"/>
      <c r="D33" s="144"/>
      <c r="E33" s="144"/>
      <c r="F33" s="144"/>
      <c r="G33" s="144"/>
      <c r="H33" s="144"/>
      <c r="I33" s="144"/>
      <c r="J33" s="144"/>
      <c r="K33" s="144"/>
      <c r="L33" s="144"/>
      <c r="M33" s="144"/>
      <c r="N33" s="144"/>
    </row>
    <row r="34" spans="1:14" ht="23.25" x14ac:dyDescent="0.25">
      <c r="A34" s="144"/>
      <c r="B34" s="144"/>
      <c r="C34" s="144"/>
      <c r="D34" s="144"/>
      <c r="E34" s="144"/>
      <c r="F34" s="144"/>
      <c r="G34" s="144"/>
      <c r="H34" s="144"/>
      <c r="I34" s="144"/>
      <c r="J34" s="144"/>
      <c r="K34" s="144"/>
      <c r="L34" s="144"/>
      <c r="M34" s="144"/>
      <c r="N34" s="144"/>
    </row>
    <row r="35" spans="1:14" ht="23.25" x14ac:dyDescent="0.25">
      <c r="A35" s="144"/>
      <c r="B35" s="144"/>
      <c r="C35" s="144"/>
      <c r="D35" s="144"/>
      <c r="E35" s="144"/>
      <c r="F35" s="144"/>
      <c r="G35" s="144"/>
      <c r="H35" s="144"/>
      <c r="I35" s="144"/>
      <c r="J35" s="144"/>
      <c r="K35" s="144"/>
      <c r="L35" s="144"/>
      <c r="M35" s="144"/>
      <c r="N35" s="144"/>
    </row>
    <row r="36" spans="1:14" ht="23.25" x14ac:dyDescent="0.25">
      <c r="A36" s="144"/>
      <c r="B36" s="144"/>
      <c r="C36" s="144"/>
      <c r="D36" s="144"/>
      <c r="E36" s="144"/>
      <c r="F36" s="144"/>
      <c r="G36" s="144"/>
      <c r="H36" s="144"/>
      <c r="I36" s="144"/>
      <c r="J36" s="144"/>
      <c r="K36" s="144"/>
      <c r="L36" s="144"/>
      <c r="M36" s="144"/>
      <c r="N36" s="144"/>
    </row>
    <row r="37" spans="1:14" ht="23.25" x14ac:dyDescent="0.25">
      <c r="A37" s="144"/>
      <c r="B37" s="144"/>
      <c r="C37" s="144"/>
      <c r="D37" s="144"/>
      <c r="E37" s="144"/>
      <c r="F37" s="144"/>
      <c r="G37" s="144"/>
      <c r="H37" s="144"/>
      <c r="I37" s="144"/>
      <c r="J37" s="144"/>
      <c r="K37" s="144"/>
      <c r="L37" s="144"/>
      <c r="M37" s="144"/>
      <c r="N37" s="144"/>
    </row>
    <row r="38" spans="1:14" ht="23.25" x14ac:dyDescent="0.25">
      <c r="A38" s="144"/>
      <c r="B38" s="144"/>
      <c r="C38" s="144"/>
      <c r="D38" s="144"/>
      <c r="E38" s="144"/>
      <c r="F38" s="144"/>
      <c r="G38" s="144"/>
      <c r="H38" s="144"/>
      <c r="I38" s="144"/>
      <c r="J38" s="144"/>
      <c r="K38" s="144"/>
      <c r="L38" s="144"/>
      <c r="M38" s="144"/>
      <c r="N38" s="144"/>
    </row>
    <row r="39" spans="1:14" ht="23.25" x14ac:dyDescent="0.25">
      <c r="A39" s="144"/>
      <c r="B39" s="144"/>
      <c r="C39" s="144"/>
      <c r="D39" s="144"/>
      <c r="E39" s="144"/>
      <c r="F39" s="144"/>
      <c r="G39" s="144"/>
      <c r="H39" s="144"/>
      <c r="I39" s="144"/>
      <c r="J39" s="144"/>
      <c r="K39" s="144"/>
      <c r="L39" s="144"/>
      <c r="M39" s="144"/>
      <c r="N39" s="144"/>
    </row>
    <row r="40" spans="1:14" ht="23.25" x14ac:dyDescent="0.25">
      <c r="A40" s="144"/>
      <c r="B40" s="144"/>
      <c r="C40" s="144"/>
      <c r="D40" s="144"/>
      <c r="E40" s="144"/>
      <c r="F40" s="144"/>
      <c r="G40" s="144"/>
      <c r="H40" s="144"/>
      <c r="I40" s="144"/>
      <c r="J40" s="144"/>
      <c r="K40" s="144"/>
      <c r="L40" s="144"/>
      <c r="M40" s="144"/>
      <c r="N40" s="144"/>
    </row>
  </sheetData>
  <sheetProtection algorithmName="SHA-512" hashValue="5GnP2ubNCMezd0gcUaPGrql/vJENoA/09DpTRBc3UKd6WZvYE8mIn3X1w0VujVczZtkyiY1zDmU5XAsexhXzDw==" saltValue="U7EyYMM21A2U73at4UbNIA==" spinCount="100000" sheet="1" objects="1" scenarios="1" selectLockedCells="1" selectUnlockedCells="1"/>
  <mergeCells count="4">
    <mergeCell ref="A1:R7"/>
    <mergeCell ref="A10:R19"/>
    <mergeCell ref="A20:R21"/>
    <mergeCell ref="A26:R28"/>
  </mergeCells>
  <pageMargins left="0.7" right="0.7" top="0.75" bottom="0.75" header="0.3" footer="0.3"/>
  <pageSetup scale="33" orientation="portrait" r:id="rId1"/>
  <headerFooter>
    <oddHeader>&amp;C&amp;K139119&amp;10&amp;"Calibri"&amp;BPublic - عام&amp;B
&amp;K139119&amp;10&amp;"Calibri"&amp;BPublic - عام&amp;B
&amp;K139119&amp;10&amp;"Calibri"&amp;BPublic - عام&amp;B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9B3DD-1592-4910-85A7-B8CCDE646758}">
  <sheetPr>
    <tabColor rgb="FF005257"/>
  </sheetPr>
  <dimension ref="A1:S94"/>
  <sheetViews>
    <sheetView showGridLines="0" showRowColHeaders="0" rightToLeft="1" zoomScale="73" zoomScaleNormal="80" workbookViewId="0">
      <selection activeCell="A113" sqref="A113"/>
    </sheetView>
  </sheetViews>
  <sheetFormatPr defaultColWidth="8.85546875" defaultRowHeight="18.75" x14ac:dyDescent="0.25"/>
  <cols>
    <col min="1" max="18" width="8.85546875" style="145"/>
    <col min="19" max="19" width="47.140625" style="145" customWidth="1"/>
    <col min="20" max="16384" width="8.85546875" style="145"/>
  </cols>
  <sheetData>
    <row r="1" spans="1:19" x14ac:dyDescent="0.25">
      <c r="A1" s="151" t="e" vm="1">
        <v>#VALUE!</v>
      </c>
      <c r="B1" s="151"/>
      <c r="C1" s="151"/>
      <c r="D1" s="151"/>
      <c r="E1" s="151"/>
      <c r="F1" s="151"/>
      <c r="G1" s="151"/>
      <c r="H1" s="151"/>
      <c r="I1" s="151"/>
      <c r="J1" s="151"/>
      <c r="K1" s="151"/>
      <c r="L1" s="151"/>
      <c r="M1" s="151"/>
      <c r="N1" s="151"/>
      <c r="O1" s="151"/>
      <c r="P1" s="151"/>
      <c r="Q1" s="151"/>
      <c r="R1" s="151"/>
      <c r="S1" s="151"/>
    </row>
    <row r="2" spans="1:19" x14ac:dyDescent="0.25">
      <c r="A2" s="151"/>
      <c r="B2" s="151"/>
      <c r="C2" s="151"/>
      <c r="D2" s="151"/>
      <c r="E2" s="151"/>
      <c r="F2" s="151"/>
      <c r="G2" s="151"/>
      <c r="H2" s="151"/>
      <c r="I2" s="151"/>
      <c r="J2" s="151"/>
      <c r="K2" s="151"/>
      <c r="L2" s="151"/>
      <c r="M2" s="151"/>
      <c r="N2" s="151"/>
      <c r="O2" s="151"/>
      <c r="P2" s="151"/>
      <c r="Q2" s="151"/>
      <c r="R2" s="151"/>
      <c r="S2" s="151"/>
    </row>
    <row r="3" spans="1:19" x14ac:dyDescent="0.25">
      <c r="A3" s="151"/>
      <c r="B3" s="151"/>
      <c r="C3" s="151"/>
      <c r="D3" s="151"/>
      <c r="E3" s="151"/>
      <c r="F3" s="151"/>
      <c r="G3" s="151"/>
      <c r="H3" s="151"/>
      <c r="I3" s="151"/>
      <c r="J3" s="151"/>
      <c r="K3" s="151"/>
      <c r="L3" s="151"/>
      <c r="M3" s="151"/>
      <c r="N3" s="151"/>
      <c r="O3" s="151"/>
      <c r="P3" s="151"/>
      <c r="Q3" s="151"/>
      <c r="R3" s="151"/>
      <c r="S3" s="151"/>
    </row>
    <row r="4" spans="1:19" x14ac:dyDescent="0.25">
      <c r="A4" s="151"/>
      <c r="B4" s="151"/>
      <c r="C4" s="151"/>
      <c r="D4" s="151"/>
      <c r="E4" s="151"/>
      <c r="F4" s="151"/>
      <c r="G4" s="151"/>
      <c r="H4" s="151"/>
      <c r="I4" s="151"/>
      <c r="J4" s="151"/>
      <c r="K4" s="151"/>
      <c r="L4" s="151"/>
      <c r="M4" s="151"/>
      <c r="N4" s="151"/>
      <c r="O4" s="151"/>
      <c r="P4" s="151"/>
      <c r="Q4" s="151"/>
      <c r="R4" s="151"/>
      <c r="S4" s="151"/>
    </row>
    <row r="5" spans="1:19" x14ac:dyDescent="0.25">
      <c r="A5" s="151"/>
      <c r="B5" s="151"/>
      <c r="C5" s="151"/>
      <c r="D5" s="151"/>
      <c r="E5" s="151"/>
      <c r="F5" s="151"/>
      <c r="G5" s="151"/>
      <c r="H5" s="151"/>
      <c r="I5" s="151"/>
      <c r="J5" s="151"/>
      <c r="K5" s="151"/>
      <c r="L5" s="151"/>
      <c r="M5" s="151"/>
      <c r="N5" s="151"/>
      <c r="O5" s="151"/>
      <c r="P5" s="151"/>
      <c r="Q5" s="151"/>
      <c r="R5" s="151"/>
      <c r="S5" s="151"/>
    </row>
    <row r="6" spans="1:19" x14ac:dyDescent="0.25">
      <c r="A6" s="146"/>
      <c r="B6" s="147"/>
      <c r="C6" s="147"/>
      <c r="D6" s="147"/>
      <c r="E6" s="147"/>
      <c r="F6" s="147"/>
      <c r="G6" s="147"/>
      <c r="H6" s="147"/>
      <c r="I6" s="147"/>
      <c r="J6" s="147"/>
      <c r="K6" s="147"/>
      <c r="L6" s="147"/>
      <c r="M6" s="147"/>
      <c r="N6" s="147"/>
      <c r="O6" s="147"/>
      <c r="P6" s="146"/>
      <c r="Q6" s="146"/>
      <c r="R6" s="146"/>
      <c r="S6" s="146"/>
    </row>
    <row r="7" spans="1:19" ht="42" thickBot="1" x14ac:dyDescent="0.3">
      <c r="A7" s="146"/>
      <c r="B7" s="152" t="s">
        <v>285</v>
      </c>
      <c r="C7" s="152"/>
      <c r="D7" s="152"/>
      <c r="E7" s="152"/>
      <c r="F7" s="152"/>
      <c r="G7" s="152"/>
      <c r="H7" s="152"/>
      <c r="I7" s="152"/>
      <c r="J7" s="152"/>
      <c r="K7" s="152"/>
      <c r="L7" s="152"/>
      <c r="M7" s="152"/>
      <c r="N7" s="152"/>
      <c r="O7" s="152"/>
      <c r="P7" s="152"/>
      <c r="Q7" s="152"/>
      <c r="R7" s="152"/>
      <c r="S7" s="152"/>
    </row>
    <row r="8" spans="1:19" ht="19.5" thickTop="1" x14ac:dyDescent="0.25">
      <c r="A8" s="146"/>
      <c r="B8" s="147"/>
      <c r="C8" s="147"/>
      <c r="D8" s="147"/>
      <c r="E8" s="147"/>
      <c r="F8" s="147"/>
      <c r="G8" s="147"/>
      <c r="H8" s="147"/>
      <c r="I8" s="147"/>
      <c r="J8" s="147"/>
      <c r="K8" s="147"/>
      <c r="L8" s="147"/>
      <c r="M8" s="147"/>
      <c r="N8" s="147"/>
      <c r="O8" s="147"/>
      <c r="P8" s="146"/>
      <c r="Q8" s="146"/>
      <c r="R8" s="146"/>
      <c r="S8" s="146"/>
    </row>
    <row r="9" spans="1:19" ht="23.25" x14ac:dyDescent="0.25">
      <c r="A9" s="146"/>
      <c r="B9" s="153" t="s">
        <v>215</v>
      </c>
      <c r="C9" s="153"/>
      <c r="D9" s="153"/>
      <c r="E9" s="153"/>
      <c r="F9" s="153"/>
      <c r="G9" s="153"/>
      <c r="H9" s="153"/>
      <c r="I9" s="153"/>
      <c r="J9" s="153"/>
      <c r="K9" s="153"/>
      <c r="L9" s="153"/>
      <c r="M9" s="153"/>
      <c r="N9" s="153"/>
      <c r="O9" s="153"/>
      <c r="P9" s="153"/>
      <c r="Q9" s="153"/>
      <c r="R9" s="153"/>
      <c r="S9" s="153"/>
    </row>
    <row r="10" spans="1:19" ht="21.6" customHeight="1" x14ac:dyDescent="0.25">
      <c r="A10" s="146"/>
      <c r="B10" s="149" t="s">
        <v>216</v>
      </c>
      <c r="C10" s="149"/>
      <c r="D10" s="149"/>
      <c r="E10" s="149"/>
      <c r="F10" s="149"/>
      <c r="G10" s="149"/>
      <c r="H10" s="149"/>
      <c r="I10" s="149"/>
      <c r="J10" s="149"/>
      <c r="K10" s="149"/>
      <c r="L10" s="149"/>
      <c r="M10" s="149"/>
      <c r="N10" s="149"/>
      <c r="O10" s="149"/>
      <c r="P10" s="149"/>
      <c r="Q10" s="149"/>
      <c r="R10" s="149"/>
      <c r="S10" s="149"/>
    </row>
    <row r="11" spans="1:19" ht="21.6" customHeight="1" x14ac:dyDescent="0.25">
      <c r="A11" s="146"/>
      <c r="B11" s="149" t="s">
        <v>278</v>
      </c>
      <c r="C11" s="149"/>
      <c r="D11" s="149"/>
      <c r="E11" s="149"/>
      <c r="F11" s="149"/>
      <c r="G11" s="149"/>
      <c r="H11" s="149"/>
      <c r="I11" s="149"/>
      <c r="J11" s="149"/>
      <c r="K11" s="149"/>
      <c r="L11" s="149"/>
      <c r="M11" s="149"/>
      <c r="N11" s="149"/>
      <c r="O11" s="149"/>
      <c r="P11" s="149"/>
      <c r="Q11" s="149"/>
      <c r="R11" s="149"/>
      <c r="S11" s="149"/>
    </row>
    <row r="12" spans="1:19" ht="21.6" customHeight="1" x14ac:dyDescent="0.25">
      <c r="A12" s="146"/>
      <c r="B12" s="149" t="s">
        <v>277</v>
      </c>
      <c r="C12" s="149"/>
      <c r="D12" s="149"/>
      <c r="E12" s="149"/>
      <c r="F12" s="149"/>
      <c r="G12" s="149"/>
      <c r="H12" s="149"/>
      <c r="I12" s="149"/>
      <c r="J12" s="149"/>
      <c r="K12" s="149"/>
      <c r="L12" s="149"/>
      <c r="M12" s="149"/>
      <c r="N12" s="149"/>
      <c r="O12" s="149"/>
      <c r="P12" s="149"/>
      <c r="Q12" s="149"/>
      <c r="R12" s="149"/>
      <c r="S12" s="149"/>
    </row>
    <row r="13" spans="1:19" ht="21.6" customHeight="1" x14ac:dyDescent="0.25">
      <c r="A13" s="146"/>
      <c r="B13" s="149" t="s">
        <v>217</v>
      </c>
      <c r="C13" s="149"/>
      <c r="D13" s="149"/>
      <c r="E13" s="149"/>
      <c r="F13" s="149"/>
      <c r="G13" s="149"/>
      <c r="H13" s="149"/>
      <c r="I13" s="149"/>
      <c r="J13" s="149"/>
      <c r="K13" s="149"/>
      <c r="L13" s="149"/>
      <c r="M13" s="149"/>
      <c r="N13" s="149"/>
      <c r="O13" s="149"/>
      <c r="P13" s="149"/>
      <c r="Q13" s="149"/>
      <c r="R13" s="149"/>
      <c r="S13" s="149"/>
    </row>
    <row r="14" spans="1:19" ht="21.6" customHeight="1" x14ac:dyDescent="0.25">
      <c r="A14" s="146"/>
      <c r="B14" s="149" t="s">
        <v>218</v>
      </c>
      <c r="C14" s="149"/>
      <c r="D14" s="149"/>
      <c r="E14" s="149"/>
      <c r="F14" s="149"/>
      <c r="G14" s="149"/>
      <c r="H14" s="149"/>
      <c r="I14" s="149"/>
      <c r="J14" s="149"/>
      <c r="K14" s="149"/>
      <c r="L14" s="149"/>
      <c r="M14" s="149"/>
      <c r="N14" s="149"/>
      <c r="O14" s="149"/>
      <c r="P14" s="149"/>
      <c r="Q14" s="149"/>
      <c r="R14" s="149"/>
      <c r="S14" s="149"/>
    </row>
    <row r="15" spans="1:19" ht="21.6" customHeight="1" x14ac:dyDescent="0.25">
      <c r="A15" s="146"/>
      <c r="B15" s="149" t="s">
        <v>219</v>
      </c>
      <c r="C15" s="149"/>
      <c r="D15" s="149"/>
      <c r="E15" s="149"/>
      <c r="F15" s="149"/>
      <c r="G15" s="149"/>
      <c r="H15" s="149"/>
      <c r="I15" s="149"/>
      <c r="J15" s="149"/>
      <c r="K15" s="149"/>
      <c r="L15" s="149"/>
      <c r="M15" s="149"/>
      <c r="N15" s="149"/>
      <c r="O15" s="149"/>
      <c r="P15" s="149"/>
      <c r="Q15" s="149"/>
      <c r="R15" s="149"/>
      <c r="S15" s="149"/>
    </row>
    <row r="16" spans="1:19" ht="21.6" customHeight="1" x14ac:dyDescent="0.25">
      <c r="A16" s="146"/>
      <c r="B16" s="149" t="s">
        <v>220</v>
      </c>
      <c r="C16" s="149"/>
      <c r="D16" s="149"/>
      <c r="E16" s="149"/>
      <c r="F16" s="149"/>
      <c r="G16" s="149"/>
      <c r="H16" s="149"/>
      <c r="I16" s="149"/>
      <c r="J16" s="149"/>
      <c r="K16" s="149"/>
      <c r="L16" s="149"/>
      <c r="M16" s="149"/>
      <c r="N16" s="149"/>
      <c r="O16" s="149"/>
      <c r="P16" s="149"/>
      <c r="Q16" s="149"/>
      <c r="R16" s="149"/>
      <c r="S16" s="149"/>
    </row>
    <row r="17" spans="1:19" ht="21.6" customHeight="1" x14ac:dyDescent="0.25">
      <c r="A17" s="146"/>
      <c r="B17" s="149" t="s">
        <v>221</v>
      </c>
      <c r="C17" s="149"/>
      <c r="D17" s="149"/>
      <c r="E17" s="149"/>
      <c r="F17" s="149"/>
      <c r="G17" s="149"/>
      <c r="H17" s="149"/>
      <c r="I17" s="149"/>
      <c r="J17" s="149"/>
      <c r="K17" s="149"/>
      <c r="L17" s="149"/>
      <c r="M17" s="149"/>
      <c r="N17" s="149"/>
      <c r="O17" s="149"/>
      <c r="P17" s="149"/>
      <c r="Q17" s="149"/>
      <c r="R17" s="149"/>
      <c r="S17" s="149"/>
    </row>
    <row r="18" spans="1:19" ht="21.6" customHeight="1" x14ac:dyDescent="0.25">
      <c r="A18" s="146"/>
      <c r="B18" s="149" t="s">
        <v>222</v>
      </c>
      <c r="C18" s="149"/>
      <c r="D18" s="149"/>
      <c r="E18" s="149"/>
      <c r="F18" s="149"/>
      <c r="G18" s="149"/>
      <c r="H18" s="149"/>
      <c r="I18" s="149"/>
      <c r="J18" s="149"/>
      <c r="K18" s="149"/>
      <c r="L18" s="149"/>
      <c r="M18" s="149"/>
      <c r="N18" s="149"/>
      <c r="O18" s="149"/>
      <c r="P18" s="149"/>
      <c r="Q18" s="149"/>
      <c r="R18" s="149"/>
      <c r="S18" s="149"/>
    </row>
    <row r="19" spans="1:19" ht="21.6" customHeight="1" x14ac:dyDescent="0.25">
      <c r="A19" s="146"/>
      <c r="B19" s="149" t="s">
        <v>223</v>
      </c>
      <c r="C19" s="149"/>
      <c r="D19" s="149"/>
      <c r="E19" s="149"/>
      <c r="F19" s="149"/>
      <c r="G19" s="149"/>
      <c r="H19" s="149"/>
      <c r="I19" s="149"/>
      <c r="J19" s="149"/>
      <c r="K19" s="149"/>
      <c r="L19" s="149"/>
      <c r="M19" s="149"/>
      <c r="N19" s="149"/>
      <c r="O19" s="149"/>
      <c r="P19" s="149"/>
      <c r="Q19" s="149"/>
      <c r="R19" s="149"/>
      <c r="S19" s="149"/>
    </row>
    <row r="20" spans="1:19" ht="21.6" customHeight="1" x14ac:dyDescent="0.25">
      <c r="A20" s="146"/>
      <c r="B20" s="149" t="s">
        <v>224</v>
      </c>
      <c r="C20" s="149"/>
      <c r="D20" s="149"/>
      <c r="E20" s="149"/>
      <c r="F20" s="149"/>
      <c r="G20" s="149"/>
      <c r="H20" s="149"/>
      <c r="I20" s="149"/>
      <c r="J20" s="149"/>
      <c r="K20" s="149"/>
      <c r="L20" s="149"/>
      <c r="M20" s="149"/>
      <c r="N20" s="149"/>
      <c r="O20" s="149"/>
      <c r="P20" s="149"/>
      <c r="Q20" s="149"/>
      <c r="R20" s="149"/>
      <c r="S20" s="149"/>
    </row>
    <row r="21" spans="1:19" ht="21.6" customHeight="1" x14ac:dyDescent="0.25">
      <c r="A21" s="146"/>
      <c r="B21" s="149" t="s">
        <v>286</v>
      </c>
      <c r="C21" s="149"/>
      <c r="D21" s="149"/>
      <c r="E21" s="149"/>
      <c r="F21" s="149"/>
      <c r="G21" s="149"/>
      <c r="H21" s="149"/>
      <c r="I21" s="149"/>
      <c r="J21" s="149"/>
      <c r="K21" s="149"/>
      <c r="L21" s="149"/>
      <c r="M21" s="149"/>
      <c r="N21" s="149"/>
      <c r="O21" s="149"/>
      <c r="P21" s="149"/>
      <c r="Q21" s="149"/>
      <c r="R21" s="149"/>
      <c r="S21" s="149"/>
    </row>
    <row r="22" spans="1:19" ht="21.6" customHeight="1" x14ac:dyDescent="0.25">
      <c r="A22" s="146"/>
      <c r="B22" s="149" t="s">
        <v>225</v>
      </c>
      <c r="C22" s="149"/>
      <c r="D22" s="149"/>
      <c r="E22" s="149"/>
      <c r="F22" s="149"/>
      <c r="G22" s="149"/>
      <c r="H22" s="149"/>
      <c r="I22" s="149"/>
      <c r="J22" s="149"/>
      <c r="K22" s="149"/>
      <c r="L22" s="149"/>
      <c r="M22" s="149"/>
      <c r="N22" s="149"/>
      <c r="O22" s="149"/>
      <c r="P22" s="149"/>
      <c r="Q22" s="149"/>
      <c r="R22" s="149"/>
      <c r="S22" s="149"/>
    </row>
    <row r="23" spans="1:19" ht="21.6" customHeight="1" x14ac:dyDescent="0.25">
      <c r="A23" s="146"/>
      <c r="B23" s="149" t="s">
        <v>226</v>
      </c>
      <c r="C23" s="149"/>
      <c r="D23" s="149"/>
      <c r="E23" s="149"/>
      <c r="F23" s="149"/>
      <c r="G23" s="149"/>
      <c r="H23" s="149"/>
      <c r="I23" s="149"/>
      <c r="J23" s="149"/>
      <c r="K23" s="149"/>
      <c r="L23" s="149"/>
      <c r="M23" s="149"/>
      <c r="N23" s="149"/>
      <c r="O23" s="149"/>
      <c r="P23" s="149"/>
      <c r="Q23" s="149"/>
      <c r="R23" s="149"/>
      <c r="S23" s="149"/>
    </row>
    <row r="24" spans="1:19" x14ac:dyDescent="0.25">
      <c r="A24" s="146"/>
      <c r="B24" s="147"/>
      <c r="C24" s="147"/>
      <c r="D24" s="147"/>
      <c r="E24" s="147"/>
      <c r="F24" s="147"/>
      <c r="G24" s="147"/>
      <c r="H24" s="147"/>
      <c r="I24" s="147"/>
      <c r="J24" s="147"/>
      <c r="K24" s="147"/>
      <c r="L24" s="147"/>
      <c r="M24" s="147"/>
      <c r="N24" s="147"/>
      <c r="O24" s="147"/>
      <c r="P24" s="146"/>
      <c r="Q24" s="146"/>
      <c r="R24" s="146"/>
      <c r="S24" s="146"/>
    </row>
    <row r="25" spans="1:19" ht="23.25" x14ac:dyDescent="0.25">
      <c r="A25" s="146"/>
      <c r="B25" s="153" t="s">
        <v>227</v>
      </c>
      <c r="C25" s="153"/>
      <c r="D25" s="153"/>
      <c r="E25" s="153"/>
      <c r="F25" s="153"/>
      <c r="G25" s="153"/>
      <c r="H25" s="153"/>
      <c r="I25" s="153"/>
      <c r="J25" s="153"/>
      <c r="K25" s="153"/>
      <c r="L25" s="153"/>
      <c r="M25" s="153"/>
      <c r="N25" s="153"/>
      <c r="O25" s="153"/>
      <c r="P25" s="153"/>
      <c r="Q25" s="153"/>
      <c r="R25" s="153"/>
      <c r="S25" s="153"/>
    </row>
    <row r="26" spans="1:19" x14ac:dyDescent="0.25">
      <c r="A26" s="146"/>
      <c r="B26" s="155" t="s">
        <v>228</v>
      </c>
      <c r="C26" s="155"/>
      <c r="D26" s="155"/>
      <c r="E26" s="155"/>
      <c r="F26" s="155"/>
      <c r="G26" s="155"/>
      <c r="H26" s="155"/>
      <c r="I26" s="155"/>
      <c r="J26" s="155"/>
      <c r="K26" s="155"/>
      <c r="L26" s="155"/>
      <c r="M26" s="155"/>
      <c r="N26" s="155"/>
      <c r="O26" s="155"/>
      <c r="P26" s="155"/>
      <c r="Q26" s="155"/>
      <c r="R26" s="155"/>
      <c r="S26" s="155"/>
    </row>
    <row r="27" spans="1:19" x14ac:dyDescent="0.25">
      <c r="A27" s="146"/>
      <c r="B27" s="149" t="s">
        <v>229</v>
      </c>
      <c r="C27" s="149"/>
      <c r="D27" s="149"/>
      <c r="E27" s="149"/>
      <c r="F27" s="149"/>
      <c r="G27" s="149"/>
      <c r="H27" s="149"/>
      <c r="I27" s="149"/>
      <c r="J27" s="149"/>
      <c r="K27" s="149"/>
      <c r="L27" s="149"/>
      <c r="M27" s="149"/>
      <c r="N27" s="149"/>
      <c r="O27" s="149"/>
      <c r="P27" s="149"/>
      <c r="Q27" s="149"/>
      <c r="R27" s="149"/>
      <c r="S27" s="149"/>
    </row>
    <row r="28" spans="1:19" x14ac:dyDescent="0.25">
      <c r="A28" s="146"/>
      <c r="B28" s="149" t="s">
        <v>230</v>
      </c>
      <c r="C28" s="149"/>
      <c r="D28" s="149"/>
      <c r="E28" s="149"/>
      <c r="F28" s="149"/>
      <c r="G28" s="149"/>
      <c r="H28" s="149"/>
      <c r="I28" s="149"/>
      <c r="J28" s="149"/>
      <c r="K28" s="149"/>
      <c r="L28" s="149"/>
      <c r="M28" s="149"/>
      <c r="N28" s="149"/>
      <c r="O28" s="149"/>
      <c r="P28" s="149"/>
      <c r="Q28" s="149"/>
      <c r="R28" s="149"/>
      <c r="S28" s="149"/>
    </row>
    <row r="29" spans="1:19" x14ac:dyDescent="0.25">
      <c r="A29" s="146"/>
      <c r="B29" s="148"/>
      <c r="C29" s="148"/>
      <c r="D29" s="148"/>
      <c r="E29" s="148"/>
      <c r="F29" s="148"/>
      <c r="G29" s="148"/>
      <c r="H29" s="148"/>
      <c r="I29" s="148"/>
      <c r="J29" s="148"/>
      <c r="K29" s="148"/>
      <c r="L29" s="148"/>
      <c r="M29" s="148"/>
      <c r="N29" s="148"/>
      <c r="O29" s="148"/>
      <c r="P29" s="148"/>
      <c r="Q29" s="148"/>
      <c r="R29" s="148"/>
      <c r="S29" s="148"/>
    </row>
    <row r="30" spans="1:19" ht="23.25" x14ac:dyDescent="0.25">
      <c r="A30" s="146"/>
      <c r="B30" s="153" t="s">
        <v>231</v>
      </c>
      <c r="C30" s="153"/>
      <c r="D30" s="153"/>
      <c r="E30" s="153"/>
      <c r="F30" s="153"/>
      <c r="G30" s="153"/>
      <c r="H30" s="153"/>
      <c r="I30" s="153"/>
      <c r="J30" s="153"/>
      <c r="K30" s="153"/>
      <c r="L30" s="153"/>
      <c r="M30" s="153"/>
      <c r="N30" s="153"/>
      <c r="O30" s="153"/>
      <c r="P30" s="153"/>
      <c r="Q30" s="153"/>
      <c r="R30" s="153"/>
      <c r="S30" s="153"/>
    </row>
    <row r="31" spans="1:19" x14ac:dyDescent="0.25">
      <c r="A31" s="146"/>
      <c r="B31" s="155" t="s">
        <v>232</v>
      </c>
      <c r="C31" s="155"/>
      <c r="D31" s="155"/>
      <c r="E31" s="155"/>
      <c r="F31" s="155"/>
      <c r="G31" s="155"/>
      <c r="H31" s="155"/>
      <c r="I31" s="155"/>
      <c r="J31" s="155"/>
      <c r="K31" s="155"/>
      <c r="L31" s="155"/>
      <c r="M31" s="155"/>
      <c r="N31" s="155"/>
      <c r="O31" s="155"/>
      <c r="P31" s="155"/>
      <c r="Q31" s="155"/>
      <c r="R31" s="155"/>
      <c r="S31" s="155"/>
    </row>
    <row r="32" spans="1:19" x14ac:dyDescent="0.25">
      <c r="A32" s="146"/>
      <c r="B32" s="149" t="s">
        <v>233</v>
      </c>
      <c r="C32" s="149"/>
      <c r="D32" s="149"/>
      <c r="E32" s="149"/>
      <c r="F32" s="149"/>
      <c r="G32" s="149"/>
      <c r="H32" s="149"/>
      <c r="I32" s="149"/>
      <c r="J32" s="149"/>
      <c r="K32" s="149"/>
      <c r="L32" s="149"/>
      <c r="M32" s="149"/>
      <c r="N32" s="149"/>
      <c r="O32" s="149"/>
      <c r="P32" s="149"/>
      <c r="Q32" s="149"/>
      <c r="R32" s="149"/>
      <c r="S32" s="149"/>
    </row>
    <row r="33" spans="1:19" x14ac:dyDescent="0.25">
      <c r="A33" s="146"/>
      <c r="B33" s="154" t="s">
        <v>234</v>
      </c>
      <c r="C33" s="154"/>
      <c r="D33" s="154"/>
      <c r="E33" s="154"/>
      <c r="F33" s="154"/>
      <c r="G33" s="154"/>
      <c r="H33" s="154"/>
      <c r="I33" s="154"/>
      <c r="J33" s="154"/>
      <c r="K33" s="154"/>
      <c r="L33" s="154"/>
      <c r="M33" s="154"/>
      <c r="N33" s="154"/>
      <c r="O33" s="154"/>
      <c r="P33" s="154"/>
      <c r="Q33" s="154"/>
      <c r="R33" s="154"/>
      <c r="S33" s="154"/>
    </row>
    <row r="34" spans="1:19" x14ac:dyDescent="0.25">
      <c r="A34" s="146"/>
      <c r="B34" s="154" t="s">
        <v>235</v>
      </c>
      <c r="C34" s="154"/>
      <c r="D34" s="154"/>
      <c r="E34" s="154"/>
      <c r="F34" s="154"/>
      <c r="G34" s="154"/>
      <c r="H34" s="154"/>
      <c r="I34" s="154"/>
      <c r="J34" s="154"/>
      <c r="K34" s="154"/>
      <c r="L34" s="154"/>
      <c r="M34" s="154"/>
      <c r="N34" s="154"/>
      <c r="O34" s="154"/>
      <c r="P34" s="154"/>
      <c r="Q34" s="154"/>
      <c r="R34" s="154"/>
      <c r="S34" s="154"/>
    </row>
    <row r="35" spans="1:19" x14ac:dyDescent="0.25">
      <c r="A35" s="146"/>
      <c r="B35" s="154" t="s">
        <v>236</v>
      </c>
      <c r="C35" s="154"/>
      <c r="D35" s="154"/>
      <c r="E35" s="154"/>
      <c r="F35" s="154"/>
      <c r="G35" s="154"/>
      <c r="H35" s="154"/>
      <c r="I35" s="154"/>
      <c r="J35" s="154"/>
      <c r="K35" s="154"/>
      <c r="L35" s="154"/>
      <c r="M35" s="154"/>
      <c r="N35" s="154"/>
      <c r="O35" s="154"/>
      <c r="P35" s="154"/>
      <c r="Q35" s="154"/>
      <c r="R35" s="154"/>
      <c r="S35" s="154"/>
    </row>
    <row r="36" spans="1:19" x14ac:dyDescent="0.25">
      <c r="A36" s="146"/>
      <c r="B36" s="154" t="s">
        <v>237</v>
      </c>
      <c r="C36" s="154"/>
      <c r="D36" s="154"/>
      <c r="E36" s="154"/>
      <c r="F36" s="154"/>
      <c r="G36" s="154"/>
      <c r="H36" s="154"/>
      <c r="I36" s="154"/>
      <c r="J36" s="154"/>
      <c r="K36" s="154"/>
      <c r="L36" s="154"/>
      <c r="M36" s="154"/>
      <c r="N36" s="154"/>
      <c r="O36" s="154"/>
      <c r="P36" s="154"/>
      <c r="Q36" s="154"/>
      <c r="R36" s="154"/>
      <c r="S36" s="154"/>
    </row>
    <row r="37" spans="1:19" x14ac:dyDescent="0.25">
      <c r="A37" s="146"/>
      <c r="B37" s="154" t="s">
        <v>238</v>
      </c>
      <c r="C37" s="154"/>
      <c r="D37" s="154"/>
      <c r="E37" s="154"/>
      <c r="F37" s="154"/>
      <c r="G37" s="154"/>
      <c r="H37" s="154"/>
      <c r="I37" s="154"/>
      <c r="J37" s="154"/>
      <c r="K37" s="154"/>
      <c r="L37" s="154"/>
      <c r="M37" s="154"/>
      <c r="N37" s="154"/>
      <c r="O37" s="154"/>
      <c r="P37" s="154"/>
      <c r="Q37" s="154"/>
      <c r="R37" s="154"/>
      <c r="S37" s="154"/>
    </row>
    <row r="38" spans="1:19" x14ac:dyDescent="0.25">
      <c r="A38" s="146"/>
      <c r="B38" s="154" t="s">
        <v>239</v>
      </c>
      <c r="C38" s="154"/>
      <c r="D38" s="154"/>
      <c r="E38" s="154"/>
      <c r="F38" s="154"/>
      <c r="G38" s="154"/>
      <c r="H38" s="154"/>
      <c r="I38" s="154"/>
      <c r="J38" s="154"/>
      <c r="K38" s="154"/>
      <c r="L38" s="154"/>
      <c r="M38" s="154"/>
      <c r="N38" s="154"/>
      <c r="O38" s="154"/>
      <c r="P38" s="154"/>
      <c r="Q38" s="154"/>
      <c r="R38" s="154"/>
      <c r="S38" s="154"/>
    </row>
    <row r="39" spans="1:19" x14ac:dyDescent="0.25">
      <c r="A39" s="146"/>
      <c r="B39" s="154" t="s">
        <v>240</v>
      </c>
      <c r="C39" s="154"/>
      <c r="D39" s="154"/>
      <c r="E39" s="154"/>
      <c r="F39" s="154"/>
      <c r="G39" s="154"/>
      <c r="H39" s="154"/>
      <c r="I39" s="154"/>
      <c r="J39" s="154"/>
      <c r="K39" s="154"/>
      <c r="L39" s="154"/>
      <c r="M39" s="154"/>
      <c r="N39" s="154"/>
      <c r="O39" s="154"/>
      <c r="P39" s="154"/>
      <c r="Q39" s="154"/>
      <c r="R39" s="154"/>
      <c r="S39" s="154"/>
    </row>
    <row r="40" spans="1:19" x14ac:dyDescent="0.25">
      <c r="A40" s="146"/>
      <c r="B40" s="154" t="s">
        <v>273</v>
      </c>
      <c r="C40" s="154"/>
      <c r="D40" s="154"/>
      <c r="E40" s="154"/>
      <c r="F40" s="154"/>
      <c r="G40" s="154"/>
      <c r="H40" s="154"/>
      <c r="I40" s="154"/>
      <c r="J40" s="154"/>
      <c r="K40" s="154"/>
      <c r="L40" s="154"/>
      <c r="M40" s="154"/>
      <c r="N40" s="154"/>
      <c r="O40" s="154"/>
      <c r="P40" s="154"/>
      <c r="Q40" s="154"/>
      <c r="R40" s="154"/>
      <c r="S40" s="154"/>
    </row>
    <row r="41" spans="1:19" x14ac:dyDescent="0.25">
      <c r="A41" s="146"/>
      <c r="B41" s="154" t="s">
        <v>241</v>
      </c>
      <c r="C41" s="154"/>
      <c r="D41" s="154"/>
      <c r="E41" s="154"/>
      <c r="F41" s="154"/>
      <c r="G41" s="154"/>
      <c r="H41" s="154"/>
      <c r="I41" s="154"/>
      <c r="J41" s="154"/>
      <c r="K41" s="154"/>
      <c r="L41" s="154"/>
      <c r="M41" s="154"/>
      <c r="N41" s="154"/>
      <c r="O41" s="154"/>
      <c r="P41" s="154"/>
      <c r="Q41" s="154"/>
      <c r="R41" s="154"/>
      <c r="S41" s="154"/>
    </row>
    <row r="42" spans="1:19" x14ac:dyDescent="0.25">
      <c r="A42" s="146"/>
      <c r="B42" s="154" t="s">
        <v>242</v>
      </c>
      <c r="C42" s="154"/>
      <c r="D42" s="154"/>
      <c r="E42" s="154"/>
      <c r="F42" s="154"/>
      <c r="G42" s="154"/>
      <c r="H42" s="154"/>
      <c r="I42" s="154"/>
      <c r="J42" s="154"/>
      <c r="K42" s="154"/>
      <c r="L42" s="154"/>
      <c r="M42" s="154"/>
      <c r="N42" s="154"/>
      <c r="O42" s="154"/>
      <c r="P42" s="154"/>
      <c r="Q42" s="154"/>
      <c r="R42" s="154"/>
      <c r="S42" s="154"/>
    </row>
    <row r="43" spans="1:19" x14ac:dyDescent="0.25">
      <c r="A43" s="146"/>
      <c r="B43" s="154" t="s">
        <v>243</v>
      </c>
      <c r="C43" s="154"/>
      <c r="D43" s="154"/>
      <c r="E43" s="154"/>
      <c r="F43" s="154"/>
      <c r="G43" s="154"/>
      <c r="H43" s="154"/>
      <c r="I43" s="154"/>
      <c r="J43" s="154"/>
      <c r="K43" s="154"/>
      <c r="L43" s="154"/>
      <c r="M43" s="154"/>
      <c r="N43" s="154"/>
      <c r="O43" s="154"/>
      <c r="P43" s="154"/>
      <c r="Q43" s="154"/>
      <c r="R43" s="154"/>
      <c r="S43" s="154"/>
    </row>
    <row r="44" spans="1:19" x14ac:dyDescent="0.25">
      <c r="A44" s="146"/>
      <c r="B44" s="149" t="s">
        <v>230</v>
      </c>
      <c r="C44" s="149"/>
      <c r="D44" s="149"/>
      <c r="E44" s="149"/>
      <c r="F44" s="149"/>
      <c r="G44" s="149"/>
      <c r="H44" s="149"/>
      <c r="I44" s="149"/>
      <c r="J44" s="149"/>
      <c r="K44" s="149"/>
      <c r="L44" s="149"/>
      <c r="M44" s="149"/>
      <c r="N44" s="149"/>
      <c r="O44" s="149"/>
      <c r="P44" s="149"/>
      <c r="Q44" s="149"/>
      <c r="R44" s="149"/>
      <c r="S44" s="149"/>
    </row>
    <row r="45" spans="1:19" x14ac:dyDescent="0.25">
      <c r="A45" s="146"/>
      <c r="B45" s="147"/>
      <c r="C45" s="147"/>
      <c r="D45" s="147"/>
      <c r="E45" s="147"/>
      <c r="F45" s="147"/>
      <c r="G45" s="147"/>
      <c r="H45" s="147"/>
      <c r="I45" s="147"/>
      <c r="J45" s="147"/>
      <c r="K45" s="147"/>
      <c r="L45" s="147"/>
      <c r="M45" s="147"/>
      <c r="N45" s="147"/>
      <c r="O45" s="147"/>
      <c r="P45" s="146"/>
      <c r="Q45" s="146"/>
      <c r="R45" s="146"/>
      <c r="S45" s="146"/>
    </row>
    <row r="46" spans="1:19" ht="23.25" x14ac:dyDescent="0.25">
      <c r="A46" s="146"/>
      <c r="B46" s="153" t="s">
        <v>244</v>
      </c>
      <c r="C46" s="153"/>
      <c r="D46" s="153"/>
      <c r="E46" s="153"/>
      <c r="F46" s="153"/>
      <c r="G46" s="153"/>
      <c r="H46" s="153"/>
      <c r="I46" s="153"/>
      <c r="J46" s="153"/>
      <c r="K46" s="153"/>
      <c r="L46" s="153"/>
      <c r="M46" s="153"/>
      <c r="N46" s="153"/>
      <c r="O46" s="153"/>
      <c r="P46" s="153"/>
      <c r="Q46" s="153"/>
      <c r="R46" s="153"/>
      <c r="S46" s="153"/>
    </row>
    <row r="47" spans="1:19" x14ac:dyDescent="0.25">
      <c r="A47" s="146"/>
      <c r="B47" s="155" t="s">
        <v>245</v>
      </c>
      <c r="C47" s="155"/>
      <c r="D47" s="155"/>
      <c r="E47" s="155"/>
      <c r="F47" s="155"/>
      <c r="G47" s="155"/>
      <c r="H47" s="155"/>
      <c r="I47" s="155"/>
      <c r="J47" s="155"/>
      <c r="K47" s="155"/>
      <c r="L47" s="155"/>
      <c r="M47" s="155"/>
      <c r="N47" s="155"/>
      <c r="O47" s="155"/>
      <c r="P47" s="155"/>
      <c r="Q47" s="155"/>
      <c r="R47" s="155"/>
      <c r="S47" s="155"/>
    </row>
    <row r="48" spans="1:19" x14ac:dyDescent="0.25">
      <c r="A48" s="146"/>
      <c r="B48" s="149" t="s">
        <v>246</v>
      </c>
      <c r="C48" s="149"/>
      <c r="D48" s="149"/>
      <c r="E48" s="149"/>
      <c r="F48" s="149"/>
      <c r="G48" s="149"/>
      <c r="H48" s="149"/>
      <c r="I48" s="149"/>
      <c r="J48" s="149"/>
      <c r="K48" s="149"/>
      <c r="L48" s="149"/>
      <c r="M48" s="149"/>
      <c r="N48" s="149"/>
      <c r="O48" s="149"/>
      <c r="P48" s="149"/>
      <c r="Q48" s="149"/>
      <c r="R48" s="149"/>
      <c r="S48" s="149"/>
    </row>
    <row r="49" spans="1:19" x14ac:dyDescent="0.25">
      <c r="A49" s="146"/>
      <c r="B49" s="154" t="s">
        <v>247</v>
      </c>
      <c r="C49" s="154"/>
      <c r="D49" s="154"/>
      <c r="E49" s="154"/>
      <c r="F49" s="154"/>
      <c r="G49" s="154"/>
      <c r="H49" s="154"/>
      <c r="I49" s="154"/>
      <c r="J49" s="154"/>
      <c r="K49" s="154"/>
      <c r="L49" s="154"/>
      <c r="M49" s="154"/>
      <c r="N49" s="154"/>
      <c r="O49" s="154"/>
      <c r="P49" s="154"/>
      <c r="Q49" s="154"/>
      <c r="R49" s="154"/>
      <c r="S49" s="154"/>
    </row>
    <row r="50" spans="1:19" x14ac:dyDescent="0.25">
      <c r="A50" s="146"/>
      <c r="B50" s="154" t="s">
        <v>248</v>
      </c>
      <c r="C50" s="154"/>
      <c r="D50" s="154"/>
      <c r="E50" s="154"/>
      <c r="F50" s="154"/>
      <c r="G50" s="154"/>
      <c r="H50" s="154"/>
      <c r="I50" s="154"/>
      <c r="J50" s="154"/>
      <c r="K50" s="154"/>
      <c r="L50" s="154"/>
      <c r="M50" s="154"/>
      <c r="N50" s="154"/>
      <c r="O50" s="154"/>
      <c r="P50" s="154"/>
      <c r="Q50" s="154"/>
      <c r="R50" s="154"/>
      <c r="S50" s="154"/>
    </row>
    <row r="51" spans="1:19" x14ac:dyDescent="0.25">
      <c r="A51" s="146"/>
      <c r="B51" s="154" t="s">
        <v>249</v>
      </c>
      <c r="C51" s="154"/>
      <c r="D51" s="154"/>
      <c r="E51" s="154"/>
      <c r="F51" s="154"/>
      <c r="G51" s="154"/>
      <c r="H51" s="154"/>
      <c r="I51" s="154"/>
      <c r="J51" s="154"/>
      <c r="K51" s="154"/>
      <c r="L51" s="154"/>
      <c r="M51" s="154"/>
      <c r="N51" s="154"/>
      <c r="O51" s="154"/>
      <c r="P51" s="154"/>
      <c r="Q51" s="154"/>
      <c r="R51" s="154"/>
      <c r="S51" s="154"/>
    </row>
    <row r="52" spans="1:19" x14ac:dyDescent="0.25">
      <c r="A52" s="146"/>
      <c r="B52" s="154" t="s">
        <v>250</v>
      </c>
      <c r="C52" s="154"/>
      <c r="D52" s="154"/>
      <c r="E52" s="154"/>
      <c r="F52" s="154"/>
      <c r="G52" s="154"/>
      <c r="H52" s="154"/>
      <c r="I52" s="154"/>
      <c r="J52" s="154"/>
      <c r="K52" s="154"/>
      <c r="L52" s="154"/>
      <c r="M52" s="154"/>
      <c r="N52" s="154"/>
      <c r="O52" s="154"/>
      <c r="P52" s="154"/>
      <c r="Q52" s="154"/>
      <c r="R52" s="154"/>
      <c r="S52" s="154"/>
    </row>
    <row r="53" spans="1:19" x14ac:dyDescent="0.25">
      <c r="A53" s="146"/>
      <c r="B53" s="154" t="s">
        <v>251</v>
      </c>
      <c r="C53" s="154"/>
      <c r="D53" s="154"/>
      <c r="E53" s="154"/>
      <c r="F53" s="154"/>
      <c r="G53" s="154"/>
      <c r="H53" s="154"/>
      <c r="I53" s="154"/>
      <c r="J53" s="154"/>
      <c r="K53" s="154"/>
      <c r="L53" s="154"/>
      <c r="M53" s="154"/>
      <c r="N53" s="154"/>
      <c r="O53" s="154"/>
      <c r="P53" s="154"/>
      <c r="Q53" s="154"/>
      <c r="R53" s="154"/>
      <c r="S53" s="154"/>
    </row>
    <row r="54" spans="1:19" x14ac:dyDescent="0.25">
      <c r="A54" s="146"/>
      <c r="B54" s="154" t="s">
        <v>252</v>
      </c>
      <c r="C54" s="154"/>
      <c r="D54" s="154"/>
      <c r="E54" s="154"/>
      <c r="F54" s="154"/>
      <c r="G54" s="154"/>
      <c r="H54" s="154"/>
      <c r="I54" s="154"/>
      <c r="J54" s="154"/>
      <c r="K54" s="154"/>
      <c r="L54" s="154"/>
      <c r="M54" s="154"/>
      <c r="N54" s="154"/>
      <c r="O54" s="154"/>
      <c r="P54" s="154"/>
      <c r="Q54" s="154"/>
      <c r="R54" s="154"/>
      <c r="S54" s="154"/>
    </row>
    <row r="55" spans="1:19" x14ac:dyDescent="0.25">
      <c r="A55" s="146"/>
      <c r="B55" s="154" t="s">
        <v>253</v>
      </c>
      <c r="C55" s="154"/>
      <c r="D55" s="154"/>
      <c r="E55" s="154"/>
      <c r="F55" s="154"/>
      <c r="G55" s="154"/>
      <c r="H55" s="154"/>
      <c r="I55" s="154"/>
      <c r="J55" s="154"/>
      <c r="K55" s="154"/>
      <c r="L55" s="154"/>
      <c r="M55" s="154"/>
      <c r="N55" s="154"/>
      <c r="O55" s="154"/>
      <c r="P55" s="154"/>
      <c r="Q55" s="154"/>
      <c r="R55" s="154"/>
      <c r="S55" s="154"/>
    </row>
    <row r="56" spans="1:19" x14ac:dyDescent="0.25">
      <c r="A56" s="146"/>
      <c r="B56" s="154" t="s">
        <v>254</v>
      </c>
      <c r="C56" s="154"/>
      <c r="D56" s="154"/>
      <c r="E56" s="154"/>
      <c r="F56" s="154"/>
      <c r="G56" s="154"/>
      <c r="H56" s="154"/>
      <c r="I56" s="154"/>
      <c r="J56" s="154"/>
      <c r="K56" s="154"/>
      <c r="L56" s="154"/>
      <c r="M56" s="154"/>
      <c r="N56" s="154"/>
      <c r="O56" s="154"/>
      <c r="P56" s="154"/>
      <c r="Q56" s="154"/>
      <c r="R56" s="154"/>
      <c r="S56" s="154"/>
    </row>
    <row r="57" spans="1:19" x14ac:dyDescent="0.25">
      <c r="A57" s="146"/>
      <c r="B57" s="149" t="s">
        <v>230</v>
      </c>
      <c r="C57" s="149"/>
      <c r="D57" s="149"/>
      <c r="E57" s="149"/>
      <c r="F57" s="149"/>
      <c r="G57" s="149"/>
      <c r="H57" s="149"/>
      <c r="I57" s="149"/>
      <c r="J57" s="149"/>
      <c r="K57" s="149"/>
      <c r="L57" s="149"/>
      <c r="M57" s="149"/>
      <c r="N57" s="149"/>
      <c r="O57" s="149"/>
      <c r="P57" s="149"/>
      <c r="Q57" s="149"/>
      <c r="R57" s="149"/>
      <c r="S57" s="149"/>
    </row>
    <row r="58" spans="1:19" x14ac:dyDescent="0.25">
      <c r="A58" s="146"/>
      <c r="B58" s="146"/>
      <c r="C58" s="146"/>
      <c r="D58" s="146"/>
      <c r="E58" s="146"/>
      <c r="F58" s="146"/>
      <c r="G58" s="146"/>
      <c r="H58" s="146"/>
      <c r="I58" s="146"/>
      <c r="J58" s="146"/>
      <c r="K58" s="146"/>
      <c r="L58" s="146"/>
      <c r="M58" s="146"/>
      <c r="N58" s="146"/>
      <c r="O58" s="146"/>
      <c r="P58" s="146"/>
      <c r="Q58" s="146"/>
      <c r="R58" s="146"/>
      <c r="S58" s="146"/>
    </row>
    <row r="59" spans="1:19" ht="23.25" x14ac:dyDescent="0.25">
      <c r="A59" s="146"/>
      <c r="B59" s="153" t="s">
        <v>255</v>
      </c>
      <c r="C59" s="153"/>
      <c r="D59" s="153"/>
      <c r="E59" s="153"/>
      <c r="F59" s="153"/>
      <c r="G59" s="153"/>
      <c r="H59" s="153"/>
      <c r="I59" s="153"/>
      <c r="J59" s="153"/>
      <c r="K59" s="153"/>
      <c r="L59" s="153"/>
      <c r="M59" s="153"/>
      <c r="N59" s="153"/>
      <c r="O59" s="153"/>
      <c r="P59" s="153"/>
      <c r="Q59" s="153"/>
      <c r="R59" s="153"/>
      <c r="S59" s="153"/>
    </row>
    <row r="60" spans="1:19" x14ac:dyDescent="0.25">
      <c r="A60" s="146"/>
      <c r="B60" s="155" t="s">
        <v>256</v>
      </c>
      <c r="C60" s="155"/>
      <c r="D60" s="155"/>
      <c r="E60" s="155"/>
      <c r="F60" s="155"/>
      <c r="G60" s="155"/>
      <c r="H60" s="155"/>
      <c r="I60" s="155"/>
      <c r="J60" s="155"/>
      <c r="K60" s="155"/>
      <c r="L60" s="155"/>
      <c r="M60" s="155"/>
      <c r="N60" s="155"/>
      <c r="O60" s="155"/>
      <c r="P60" s="155"/>
      <c r="Q60" s="155"/>
      <c r="R60" s="155"/>
      <c r="S60" s="155"/>
    </row>
    <row r="61" spans="1:19" x14ac:dyDescent="0.25">
      <c r="A61" s="146"/>
      <c r="B61" s="149" t="s">
        <v>257</v>
      </c>
      <c r="C61" s="149"/>
      <c r="D61" s="149"/>
      <c r="E61" s="149"/>
      <c r="F61" s="149"/>
      <c r="G61" s="149"/>
      <c r="H61" s="149"/>
      <c r="I61" s="149"/>
      <c r="J61" s="149"/>
      <c r="K61" s="149"/>
      <c r="L61" s="149"/>
      <c r="M61" s="149"/>
      <c r="N61" s="149"/>
      <c r="O61" s="149"/>
      <c r="P61" s="149"/>
      <c r="Q61" s="149"/>
      <c r="R61" s="149"/>
      <c r="S61" s="149"/>
    </row>
    <row r="62" spans="1:19" x14ac:dyDescent="0.25">
      <c r="A62" s="146"/>
      <c r="B62" s="156" t="s">
        <v>258</v>
      </c>
      <c r="C62" s="154"/>
      <c r="D62" s="154"/>
      <c r="E62" s="154"/>
      <c r="F62" s="154"/>
      <c r="G62" s="154"/>
      <c r="H62" s="154"/>
      <c r="I62" s="154"/>
      <c r="J62" s="154"/>
      <c r="K62" s="154"/>
      <c r="L62" s="154"/>
      <c r="M62" s="154"/>
      <c r="N62" s="154"/>
      <c r="O62" s="154"/>
      <c r="P62" s="154"/>
      <c r="Q62" s="154"/>
      <c r="R62" s="154"/>
      <c r="S62" s="154"/>
    </row>
    <row r="63" spans="1:19" x14ac:dyDescent="0.25">
      <c r="A63" s="146"/>
      <c r="B63" s="156" t="s">
        <v>259</v>
      </c>
      <c r="C63" s="154"/>
      <c r="D63" s="154"/>
      <c r="E63" s="154"/>
      <c r="F63" s="154"/>
      <c r="G63" s="154"/>
      <c r="H63" s="154"/>
      <c r="I63" s="154"/>
      <c r="J63" s="154"/>
      <c r="K63" s="154"/>
      <c r="L63" s="154"/>
      <c r="M63" s="154"/>
      <c r="N63" s="154"/>
      <c r="O63" s="154"/>
      <c r="P63" s="154"/>
      <c r="Q63" s="154"/>
      <c r="R63" s="154"/>
      <c r="S63" s="154"/>
    </row>
    <row r="64" spans="1:19" x14ac:dyDescent="0.25">
      <c r="A64" s="146"/>
      <c r="B64" s="156" t="s">
        <v>260</v>
      </c>
      <c r="C64" s="154"/>
      <c r="D64" s="154"/>
      <c r="E64" s="154"/>
      <c r="F64" s="154"/>
      <c r="G64" s="154"/>
      <c r="H64" s="154"/>
      <c r="I64" s="154"/>
      <c r="J64" s="154"/>
      <c r="K64" s="154"/>
      <c r="L64" s="154"/>
      <c r="M64" s="154"/>
      <c r="N64" s="154"/>
      <c r="O64" s="154"/>
      <c r="P64" s="154"/>
      <c r="Q64" s="154"/>
      <c r="R64" s="154"/>
      <c r="S64" s="154"/>
    </row>
    <row r="65" spans="1:19" x14ac:dyDescent="0.25">
      <c r="A65" s="146"/>
      <c r="B65" s="156" t="s">
        <v>261</v>
      </c>
      <c r="C65" s="154"/>
      <c r="D65" s="154"/>
      <c r="E65" s="154"/>
      <c r="F65" s="154"/>
      <c r="G65" s="154"/>
      <c r="H65" s="154"/>
      <c r="I65" s="154"/>
      <c r="J65" s="154"/>
      <c r="K65" s="154"/>
      <c r="L65" s="154"/>
      <c r="M65" s="154"/>
      <c r="N65" s="154"/>
      <c r="O65" s="154"/>
      <c r="P65" s="154"/>
      <c r="Q65" s="154"/>
      <c r="R65" s="154"/>
      <c r="S65" s="154"/>
    </row>
    <row r="66" spans="1:19" x14ac:dyDescent="0.25">
      <c r="A66" s="146"/>
      <c r="B66" s="156" t="s">
        <v>262</v>
      </c>
      <c r="C66" s="154"/>
      <c r="D66" s="154"/>
      <c r="E66" s="154"/>
      <c r="F66" s="154"/>
      <c r="G66" s="154"/>
      <c r="H66" s="154"/>
      <c r="I66" s="154"/>
      <c r="J66" s="154"/>
      <c r="K66" s="154"/>
      <c r="L66" s="154"/>
      <c r="M66" s="154"/>
      <c r="N66" s="154"/>
      <c r="O66" s="154"/>
      <c r="P66" s="154"/>
      <c r="Q66" s="154"/>
      <c r="R66" s="154"/>
      <c r="S66" s="154"/>
    </row>
    <row r="67" spans="1:19" x14ac:dyDescent="0.25">
      <c r="A67" s="146"/>
      <c r="B67" s="156" t="s">
        <v>263</v>
      </c>
      <c r="C67" s="154"/>
      <c r="D67" s="154"/>
      <c r="E67" s="154"/>
      <c r="F67" s="154"/>
      <c r="G67" s="154"/>
      <c r="H67" s="154"/>
      <c r="I67" s="154"/>
      <c r="J67" s="154"/>
      <c r="K67" s="154"/>
      <c r="L67" s="154"/>
      <c r="M67" s="154"/>
      <c r="N67" s="154"/>
      <c r="O67" s="154"/>
      <c r="P67" s="154"/>
      <c r="Q67" s="154"/>
      <c r="R67" s="154"/>
      <c r="S67" s="154"/>
    </row>
    <row r="68" spans="1:19" x14ac:dyDescent="0.25">
      <c r="A68" s="146"/>
      <c r="B68" s="156" t="s">
        <v>264</v>
      </c>
      <c r="C68" s="154"/>
      <c r="D68" s="154"/>
      <c r="E68" s="154"/>
      <c r="F68" s="154"/>
      <c r="G68" s="154"/>
      <c r="H68" s="154"/>
      <c r="I68" s="154"/>
      <c r="J68" s="154"/>
      <c r="K68" s="154"/>
      <c r="L68" s="154"/>
      <c r="M68" s="154"/>
      <c r="N68" s="154"/>
      <c r="O68" s="154"/>
      <c r="P68" s="154"/>
      <c r="Q68" s="154"/>
      <c r="R68" s="154"/>
      <c r="S68" s="154"/>
    </row>
    <row r="69" spans="1:19" x14ac:dyDescent="0.25">
      <c r="A69" s="146"/>
      <c r="B69" s="149" t="s">
        <v>230</v>
      </c>
      <c r="C69" s="149"/>
      <c r="D69" s="149"/>
      <c r="E69" s="149"/>
      <c r="F69" s="149"/>
      <c r="G69" s="149"/>
      <c r="H69" s="149"/>
      <c r="I69" s="149"/>
      <c r="J69" s="149"/>
      <c r="K69" s="149"/>
      <c r="L69" s="149"/>
      <c r="M69" s="149"/>
      <c r="N69" s="149"/>
      <c r="O69" s="149"/>
      <c r="P69" s="149"/>
      <c r="Q69" s="149"/>
      <c r="R69" s="149"/>
      <c r="S69" s="149"/>
    </row>
    <row r="70" spans="1:19" x14ac:dyDescent="0.25">
      <c r="A70" s="146"/>
      <c r="B70" s="146"/>
      <c r="C70" s="146"/>
      <c r="D70" s="146"/>
      <c r="E70" s="146"/>
      <c r="F70" s="146"/>
      <c r="G70" s="146"/>
      <c r="H70" s="146"/>
      <c r="I70" s="146"/>
      <c r="J70" s="146"/>
      <c r="K70" s="146"/>
      <c r="L70" s="146"/>
      <c r="M70" s="146"/>
      <c r="N70" s="146"/>
      <c r="O70" s="146"/>
      <c r="P70" s="146"/>
      <c r="Q70" s="146"/>
      <c r="R70" s="146"/>
      <c r="S70" s="146"/>
    </row>
    <row r="71" spans="1:19" ht="23.25" x14ac:dyDescent="0.25">
      <c r="A71" s="146"/>
      <c r="B71" s="153" t="s">
        <v>265</v>
      </c>
      <c r="C71" s="153"/>
      <c r="D71" s="153"/>
      <c r="E71" s="153"/>
      <c r="F71" s="153"/>
      <c r="G71" s="153"/>
      <c r="H71" s="153"/>
      <c r="I71" s="153"/>
      <c r="J71" s="153"/>
      <c r="K71" s="153"/>
      <c r="L71" s="153"/>
      <c r="M71" s="153"/>
      <c r="N71" s="153"/>
      <c r="O71" s="153"/>
      <c r="P71" s="153"/>
      <c r="Q71" s="153"/>
      <c r="R71" s="153"/>
      <c r="S71" s="153"/>
    </row>
    <row r="72" spans="1:19" x14ac:dyDescent="0.25">
      <c r="A72" s="146"/>
      <c r="B72" s="155" t="s">
        <v>266</v>
      </c>
      <c r="C72" s="155"/>
      <c r="D72" s="155"/>
      <c r="E72" s="155"/>
      <c r="F72" s="155"/>
      <c r="G72" s="155"/>
      <c r="H72" s="155"/>
      <c r="I72" s="155"/>
      <c r="J72" s="155"/>
      <c r="K72" s="155"/>
      <c r="L72" s="155"/>
      <c r="M72" s="155"/>
      <c r="N72" s="155"/>
      <c r="O72" s="155"/>
      <c r="P72" s="155"/>
      <c r="Q72" s="155"/>
      <c r="R72" s="155"/>
      <c r="S72" s="155"/>
    </row>
    <row r="73" spans="1:19" x14ac:dyDescent="0.25">
      <c r="A73" s="146"/>
      <c r="B73" s="149" t="s">
        <v>267</v>
      </c>
      <c r="C73" s="149"/>
      <c r="D73" s="149"/>
      <c r="E73" s="149"/>
      <c r="F73" s="149"/>
      <c r="G73" s="149"/>
      <c r="H73" s="149"/>
      <c r="I73" s="149"/>
      <c r="J73" s="149"/>
      <c r="K73" s="149"/>
      <c r="L73" s="149"/>
      <c r="M73" s="149"/>
      <c r="N73" s="149"/>
      <c r="O73" s="149"/>
      <c r="P73" s="149"/>
      <c r="Q73" s="149"/>
      <c r="R73" s="149"/>
      <c r="S73" s="149"/>
    </row>
    <row r="74" spans="1:19" x14ac:dyDescent="0.25">
      <c r="A74" s="146"/>
      <c r="B74" s="156" t="s">
        <v>275</v>
      </c>
      <c r="C74" s="154"/>
      <c r="D74" s="154"/>
      <c r="E74" s="154"/>
      <c r="F74" s="154"/>
      <c r="G74" s="154"/>
      <c r="H74" s="154"/>
      <c r="I74" s="154"/>
      <c r="J74" s="154"/>
      <c r="K74" s="154"/>
      <c r="L74" s="154"/>
      <c r="M74" s="154"/>
      <c r="N74" s="154"/>
      <c r="O74" s="154"/>
      <c r="P74" s="154"/>
      <c r="Q74" s="154"/>
      <c r="R74" s="154"/>
      <c r="S74" s="154"/>
    </row>
    <row r="75" spans="1:19" x14ac:dyDescent="0.25">
      <c r="A75" s="146"/>
      <c r="B75" s="156" t="s">
        <v>274</v>
      </c>
      <c r="C75" s="154"/>
      <c r="D75" s="154"/>
      <c r="E75" s="154"/>
      <c r="F75" s="154"/>
      <c r="G75" s="154"/>
      <c r="H75" s="154"/>
      <c r="I75" s="154"/>
      <c r="J75" s="154"/>
      <c r="K75" s="154"/>
      <c r="L75" s="154"/>
      <c r="M75" s="154"/>
      <c r="N75" s="154"/>
      <c r="O75" s="154"/>
      <c r="P75" s="154"/>
      <c r="Q75" s="154"/>
      <c r="R75" s="154"/>
      <c r="S75" s="154"/>
    </row>
    <row r="76" spans="1:19" x14ac:dyDescent="0.25">
      <c r="A76" s="146"/>
      <c r="B76" s="156" t="s">
        <v>276</v>
      </c>
      <c r="C76" s="154"/>
      <c r="D76" s="154"/>
      <c r="E76" s="154"/>
      <c r="F76" s="154"/>
      <c r="G76" s="154"/>
      <c r="H76" s="154"/>
      <c r="I76" s="154"/>
      <c r="J76" s="154"/>
      <c r="K76" s="154"/>
      <c r="L76" s="154"/>
      <c r="M76" s="154"/>
      <c r="N76" s="154"/>
      <c r="O76" s="154"/>
      <c r="P76" s="154"/>
      <c r="Q76" s="154"/>
      <c r="R76" s="154"/>
      <c r="S76" s="154"/>
    </row>
    <row r="77" spans="1:19" x14ac:dyDescent="0.25">
      <c r="A77" s="146"/>
      <c r="B77" s="149" t="s">
        <v>230</v>
      </c>
      <c r="C77" s="149"/>
      <c r="D77" s="149"/>
      <c r="E77" s="149"/>
      <c r="F77" s="149"/>
      <c r="G77" s="149"/>
      <c r="H77" s="149"/>
      <c r="I77" s="149"/>
      <c r="J77" s="149"/>
      <c r="K77" s="149"/>
      <c r="L77" s="149"/>
      <c r="M77" s="149"/>
      <c r="N77" s="149"/>
      <c r="O77" s="149"/>
      <c r="P77" s="149"/>
      <c r="Q77" s="149"/>
      <c r="R77" s="149"/>
      <c r="S77" s="149"/>
    </row>
    <row r="78" spans="1:19" x14ac:dyDescent="0.25">
      <c r="A78" s="146"/>
      <c r="B78" s="146"/>
      <c r="C78" s="146"/>
      <c r="D78" s="146"/>
      <c r="E78" s="146"/>
      <c r="F78" s="146"/>
      <c r="G78" s="146"/>
      <c r="H78" s="146"/>
      <c r="I78" s="146"/>
      <c r="J78" s="146"/>
      <c r="K78" s="146"/>
      <c r="L78" s="146"/>
      <c r="M78" s="146"/>
      <c r="N78" s="146"/>
      <c r="O78" s="146"/>
      <c r="P78" s="146"/>
      <c r="Q78" s="146"/>
      <c r="R78" s="146"/>
      <c r="S78" s="146"/>
    </row>
    <row r="79" spans="1:19" ht="23.25" x14ac:dyDescent="0.25">
      <c r="A79" s="146"/>
      <c r="B79" s="153" t="s">
        <v>268</v>
      </c>
      <c r="C79" s="153"/>
      <c r="D79" s="153"/>
      <c r="E79" s="153"/>
      <c r="F79" s="153"/>
      <c r="G79" s="153"/>
      <c r="H79" s="153"/>
      <c r="I79" s="153"/>
      <c r="J79" s="153"/>
      <c r="K79" s="153"/>
      <c r="L79" s="153"/>
      <c r="M79" s="153"/>
      <c r="N79" s="153"/>
      <c r="O79" s="153"/>
      <c r="P79" s="153"/>
      <c r="Q79" s="153"/>
      <c r="R79" s="153"/>
      <c r="S79" s="153"/>
    </row>
    <row r="80" spans="1:19" x14ac:dyDescent="0.25">
      <c r="A80" s="146"/>
      <c r="B80" s="155" t="s">
        <v>269</v>
      </c>
      <c r="C80" s="155"/>
      <c r="D80" s="155"/>
      <c r="E80" s="155"/>
      <c r="F80" s="155"/>
      <c r="G80" s="155"/>
      <c r="H80" s="155"/>
      <c r="I80" s="155"/>
      <c r="J80" s="155"/>
      <c r="K80" s="155"/>
      <c r="L80" s="155"/>
      <c r="M80" s="155"/>
      <c r="N80" s="155"/>
      <c r="O80" s="155"/>
      <c r="P80" s="155"/>
      <c r="Q80" s="155"/>
      <c r="R80" s="155"/>
      <c r="S80" s="155"/>
    </row>
    <row r="81" spans="1:19" x14ac:dyDescent="0.25">
      <c r="A81" s="146"/>
      <c r="B81" s="149" t="s">
        <v>270</v>
      </c>
      <c r="C81" s="149"/>
      <c r="D81" s="149"/>
      <c r="E81" s="149"/>
      <c r="F81" s="149"/>
      <c r="G81" s="149"/>
      <c r="H81" s="149"/>
      <c r="I81" s="149"/>
      <c r="J81" s="149"/>
      <c r="K81" s="149"/>
      <c r="L81" s="149"/>
      <c r="M81" s="149"/>
      <c r="N81" s="149"/>
      <c r="O81" s="149"/>
      <c r="P81" s="149"/>
      <c r="Q81" s="149"/>
      <c r="R81" s="149"/>
      <c r="S81" s="149"/>
    </row>
    <row r="82" spans="1:19" x14ac:dyDescent="0.25">
      <c r="A82" s="146"/>
      <c r="B82" s="156" t="s">
        <v>279</v>
      </c>
      <c r="C82" s="154"/>
      <c r="D82" s="154"/>
      <c r="E82" s="154"/>
      <c r="F82" s="154"/>
      <c r="G82" s="154"/>
      <c r="H82" s="154"/>
      <c r="I82" s="154"/>
      <c r="J82" s="154"/>
      <c r="K82" s="154"/>
      <c r="L82" s="154"/>
      <c r="M82" s="154"/>
      <c r="N82" s="154"/>
      <c r="O82" s="154"/>
      <c r="P82" s="154"/>
      <c r="Q82" s="154"/>
      <c r="R82" s="154"/>
      <c r="S82" s="154"/>
    </row>
    <row r="83" spans="1:19" x14ac:dyDescent="0.25">
      <c r="A83" s="146"/>
      <c r="B83" s="156" t="s">
        <v>280</v>
      </c>
      <c r="C83" s="154"/>
      <c r="D83" s="154"/>
      <c r="E83" s="154"/>
      <c r="F83" s="154"/>
      <c r="G83" s="154"/>
      <c r="H83" s="154"/>
      <c r="I83" s="154"/>
      <c r="J83" s="154"/>
      <c r="K83" s="154"/>
      <c r="L83" s="154"/>
      <c r="M83" s="154"/>
      <c r="N83" s="154"/>
      <c r="O83" s="154"/>
      <c r="P83" s="154"/>
      <c r="Q83" s="154"/>
      <c r="R83" s="154"/>
      <c r="S83" s="154"/>
    </row>
    <row r="84" spans="1:19" x14ac:dyDescent="0.25">
      <c r="A84" s="146"/>
      <c r="B84" s="156" t="s">
        <v>281</v>
      </c>
      <c r="C84" s="154"/>
      <c r="D84" s="154"/>
      <c r="E84" s="154"/>
      <c r="F84" s="154"/>
      <c r="G84" s="154"/>
      <c r="H84" s="154"/>
      <c r="I84" s="154"/>
      <c r="J84" s="154"/>
      <c r="K84" s="154"/>
      <c r="L84" s="154"/>
      <c r="M84" s="154"/>
      <c r="N84" s="154"/>
      <c r="O84" s="154"/>
      <c r="P84" s="154"/>
      <c r="Q84" s="154"/>
      <c r="R84" s="154"/>
      <c r="S84" s="154"/>
    </row>
    <row r="85" spans="1:19" x14ac:dyDescent="0.25">
      <c r="A85" s="146"/>
      <c r="B85" s="156" t="s">
        <v>282</v>
      </c>
      <c r="C85" s="154"/>
      <c r="D85" s="154"/>
      <c r="E85" s="154"/>
      <c r="F85" s="154"/>
      <c r="G85" s="154"/>
      <c r="H85" s="154"/>
      <c r="I85" s="154"/>
      <c r="J85" s="154"/>
      <c r="K85" s="154"/>
      <c r="L85" s="154"/>
      <c r="M85" s="154"/>
      <c r="N85" s="154"/>
      <c r="O85" s="154"/>
      <c r="P85" s="154"/>
      <c r="Q85" s="154"/>
      <c r="R85" s="154"/>
      <c r="S85" s="154"/>
    </row>
    <row r="86" spans="1:19" x14ac:dyDescent="0.25">
      <c r="A86" s="146"/>
      <c r="B86" s="156" t="s">
        <v>283</v>
      </c>
      <c r="C86" s="154"/>
      <c r="D86" s="154"/>
      <c r="E86" s="154"/>
      <c r="F86" s="154"/>
      <c r="G86" s="154"/>
      <c r="H86" s="154"/>
      <c r="I86" s="154"/>
      <c r="J86" s="154"/>
      <c r="K86" s="154"/>
      <c r="L86" s="154"/>
      <c r="M86" s="154"/>
      <c r="N86" s="154"/>
      <c r="O86" s="154"/>
      <c r="P86" s="154"/>
      <c r="Q86" s="154"/>
      <c r="R86" s="154"/>
      <c r="S86" s="154"/>
    </row>
    <row r="87" spans="1:19" x14ac:dyDescent="0.25">
      <c r="A87" s="146"/>
      <c r="B87" s="156" t="s">
        <v>284</v>
      </c>
      <c r="C87" s="154"/>
      <c r="D87" s="154"/>
      <c r="E87" s="154"/>
      <c r="F87" s="154"/>
      <c r="G87" s="154"/>
      <c r="H87" s="154"/>
      <c r="I87" s="154"/>
      <c r="J87" s="154"/>
      <c r="K87" s="154"/>
      <c r="L87" s="154"/>
      <c r="M87" s="154"/>
      <c r="N87" s="154"/>
      <c r="O87" s="154"/>
      <c r="P87" s="154"/>
      <c r="Q87" s="154"/>
      <c r="R87" s="154"/>
      <c r="S87" s="154"/>
    </row>
    <row r="88" spans="1:19" x14ac:dyDescent="0.25">
      <c r="A88" s="146"/>
      <c r="B88" s="149" t="s">
        <v>230</v>
      </c>
      <c r="C88" s="149"/>
      <c r="D88" s="149"/>
      <c r="E88" s="149"/>
      <c r="F88" s="149"/>
      <c r="G88" s="149"/>
      <c r="H88" s="149"/>
      <c r="I88" s="149"/>
      <c r="J88" s="149"/>
      <c r="K88" s="149"/>
      <c r="L88" s="149"/>
      <c r="M88" s="149"/>
      <c r="N88" s="149"/>
      <c r="O88" s="149"/>
      <c r="P88" s="149"/>
      <c r="Q88" s="149"/>
      <c r="R88" s="149"/>
      <c r="S88" s="149"/>
    </row>
    <row r="89" spans="1:19" x14ac:dyDescent="0.25">
      <c r="A89" s="146"/>
      <c r="B89" s="146"/>
      <c r="C89" s="146"/>
      <c r="D89" s="146"/>
      <c r="E89" s="146"/>
      <c r="F89" s="146"/>
      <c r="G89" s="146"/>
      <c r="H89" s="146"/>
      <c r="I89" s="146"/>
      <c r="J89" s="146"/>
      <c r="K89" s="146"/>
      <c r="L89" s="146"/>
      <c r="M89" s="146"/>
      <c r="N89" s="146"/>
      <c r="O89" s="146"/>
      <c r="P89" s="146"/>
      <c r="Q89" s="146"/>
      <c r="R89" s="146"/>
      <c r="S89" s="146"/>
    </row>
    <row r="90" spans="1:19" ht="23.25" x14ac:dyDescent="0.25">
      <c r="A90" s="146"/>
      <c r="B90" s="153" t="s">
        <v>271</v>
      </c>
      <c r="C90" s="153"/>
      <c r="D90" s="153"/>
      <c r="E90" s="153"/>
      <c r="F90" s="153"/>
      <c r="G90" s="153"/>
      <c r="H90" s="153"/>
      <c r="I90" s="153"/>
      <c r="J90" s="153"/>
      <c r="K90" s="153"/>
      <c r="L90" s="153"/>
      <c r="M90" s="153"/>
      <c r="N90" s="153"/>
      <c r="O90" s="153"/>
      <c r="P90" s="153"/>
      <c r="Q90" s="153"/>
      <c r="R90" s="153"/>
      <c r="S90" s="153"/>
    </row>
    <row r="91" spans="1:19" x14ac:dyDescent="0.25">
      <c r="A91" s="146"/>
      <c r="B91" s="155" t="s">
        <v>272</v>
      </c>
      <c r="C91" s="155"/>
      <c r="D91" s="155"/>
      <c r="E91" s="155"/>
      <c r="F91" s="155"/>
      <c r="G91" s="155"/>
      <c r="H91" s="155"/>
      <c r="I91" s="155"/>
      <c r="J91" s="155"/>
      <c r="K91" s="155"/>
      <c r="L91" s="155"/>
      <c r="M91" s="155"/>
      <c r="N91" s="155"/>
      <c r="O91" s="155"/>
      <c r="P91" s="155"/>
      <c r="Q91" s="155"/>
      <c r="R91" s="155"/>
      <c r="S91" s="155"/>
    </row>
    <row r="92" spans="1:19" x14ac:dyDescent="0.25">
      <c r="A92" s="146"/>
      <c r="B92" s="146"/>
      <c r="C92" s="146"/>
      <c r="D92" s="146"/>
      <c r="E92" s="146"/>
      <c r="F92" s="146"/>
      <c r="G92" s="146"/>
      <c r="H92" s="146"/>
      <c r="I92" s="146"/>
      <c r="J92" s="146"/>
      <c r="K92" s="146"/>
      <c r="L92" s="146"/>
      <c r="M92" s="146"/>
      <c r="N92" s="146"/>
      <c r="O92" s="146"/>
      <c r="P92" s="146"/>
      <c r="Q92" s="146"/>
      <c r="R92" s="146"/>
      <c r="S92" s="146"/>
    </row>
    <row r="93" spans="1:19" ht="33" customHeight="1" x14ac:dyDescent="0.25">
      <c r="A93" s="150"/>
      <c r="B93" s="150"/>
      <c r="C93" s="150"/>
      <c r="D93" s="150"/>
      <c r="E93" s="150"/>
      <c r="F93" s="150"/>
      <c r="G93" s="150"/>
      <c r="H93" s="150"/>
      <c r="I93" s="150"/>
      <c r="J93" s="150"/>
      <c r="K93" s="150"/>
      <c r="L93" s="150"/>
      <c r="M93" s="150"/>
      <c r="N93" s="150"/>
      <c r="O93" s="150"/>
      <c r="P93" s="150"/>
      <c r="Q93" s="150"/>
      <c r="R93" s="150"/>
      <c r="S93" s="150"/>
    </row>
    <row r="94" spans="1:19" ht="24" customHeight="1" x14ac:dyDescent="0.25">
      <c r="A94" s="150"/>
      <c r="B94" s="150"/>
      <c r="C94" s="150"/>
      <c r="D94" s="150"/>
      <c r="E94" s="150"/>
      <c r="F94" s="150"/>
      <c r="G94" s="150"/>
      <c r="H94" s="150"/>
      <c r="I94" s="150"/>
      <c r="J94" s="150"/>
      <c r="K94" s="150"/>
      <c r="L94" s="150"/>
      <c r="M94" s="150"/>
      <c r="N94" s="150"/>
      <c r="O94" s="150"/>
      <c r="P94" s="150"/>
      <c r="Q94" s="150"/>
      <c r="R94" s="150"/>
      <c r="S94" s="150"/>
    </row>
  </sheetData>
  <sheetProtection algorithmName="SHA-512" hashValue="BNJANxXm5puYIDgR8RneyQ6r0pjMAgdXUhgc+PUjVwj6NM8fi96wwyLSW7fVt1DZGgG0xp2M5ApGoq3gdArnjA==" saltValue="h7dN5Sz2KLEBf7BRFkoACg==" spinCount="100000" sheet="1" objects="1" scenarios="1" selectLockedCells="1" selectUnlockedCells="1"/>
  <mergeCells count="79">
    <mergeCell ref="B91:S91"/>
    <mergeCell ref="B79:S79"/>
    <mergeCell ref="B80:S80"/>
    <mergeCell ref="B81:S81"/>
    <mergeCell ref="B82:S82"/>
    <mergeCell ref="B83:S83"/>
    <mergeCell ref="B84:S84"/>
    <mergeCell ref="B85:S85"/>
    <mergeCell ref="B86:S86"/>
    <mergeCell ref="B87:S87"/>
    <mergeCell ref="B88:S88"/>
    <mergeCell ref="B90:S90"/>
    <mergeCell ref="B77:S77"/>
    <mergeCell ref="B65:S65"/>
    <mergeCell ref="B66:S66"/>
    <mergeCell ref="B67:S67"/>
    <mergeCell ref="B68:S68"/>
    <mergeCell ref="B69:S69"/>
    <mergeCell ref="B71:S71"/>
    <mergeCell ref="B72:S72"/>
    <mergeCell ref="B73:S73"/>
    <mergeCell ref="B74:S74"/>
    <mergeCell ref="B75:S75"/>
    <mergeCell ref="B76:S76"/>
    <mergeCell ref="B64:S64"/>
    <mergeCell ref="B52:S52"/>
    <mergeCell ref="B53:S53"/>
    <mergeCell ref="B54:S54"/>
    <mergeCell ref="B55:S55"/>
    <mergeCell ref="B56:S56"/>
    <mergeCell ref="B57:S57"/>
    <mergeCell ref="B59:S59"/>
    <mergeCell ref="B60:S60"/>
    <mergeCell ref="B61:S61"/>
    <mergeCell ref="B62:S62"/>
    <mergeCell ref="B63:S63"/>
    <mergeCell ref="B51:S51"/>
    <mergeCell ref="B39:S39"/>
    <mergeCell ref="B40:S40"/>
    <mergeCell ref="B41:S41"/>
    <mergeCell ref="B42:S42"/>
    <mergeCell ref="B43:S43"/>
    <mergeCell ref="B44:S44"/>
    <mergeCell ref="B46:S46"/>
    <mergeCell ref="B47:S47"/>
    <mergeCell ref="B48:S48"/>
    <mergeCell ref="B49:S49"/>
    <mergeCell ref="B50:S50"/>
    <mergeCell ref="B21:S21"/>
    <mergeCell ref="B22:S22"/>
    <mergeCell ref="B23:S23"/>
    <mergeCell ref="B38:S38"/>
    <mergeCell ref="B26:S26"/>
    <mergeCell ref="B27:S27"/>
    <mergeCell ref="B28:S28"/>
    <mergeCell ref="B30:S30"/>
    <mergeCell ref="B31:S31"/>
    <mergeCell ref="B32:S32"/>
    <mergeCell ref="B33:S33"/>
    <mergeCell ref="B34:S34"/>
    <mergeCell ref="B35:S35"/>
    <mergeCell ref="B36:S36"/>
    <mergeCell ref="B37:S37"/>
    <mergeCell ref="B12:S12"/>
    <mergeCell ref="A93:S94"/>
    <mergeCell ref="A1:S5"/>
    <mergeCell ref="B7:S7"/>
    <mergeCell ref="B9:S9"/>
    <mergeCell ref="B10:S10"/>
    <mergeCell ref="B11:S11"/>
    <mergeCell ref="B25:S25"/>
    <mergeCell ref="B13:S13"/>
    <mergeCell ref="B14:S14"/>
    <mergeCell ref="B15:S15"/>
    <mergeCell ref="B16:S16"/>
    <mergeCell ref="B17:S17"/>
    <mergeCell ref="B18:S18"/>
    <mergeCell ref="B19:S19"/>
    <mergeCell ref="B20:S20"/>
  </mergeCells>
  <pageMargins left="0.7" right="0.7" top="0.75" bottom="0.75" header="0.3" footer="0.3"/>
  <pageSetup scale="32" orientation="portrait" r:id="rId1"/>
  <headerFooter>
    <oddHeader>&amp;C&amp;K139119&amp;10&amp;"Calibri"&amp;BPublic - عام&amp;B
&amp;K139119&amp;10&amp;"Calibri"&amp;BPublic - عام&amp;B
&amp;K139119&amp;10&amp;"Calibri"&amp;BPublic - عام&amp;B</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G47"/>
  <sheetViews>
    <sheetView showGridLines="0" rightToLeft="1" zoomScale="67" zoomScaleNormal="90" workbookViewId="0">
      <selection activeCell="D30" sqref="D30"/>
    </sheetView>
  </sheetViews>
  <sheetFormatPr defaultRowHeight="15.75" x14ac:dyDescent="0.25"/>
  <cols>
    <col min="1" max="1" width="24" style="43" bestFit="1" customWidth="1"/>
    <col min="2" max="2" width="49.7109375" style="43" customWidth="1"/>
    <col min="3" max="3" width="29.28515625" style="44" customWidth="1"/>
    <col min="4" max="4" width="53" style="44" customWidth="1"/>
    <col min="5" max="5" width="16.85546875" style="30" customWidth="1"/>
    <col min="6" max="6" width="12.140625" style="30" customWidth="1"/>
    <col min="7" max="7" width="11.5703125" style="32" customWidth="1"/>
    <col min="8" max="10" width="9.140625" style="30"/>
    <col min="11" max="11" width="6.28515625" style="30" bestFit="1" customWidth="1"/>
    <col min="12" max="16384" width="9.140625" style="30"/>
  </cols>
  <sheetData>
    <row r="1" spans="1:6" ht="23.25" thickTop="1" thickBot="1" x14ac:dyDescent="0.3">
      <c r="A1" s="166" t="s">
        <v>21</v>
      </c>
      <c r="B1" s="167"/>
      <c r="C1" s="167"/>
      <c r="D1" s="168"/>
      <c r="F1" s="31"/>
    </row>
    <row r="2" spans="1:6" ht="23.25" thickTop="1" thickBot="1" x14ac:dyDescent="0.3">
      <c r="A2" s="33" t="s">
        <v>5</v>
      </c>
      <c r="B2" s="37"/>
      <c r="C2" s="33" t="s">
        <v>1</v>
      </c>
      <c r="D2" s="35"/>
      <c r="F2" s="31"/>
    </row>
    <row r="3" spans="1:6" ht="23.25" thickTop="1" thickBot="1" x14ac:dyDescent="0.3">
      <c r="A3" s="33" t="s">
        <v>9</v>
      </c>
      <c r="B3" s="120">
        <v>543007030</v>
      </c>
      <c r="C3" s="33" t="s">
        <v>166</v>
      </c>
      <c r="D3" s="36"/>
      <c r="F3" s="31"/>
    </row>
    <row r="4" spans="1:6" ht="23.25" thickTop="1" thickBot="1" x14ac:dyDescent="0.3">
      <c r="A4" s="33" t="s">
        <v>18</v>
      </c>
      <c r="B4" s="72"/>
      <c r="C4" s="30"/>
      <c r="D4" s="30"/>
      <c r="F4" s="31"/>
    </row>
    <row r="5" spans="1:6" ht="20.25" thickTop="1" thickBot="1" x14ac:dyDescent="0.35">
      <c r="A5" s="169"/>
      <c r="B5" s="169"/>
      <c r="C5" s="169"/>
      <c r="D5" s="169"/>
    </row>
    <row r="6" spans="1:6" ht="23.25" thickTop="1" thickBot="1" x14ac:dyDescent="0.3">
      <c r="A6" s="166" t="s">
        <v>19</v>
      </c>
      <c r="B6" s="167"/>
      <c r="C6" s="167"/>
      <c r="D6" s="168"/>
    </row>
    <row r="7" spans="1:6" ht="23.25" thickTop="1" thickBot="1" x14ac:dyDescent="0.3">
      <c r="A7" s="33" t="s">
        <v>3</v>
      </c>
      <c r="B7" s="34"/>
      <c r="C7" s="33" t="s">
        <v>12</v>
      </c>
      <c r="D7" s="115" t="s">
        <v>209</v>
      </c>
      <c r="F7" s="31"/>
    </row>
    <row r="8" spans="1:6" ht="23.25" thickTop="1" thickBot="1" x14ac:dyDescent="0.3">
      <c r="A8" s="33" t="s">
        <v>4</v>
      </c>
      <c r="B8" s="68"/>
      <c r="C8" s="33" t="s">
        <v>13</v>
      </c>
      <c r="D8" s="71">
        <f>D35</f>
        <v>0</v>
      </c>
      <c r="F8" s="31"/>
    </row>
    <row r="9" spans="1:6" ht="23.25" thickTop="1" thickBot="1" x14ac:dyDescent="0.3">
      <c r="A9" s="33" t="s">
        <v>2</v>
      </c>
      <c r="B9" s="37"/>
      <c r="C9" s="33" t="s">
        <v>92</v>
      </c>
      <c r="D9" s="115" t="s">
        <v>209</v>
      </c>
      <c r="F9" s="31"/>
    </row>
    <row r="10" spans="1:6" ht="45" thickTop="1" thickBot="1" x14ac:dyDescent="0.3">
      <c r="A10" s="33" t="s">
        <v>0</v>
      </c>
      <c r="B10" s="37"/>
      <c r="C10" s="33" t="s">
        <v>93</v>
      </c>
      <c r="D10" s="115" t="s">
        <v>209</v>
      </c>
      <c r="F10" s="31"/>
    </row>
    <row r="11" spans="1:6" ht="23.25" thickTop="1" thickBot="1" x14ac:dyDescent="0.3">
      <c r="A11" s="33" t="s">
        <v>17</v>
      </c>
      <c r="B11" s="37" t="s">
        <v>174</v>
      </c>
      <c r="C11" s="33" t="s">
        <v>91</v>
      </c>
      <c r="D11" s="71" t="e">
        <f>D9+D10</f>
        <v>#VALUE!</v>
      </c>
      <c r="F11" s="31"/>
    </row>
    <row r="12" spans="1:6" ht="23.25" thickTop="1" thickBot="1" x14ac:dyDescent="0.3">
      <c r="A12" s="33" t="s">
        <v>90</v>
      </c>
      <c r="B12" s="37"/>
      <c r="C12" s="33" t="s">
        <v>194</v>
      </c>
      <c r="D12" s="70" t="e">
        <f>(D8-(D9+D10+D7))/D8</f>
        <v>#VALUE!</v>
      </c>
      <c r="F12" s="31"/>
    </row>
    <row r="13" spans="1:6" ht="23.25" thickTop="1" thickBot="1" x14ac:dyDescent="0.3">
      <c r="A13" s="33" t="s">
        <v>158</v>
      </c>
      <c r="B13" s="67"/>
      <c r="C13" s="33" t="s">
        <v>162</v>
      </c>
      <c r="D13" s="69"/>
      <c r="F13" s="31"/>
    </row>
    <row r="14" spans="1:6" ht="23.25" thickTop="1" thickBot="1" x14ac:dyDescent="0.3">
      <c r="A14" s="33" t="s">
        <v>159</v>
      </c>
      <c r="B14" s="67"/>
      <c r="C14" s="33" t="s">
        <v>163</v>
      </c>
      <c r="D14" s="69"/>
      <c r="F14" s="31"/>
    </row>
    <row r="15" spans="1:6" ht="23.25" thickTop="1" thickBot="1" x14ac:dyDescent="0.3">
      <c r="A15" s="33" t="s">
        <v>160</v>
      </c>
      <c r="B15" s="67"/>
      <c r="C15" s="33" t="s">
        <v>164</v>
      </c>
      <c r="D15" s="69"/>
      <c r="F15" s="31"/>
    </row>
    <row r="16" spans="1:6" ht="23.25" thickTop="1" thickBot="1" x14ac:dyDescent="0.3">
      <c r="A16" s="33" t="s">
        <v>161</v>
      </c>
      <c r="B16" s="67"/>
      <c r="C16" s="33" t="s">
        <v>165</v>
      </c>
      <c r="D16" s="69"/>
      <c r="F16" s="31"/>
    </row>
    <row r="17" spans="1:6" ht="20.25" thickTop="1" thickBot="1" x14ac:dyDescent="0.35">
      <c r="A17" s="169"/>
      <c r="B17" s="169"/>
      <c r="C17" s="169"/>
      <c r="D17" s="169"/>
      <c r="F17" s="31"/>
    </row>
    <row r="18" spans="1:6" ht="23.25" thickTop="1" thickBot="1" x14ac:dyDescent="0.3">
      <c r="A18" s="170" t="s">
        <v>20</v>
      </c>
      <c r="B18" s="171"/>
      <c r="C18" s="171"/>
      <c r="D18" s="172"/>
      <c r="F18" s="31"/>
    </row>
    <row r="19" spans="1:6" ht="23.25" thickTop="1" thickBot="1" x14ac:dyDescent="0.3">
      <c r="A19" s="173" t="s">
        <v>6</v>
      </c>
      <c r="B19" s="174"/>
      <c r="C19" s="13" t="s">
        <v>8</v>
      </c>
      <c r="D19" s="119" t="s">
        <v>185</v>
      </c>
      <c r="F19" s="39"/>
    </row>
    <row r="20" spans="1:6" ht="23.25" thickTop="1" thickBot="1" x14ac:dyDescent="0.3">
      <c r="A20" s="164" t="s">
        <v>10</v>
      </c>
      <c r="B20" s="165"/>
      <c r="C20" s="14"/>
      <c r="D20" s="113"/>
      <c r="E20" s="31"/>
      <c r="F20" s="31"/>
    </row>
    <row r="21" spans="1:6" ht="23.25" thickTop="1" thickBot="1" x14ac:dyDescent="0.3">
      <c r="A21" s="164" t="s">
        <v>11</v>
      </c>
      <c r="B21" s="165"/>
      <c r="C21" s="14"/>
      <c r="D21" s="113"/>
    </row>
    <row r="22" spans="1:6" ht="23.25" thickTop="1" thickBot="1" x14ac:dyDescent="0.3">
      <c r="A22" s="164" t="s">
        <v>134</v>
      </c>
      <c r="B22" s="165"/>
      <c r="C22" s="14"/>
      <c r="D22" s="113"/>
    </row>
    <row r="23" spans="1:6" ht="23.25" thickTop="1" thickBot="1" x14ac:dyDescent="0.3">
      <c r="A23" s="164" t="s">
        <v>135</v>
      </c>
      <c r="B23" s="165"/>
      <c r="C23" s="14"/>
      <c r="D23" s="113"/>
    </row>
    <row r="24" spans="1:6" ht="23.25" thickTop="1" thickBot="1" x14ac:dyDescent="0.3">
      <c r="A24" s="164" t="s">
        <v>136</v>
      </c>
      <c r="B24" s="165"/>
      <c r="C24" s="14"/>
      <c r="D24" s="113"/>
    </row>
    <row r="25" spans="1:6" ht="23.25" thickTop="1" thickBot="1" x14ac:dyDescent="0.3">
      <c r="A25" s="164" t="s">
        <v>15</v>
      </c>
      <c r="B25" s="165"/>
      <c r="C25" s="14"/>
      <c r="D25" s="113"/>
    </row>
    <row r="26" spans="1:6" ht="23.25" thickTop="1" thickBot="1" x14ac:dyDescent="0.3">
      <c r="A26" s="164" t="s">
        <v>137</v>
      </c>
      <c r="B26" s="165"/>
      <c r="C26" s="14"/>
      <c r="D26" s="113"/>
    </row>
    <row r="27" spans="1:6" ht="23.25" thickTop="1" thickBot="1" x14ac:dyDescent="0.3">
      <c r="A27" s="164" t="s">
        <v>138</v>
      </c>
      <c r="B27" s="165"/>
      <c r="C27" s="14"/>
      <c r="D27" s="113"/>
    </row>
    <row r="28" spans="1:6" ht="23.25" thickTop="1" thickBot="1" x14ac:dyDescent="0.3">
      <c r="A28" s="164" t="s">
        <v>139</v>
      </c>
      <c r="B28" s="165"/>
      <c r="C28" s="14"/>
      <c r="D28" s="113"/>
    </row>
    <row r="29" spans="1:6" ht="23.25" thickTop="1" thickBot="1" x14ac:dyDescent="0.3">
      <c r="A29" s="164" t="s">
        <v>14</v>
      </c>
      <c r="B29" s="165"/>
      <c r="C29" s="14"/>
      <c r="D29" s="113"/>
    </row>
    <row r="30" spans="1:6" ht="23.25" thickTop="1" thickBot="1" x14ac:dyDescent="0.3">
      <c r="A30" s="164" t="s">
        <v>140</v>
      </c>
      <c r="B30" s="165"/>
      <c r="C30" s="14"/>
      <c r="D30" s="113"/>
    </row>
    <row r="31" spans="1:6" ht="23.25" thickTop="1" thickBot="1" x14ac:dyDescent="0.3">
      <c r="A31" s="164" t="s">
        <v>14</v>
      </c>
      <c r="B31" s="165"/>
      <c r="C31" s="14"/>
      <c r="D31" s="113"/>
    </row>
    <row r="32" spans="1:6" ht="23.25" thickTop="1" thickBot="1" x14ac:dyDescent="0.3">
      <c r="A32" s="164" t="s">
        <v>141</v>
      </c>
      <c r="B32" s="165"/>
      <c r="C32" s="14"/>
      <c r="D32" s="113"/>
    </row>
    <row r="33" spans="1:7" ht="23.25" thickTop="1" thickBot="1" x14ac:dyDescent="0.3">
      <c r="A33" s="164" t="s">
        <v>142</v>
      </c>
      <c r="B33" s="165"/>
      <c r="C33" s="14"/>
      <c r="D33" s="113"/>
    </row>
    <row r="34" spans="1:7" ht="23.25" thickTop="1" thickBot="1" x14ac:dyDescent="0.3">
      <c r="A34" s="164" t="s">
        <v>143</v>
      </c>
      <c r="B34" s="165"/>
      <c r="C34" s="14"/>
      <c r="D34" s="113"/>
    </row>
    <row r="35" spans="1:7" ht="23.25" thickTop="1" thickBot="1" x14ac:dyDescent="0.3">
      <c r="A35" s="162" t="s">
        <v>16</v>
      </c>
      <c r="B35" s="163"/>
      <c r="C35" s="117">
        <f>SUM(C20:C34)</f>
        <v>0</v>
      </c>
      <c r="D35" s="118">
        <f>SUM(D20:D34)</f>
        <v>0</v>
      </c>
    </row>
    <row r="36" spans="1:7" ht="19.5" thickTop="1" x14ac:dyDescent="0.25">
      <c r="A36" s="30"/>
      <c r="B36" s="30"/>
      <c r="C36" s="30"/>
      <c r="D36" s="42"/>
    </row>
    <row r="37" spans="1:7" ht="15" x14ac:dyDescent="0.25">
      <c r="A37" s="30"/>
      <c r="B37" s="30"/>
      <c r="C37" s="30"/>
      <c r="D37" s="30"/>
      <c r="G37" s="30"/>
    </row>
    <row r="38" spans="1:7" ht="15" x14ac:dyDescent="0.25">
      <c r="A38" s="30"/>
      <c r="B38" s="30"/>
      <c r="C38" s="30"/>
      <c r="D38" s="30"/>
      <c r="G38" s="30"/>
    </row>
    <row r="39" spans="1:7" ht="15" x14ac:dyDescent="0.25">
      <c r="A39" s="30"/>
      <c r="B39" s="30"/>
      <c r="C39" s="30"/>
      <c r="D39" s="30"/>
      <c r="G39" s="30"/>
    </row>
    <row r="40" spans="1:7" ht="15" x14ac:dyDescent="0.25">
      <c r="A40" s="30"/>
      <c r="B40" s="30"/>
      <c r="C40" s="30"/>
      <c r="D40" s="30"/>
      <c r="G40" s="30"/>
    </row>
    <row r="41" spans="1:7" ht="15" x14ac:dyDescent="0.25">
      <c r="A41" s="30"/>
      <c r="B41" s="30"/>
      <c r="C41" s="30"/>
      <c r="D41" s="30"/>
      <c r="G41" s="30"/>
    </row>
    <row r="42" spans="1:7" ht="15" x14ac:dyDescent="0.25">
      <c r="A42" s="30"/>
      <c r="B42" s="30"/>
      <c r="C42" s="30"/>
      <c r="D42" s="30"/>
      <c r="G42" s="30"/>
    </row>
    <row r="43" spans="1:7" ht="15" x14ac:dyDescent="0.25">
      <c r="A43" s="30"/>
      <c r="B43" s="30"/>
      <c r="C43" s="30"/>
      <c r="D43" s="30"/>
      <c r="G43" s="30"/>
    </row>
    <row r="44" spans="1:7" ht="15" x14ac:dyDescent="0.25">
      <c r="A44" s="30"/>
      <c r="B44" s="30"/>
      <c r="C44" s="30"/>
      <c r="D44" s="30"/>
      <c r="G44" s="30"/>
    </row>
    <row r="45" spans="1:7" ht="15" x14ac:dyDescent="0.25">
      <c r="A45" s="30"/>
      <c r="B45" s="30"/>
      <c r="C45" s="30"/>
      <c r="D45" s="30"/>
      <c r="G45" s="30"/>
    </row>
    <row r="46" spans="1:7" ht="15" x14ac:dyDescent="0.25">
      <c r="A46" s="30"/>
      <c r="B46" s="30"/>
      <c r="C46" s="30"/>
      <c r="D46" s="30"/>
      <c r="G46" s="30"/>
    </row>
    <row r="47" spans="1:7" ht="15" x14ac:dyDescent="0.25">
      <c r="A47" s="30"/>
      <c r="B47" s="30"/>
      <c r="C47" s="30"/>
      <c r="D47" s="30"/>
      <c r="G47" s="30"/>
    </row>
  </sheetData>
  <sheetProtection algorithmName="SHA-512" hashValue="7h5QbDO89e9Vtk9D/1waZ3eG8+nVfS7Frq4BbpNm7MmG3jETe0lhOTkkAhuhKGyBkmfbb3Ci8G1O5kE2fQPPwQ==" saltValue="rrvn4tLvLpLc/FGxHsp/RQ==" spinCount="100000" sheet="1" objects="1" scenarios="1"/>
  <mergeCells count="22">
    <mergeCell ref="A29:B29"/>
    <mergeCell ref="A1:D1"/>
    <mergeCell ref="A6:D6"/>
    <mergeCell ref="A5:D5"/>
    <mergeCell ref="A18:D18"/>
    <mergeCell ref="A17:D17"/>
    <mergeCell ref="A24:B24"/>
    <mergeCell ref="A25:B25"/>
    <mergeCell ref="A26:B26"/>
    <mergeCell ref="A27:B27"/>
    <mergeCell ref="A28:B28"/>
    <mergeCell ref="A19:B19"/>
    <mergeCell ref="A20:B20"/>
    <mergeCell ref="A21:B21"/>
    <mergeCell ref="A22:B22"/>
    <mergeCell ref="A23:B23"/>
    <mergeCell ref="A35:B35"/>
    <mergeCell ref="A30:B30"/>
    <mergeCell ref="A31:B31"/>
    <mergeCell ref="A32:B32"/>
    <mergeCell ref="A33:B33"/>
    <mergeCell ref="A34:B34"/>
  </mergeCells>
  <phoneticPr fontId="19" type="noConversion"/>
  <dataValidations count="7">
    <dataValidation type="date" allowBlank="1" showInputMessage="1" showErrorMessage="1" prompt="يجب كتابة الشهر ثم اليوم ثم السنة._x000a_مثال: 06/21/2026" sqref="D4" xr:uid="{23F455D2-6019-4FD7-9F32-494ADCFB6365}">
      <formula1>46163</formula1>
      <formula2>51471</formula2>
    </dataValidation>
    <dataValidation operator="greaterThan" allowBlank="1" showInputMessage="1" showErrorMessage="1" sqref="B8" xr:uid="{28DC33F5-5409-40C6-86EE-421347F1B22B}"/>
    <dataValidation type="date" operator="notEqual" allowBlank="1" showInputMessage="1" showErrorMessage="1" prompt="ملاحظة: الادخال بالتاريخ _x000a_mm/dd/yyyy" sqref="D2" xr:uid="{BA5451F1-98DB-4459-8EEB-FF624EC00C13}">
      <formula1>46023</formula1>
    </dataValidation>
    <dataValidation type="custom" operator="notEqual" allowBlank="1" showInputMessage="1" showErrorMessage="1" errorTitle="خطأ" error="_x000a_ الخلية لا تقبل ارقام " prompt="ملاحظة: الادخال نص" sqref="B9:B10 B2" xr:uid="{CFBA7FBC-6B1D-4967-A7ED-13C0157A4B5D}">
      <formula1>ISTEXT(B2)</formula1>
    </dataValidation>
    <dataValidation type="textLength" operator="greaterThan" allowBlank="1" showInputMessage="1" showErrorMessage="1" error=" الخلية لا تقبل ارقام " prompt="ملاحظة: الادخال نص" sqref="B13:B16" xr:uid="{7425D17A-553B-4AB6-A804-182283D37050}">
      <formula1>3</formula1>
    </dataValidation>
    <dataValidation type="custom" operator="notEqual" allowBlank="1" showInputMessage="1" showErrorMessage="1" error=" الخلية لا تقبل نص " prompt="ملاحظة: الادخال ارقام" sqref="D7:D10" xr:uid="{E21B0A56-E0A4-4222-98EE-67AE87FD5A51}">
      <formula1>ISNUMBER(D7)</formula1>
    </dataValidation>
    <dataValidation type="custom" operator="notEqual" allowBlank="1" showInputMessage="1" showErrorMessage="1" error=" الخلية لا تقبل نص " prompt="ملاحظة: ادخال ارقام" sqref="D13:D16 C20:D34" xr:uid="{C19E91F8-67BC-400F-9B91-AE1196B19F1C}">
      <formula1>ISNUMBER(C13)</formula1>
    </dataValidation>
  </dataValidations>
  <pageMargins left="0.7" right="0.7" top="0.75" bottom="0.75" header="0.3" footer="0.3"/>
  <pageSetup paperSize="9" scale="44" orientation="portrait" r:id="rId1"/>
  <headerFooter>
    <oddHeader>&amp;C&amp;K139119&amp;10&amp;"Calibri"&amp;BPublic - عام&amp;B</oddHeader>
  </headerFooter>
  <legacyDrawingHF r:id="rId2"/>
  <extLst>
    <ext xmlns:x14="http://schemas.microsoft.com/office/spreadsheetml/2009/9/main" uri="{CCE6A557-97BC-4b89-ADB6-D9C93CAAB3DF}">
      <x14:dataValidations xmlns:xm="http://schemas.microsoft.com/office/excel/2006/main" count="3">
        <x14:dataValidation type="list" allowBlank="1" showInputMessage="1" showErrorMessage="1" xr:uid="{F5CA256D-F1CC-4830-BECD-3E618D0394AE}">
          <x14:formula1>
            <xm:f>Sheet1!$A$7:$A$10</xm:f>
          </x14:formula1>
          <xm:sqref>D3</xm:sqref>
        </x14:dataValidation>
        <x14:dataValidation type="list" allowBlank="1" showInputMessage="1" showErrorMessage="1" xr:uid="{45E7B612-61FD-4B06-9293-61B2DDA40A61}">
          <x14:formula1>
            <xm:f>Sheet1!$O$8:$O$19</xm:f>
          </x14:formula1>
          <xm:sqref>B11</xm:sqref>
        </x14:dataValidation>
        <x14:dataValidation type="list" allowBlank="1" showInputMessage="1" showErrorMessage="1" xr:uid="{E32D6AE1-2EC4-4A15-A861-DA5EF6B4C60A}">
          <x14:formula1>
            <xm:f>Sheet1!$B$7:$B$1296</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L18"/>
  <sheetViews>
    <sheetView showGridLines="0" rightToLeft="1" zoomScale="70" zoomScaleNormal="70" workbookViewId="0">
      <selection sqref="A1:L1"/>
    </sheetView>
  </sheetViews>
  <sheetFormatPr defaultRowHeight="15" x14ac:dyDescent="0.25"/>
  <cols>
    <col min="1" max="1" width="6.7109375" style="30" bestFit="1" customWidth="1"/>
    <col min="2" max="2" width="12.140625" style="30" customWidth="1"/>
    <col min="3" max="3" width="17.140625" style="30" customWidth="1"/>
    <col min="4" max="4" width="17.28515625" style="30" customWidth="1"/>
    <col min="5" max="5" width="25" style="30" customWidth="1"/>
    <col min="6" max="6" width="30" style="30" customWidth="1"/>
    <col min="7" max="7" width="47" style="30" customWidth="1"/>
    <col min="8" max="8" width="51.85546875" style="30" customWidth="1"/>
    <col min="9" max="9" width="16.7109375" style="30" customWidth="1"/>
    <col min="10" max="10" width="27" style="30" customWidth="1"/>
    <col min="11" max="11" width="28.85546875" style="30" customWidth="1"/>
    <col min="12" max="12" width="44.140625" style="30" customWidth="1"/>
    <col min="13" max="16384" width="9.140625" style="30"/>
  </cols>
  <sheetData>
    <row r="1" spans="1:12" ht="25.5" customHeight="1" thickTop="1" thickBot="1" x14ac:dyDescent="0.3">
      <c r="A1" s="170" t="s">
        <v>89</v>
      </c>
      <c r="B1" s="171"/>
      <c r="C1" s="171"/>
      <c r="D1" s="171"/>
      <c r="E1" s="171"/>
      <c r="F1" s="171"/>
      <c r="G1" s="171"/>
      <c r="H1" s="171"/>
      <c r="I1" s="171"/>
      <c r="J1" s="171"/>
      <c r="K1" s="171"/>
      <c r="L1" s="172"/>
    </row>
    <row r="2" spans="1:12" ht="45" thickTop="1" thickBot="1" x14ac:dyDescent="0.3">
      <c r="A2" s="15" t="s">
        <v>96</v>
      </c>
      <c r="B2" s="16" t="s">
        <v>200</v>
      </c>
      <c r="C2" s="16" t="s">
        <v>99</v>
      </c>
      <c r="D2" s="16" t="s">
        <v>22</v>
      </c>
      <c r="E2" s="16" t="s">
        <v>94</v>
      </c>
      <c r="F2" s="16" t="s">
        <v>100</v>
      </c>
      <c r="G2" s="16" t="s">
        <v>101</v>
      </c>
      <c r="H2" s="16" t="s">
        <v>106</v>
      </c>
      <c r="I2" s="16" t="s">
        <v>186</v>
      </c>
      <c r="J2" s="16" t="s">
        <v>95</v>
      </c>
      <c r="K2" s="16" t="s">
        <v>23</v>
      </c>
      <c r="L2" s="16" t="s">
        <v>24</v>
      </c>
    </row>
    <row r="3" spans="1:12" ht="23.25" thickTop="1" thickBot="1" x14ac:dyDescent="0.55000000000000004">
      <c r="A3" s="17">
        <v>1</v>
      </c>
      <c r="B3" s="17"/>
      <c r="C3" s="17"/>
      <c r="D3" s="18"/>
      <c r="E3" s="19"/>
      <c r="F3" s="20" t="s">
        <v>122</v>
      </c>
      <c r="G3" s="21" t="s">
        <v>150</v>
      </c>
      <c r="H3" s="22" t="s">
        <v>113</v>
      </c>
      <c r="I3" s="22" t="s">
        <v>188</v>
      </c>
      <c r="J3" s="19"/>
      <c r="K3" s="19"/>
      <c r="L3" s="133"/>
    </row>
    <row r="4" spans="1:12" ht="23.25" thickTop="1" thickBot="1" x14ac:dyDescent="0.55000000000000004">
      <c r="A4" s="17">
        <v>2</v>
      </c>
      <c r="B4" s="17"/>
      <c r="C4" s="17"/>
      <c r="D4" s="18"/>
      <c r="E4" s="19"/>
      <c r="F4" s="20" t="s">
        <v>123</v>
      </c>
      <c r="G4" s="21"/>
      <c r="H4" s="22" t="s">
        <v>114</v>
      </c>
      <c r="I4" s="22" t="s">
        <v>187</v>
      </c>
      <c r="J4" s="19"/>
      <c r="K4" s="19"/>
      <c r="L4" s="133"/>
    </row>
    <row r="5" spans="1:12" ht="23.25" thickTop="1" thickBot="1" x14ac:dyDescent="0.55000000000000004">
      <c r="A5" s="17">
        <v>3</v>
      </c>
      <c r="B5" s="17"/>
      <c r="C5" s="17"/>
      <c r="D5" s="18"/>
      <c r="E5" s="19"/>
      <c r="F5" s="20" t="s">
        <v>105</v>
      </c>
      <c r="G5" s="21"/>
      <c r="H5" s="22" t="s">
        <v>107</v>
      </c>
      <c r="I5" s="22"/>
      <c r="J5" s="19"/>
      <c r="K5" s="19"/>
      <c r="L5" s="133">
        <v>1000000</v>
      </c>
    </row>
    <row r="6" spans="1:12" ht="23.25" thickTop="1" thickBot="1" x14ac:dyDescent="0.55000000000000004">
      <c r="A6" s="17">
        <v>4</v>
      </c>
      <c r="B6" s="17"/>
      <c r="C6" s="17"/>
      <c r="D6" s="18"/>
      <c r="E6" s="19"/>
      <c r="F6" s="20" t="s">
        <v>109</v>
      </c>
      <c r="G6" s="21"/>
      <c r="H6" s="22" t="s">
        <v>110</v>
      </c>
      <c r="I6" s="22"/>
      <c r="J6" s="19"/>
      <c r="K6" s="19"/>
      <c r="L6" s="133"/>
    </row>
    <row r="7" spans="1:12" ht="23.25" thickTop="1" thickBot="1" x14ac:dyDescent="0.55000000000000004">
      <c r="A7" s="17">
        <v>5</v>
      </c>
      <c r="B7" s="17"/>
      <c r="C7" s="17"/>
      <c r="D7" s="18"/>
      <c r="E7" s="19"/>
      <c r="F7" s="20" t="s">
        <v>111</v>
      </c>
      <c r="G7" s="21"/>
      <c r="H7" s="22" t="s">
        <v>115</v>
      </c>
      <c r="I7" s="22"/>
      <c r="J7" s="19"/>
      <c r="K7" s="19"/>
      <c r="L7" s="133"/>
    </row>
    <row r="8" spans="1:12" ht="23.25" thickTop="1" thickBot="1" x14ac:dyDescent="0.55000000000000004">
      <c r="A8" s="17">
        <v>6</v>
      </c>
      <c r="B8" s="17"/>
      <c r="C8" s="17"/>
      <c r="D8" s="18"/>
      <c r="E8" s="19"/>
      <c r="F8" s="20" t="s">
        <v>117</v>
      </c>
      <c r="G8" s="21"/>
      <c r="H8" s="22" t="s">
        <v>116</v>
      </c>
      <c r="I8" s="22"/>
      <c r="J8" s="19"/>
      <c r="K8" s="19"/>
      <c r="L8" s="133"/>
    </row>
    <row r="9" spans="1:12" ht="23.25" thickTop="1" thickBot="1" x14ac:dyDescent="0.55000000000000004">
      <c r="A9" s="17">
        <v>7</v>
      </c>
      <c r="B9" s="17"/>
      <c r="C9" s="17"/>
      <c r="D9" s="18"/>
      <c r="E9" s="19"/>
      <c r="F9" s="20" t="s">
        <v>118</v>
      </c>
      <c r="G9" s="21"/>
      <c r="H9" s="22" t="s">
        <v>119</v>
      </c>
      <c r="I9" s="22"/>
      <c r="J9" s="19"/>
      <c r="K9" s="19"/>
      <c r="L9" s="133"/>
    </row>
    <row r="10" spans="1:12" ht="23.25" thickTop="1" thickBot="1" x14ac:dyDescent="0.55000000000000004">
      <c r="A10" s="17">
        <v>8</v>
      </c>
      <c r="B10" s="17"/>
      <c r="C10" s="17"/>
      <c r="D10" s="18"/>
      <c r="E10" s="19"/>
      <c r="F10" s="20" t="s">
        <v>120</v>
      </c>
      <c r="G10" s="21"/>
      <c r="H10" s="22" t="s">
        <v>121</v>
      </c>
      <c r="I10" s="22"/>
      <c r="J10" s="19"/>
      <c r="K10" s="19"/>
      <c r="L10" s="133"/>
    </row>
    <row r="11" spans="1:12" ht="23.25" thickTop="1" thickBot="1" x14ac:dyDescent="0.55000000000000004">
      <c r="A11" s="17">
        <v>9</v>
      </c>
      <c r="B11" s="17"/>
      <c r="C11" s="17"/>
      <c r="D11" s="18"/>
      <c r="E11" s="19"/>
      <c r="F11" s="20" t="s">
        <v>124</v>
      </c>
      <c r="G11" s="21"/>
      <c r="H11" s="22" t="s">
        <v>125</v>
      </c>
      <c r="I11" s="22"/>
      <c r="J11" s="19"/>
      <c r="K11" s="19"/>
      <c r="L11" s="133"/>
    </row>
    <row r="12" spans="1:12" ht="23.25" thickTop="1" thickBot="1" x14ac:dyDescent="0.55000000000000004">
      <c r="A12" s="17">
        <v>10</v>
      </c>
      <c r="B12" s="17"/>
      <c r="C12" s="17"/>
      <c r="D12" s="18"/>
      <c r="E12" s="19"/>
      <c r="F12" s="20" t="s">
        <v>68</v>
      </c>
      <c r="G12" s="21"/>
      <c r="H12" s="22" t="s">
        <v>126</v>
      </c>
      <c r="I12" s="22"/>
      <c r="J12" s="19"/>
      <c r="K12" s="19"/>
      <c r="L12" s="133"/>
    </row>
    <row r="13" spans="1:12" ht="23.25" thickTop="1" thickBot="1" x14ac:dyDescent="0.55000000000000004">
      <c r="A13" s="17">
        <v>11</v>
      </c>
      <c r="B13" s="17"/>
      <c r="C13" s="17"/>
      <c r="D13" s="18"/>
      <c r="E13" s="19"/>
      <c r="F13" s="20"/>
      <c r="G13" s="21"/>
      <c r="H13" s="22"/>
      <c r="I13" s="22"/>
      <c r="J13" s="19"/>
      <c r="K13" s="19"/>
      <c r="L13" s="133"/>
    </row>
    <row r="14" spans="1:12" ht="23.25" thickTop="1" thickBot="1" x14ac:dyDescent="0.55000000000000004">
      <c r="A14" s="17">
        <v>12</v>
      </c>
      <c r="B14" s="17"/>
      <c r="C14" s="17"/>
      <c r="D14" s="18"/>
      <c r="E14" s="19"/>
      <c r="F14" s="20"/>
      <c r="G14" s="21"/>
      <c r="H14" s="22"/>
      <c r="I14" s="22"/>
      <c r="J14" s="19"/>
      <c r="K14" s="19"/>
      <c r="L14" s="133"/>
    </row>
    <row r="15" spans="1:12" ht="23.25" thickTop="1" thickBot="1" x14ac:dyDescent="0.55000000000000004">
      <c r="A15" s="17">
        <v>13</v>
      </c>
      <c r="B15" s="17"/>
      <c r="C15" s="17"/>
      <c r="D15" s="18"/>
      <c r="E15" s="19"/>
      <c r="F15" s="20"/>
      <c r="G15" s="21"/>
      <c r="H15" s="22"/>
      <c r="I15" s="22"/>
      <c r="J15" s="19"/>
      <c r="K15" s="19"/>
      <c r="L15" s="133"/>
    </row>
    <row r="16" spans="1:12" ht="23.25" thickTop="1" thickBot="1" x14ac:dyDescent="0.55000000000000004">
      <c r="A16" s="17">
        <v>14</v>
      </c>
      <c r="B16" s="17"/>
      <c r="C16" s="17"/>
      <c r="D16" s="18"/>
      <c r="E16" s="19"/>
      <c r="F16" s="20"/>
      <c r="G16" s="21"/>
      <c r="H16" s="22"/>
      <c r="I16" s="22"/>
      <c r="J16" s="19"/>
      <c r="K16" s="19"/>
      <c r="L16" s="133"/>
    </row>
    <row r="17" spans="1:12" ht="18.75" customHeight="1" thickTop="1" thickBot="1" x14ac:dyDescent="0.3">
      <c r="A17" s="73" t="s">
        <v>16</v>
      </c>
      <c r="B17" s="73"/>
      <c r="C17" s="73"/>
      <c r="D17" s="73"/>
      <c r="E17" s="73"/>
      <c r="F17" s="73"/>
      <c r="G17" s="73"/>
      <c r="H17" s="73"/>
      <c r="I17" s="73"/>
      <c r="J17" s="73"/>
      <c r="K17" s="73"/>
      <c r="L17" s="134">
        <f>SUBTOTAL(109,L3:L16)</f>
        <v>1000000</v>
      </c>
    </row>
    <row r="18" spans="1:12" ht="15.75" thickTop="1" x14ac:dyDescent="0.25"/>
  </sheetData>
  <sheetProtection algorithmName="SHA-512" hashValue="ooJawAvewVV4XvZL8NfgMvCdYU08O5QKcCwiPx5h/xReyILw82F8jNfAmZgz2DIvtRO8SOp9Yjt/nEJbqQlzbA==" saltValue="L7USfGVGwOc7Bx7yWJ+31g==" spinCount="100000" sheet="1" objects="1" scenarios="1" insertColumns="0" insertRows="0" autoFilter="0"/>
  <mergeCells count="1">
    <mergeCell ref="A1:L1"/>
  </mergeCells>
  <dataValidations count="3">
    <dataValidation type="custom" allowBlank="1" showInputMessage="1" showErrorMessage="1" error=" الخلية لا تقبل نص " prompt="ملاحظة: الادخال ارقام" sqref="D3:D16" xr:uid="{081FDE16-A77E-4F45-8D1A-A558D9CB1EC8}">
      <formula1>ISNUMBER(D3)</formula1>
    </dataValidation>
    <dataValidation type="date" allowBlank="1" showInputMessage="1" showErrorMessage="1" error=" الخلية لا تقبل نص او ارقام" prompt="مثال على الادخال : mm/dd/yyyy" sqref="J3:K16 E3:E16" xr:uid="{D3E3C365-9C35-4C1F-911F-976F45ECE8E4}">
      <formula1>42370</formula1>
      <formula2>51136</formula2>
    </dataValidation>
    <dataValidation type="custom" operator="notEqual" allowBlank="1" showInputMessage="1" showErrorMessage="1" error=" الخلية لا تقبل نص " prompt="ملاحظة: ادخال ارقام" sqref="L3:L16" xr:uid="{E7E33C64-EE90-4991-822D-155185A54360}">
      <formula1>ISNUMBER(L3)</formula1>
    </dataValidation>
  </dataValidations>
  <pageMargins left="0.7" right="0.7" top="0.75" bottom="0.75" header="0.3" footer="0.3"/>
  <pageSetup paperSize="9" scale="22" orientation="portrait" r:id="rId1"/>
  <headerFooter>
    <oddHeader>&amp;C&amp;K139119&amp;10&amp;"Calibri"&amp;BPublic - عام&amp;B</oddHeader>
  </headerFooter>
  <legacyDrawingHF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3D42E4A1-F6EA-4700-914C-9FB2EE062370}">
          <x14:formula1>
            <xm:f>Sheet1!$D$7:$D$11</xm:f>
          </x14:formula1>
          <xm:sqref>C3:C16</xm:sqref>
        </x14:dataValidation>
        <x14:dataValidation type="list" allowBlank="1" showInputMessage="1" showErrorMessage="1" xr:uid="{E120C939-6FB4-4D47-B298-5AD720E66BFC}">
          <x14:formula1>
            <xm:f>Sheet1!$F$7:$F$14</xm:f>
          </x14:formula1>
          <xm:sqref>G3:G16</xm:sqref>
        </x14:dataValidation>
        <x14:dataValidation type="list" allowBlank="1" showInputMessage="1" showErrorMessage="1" xr:uid="{BAC71B13-24A0-4F3C-993E-1F78BA36861B}">
          <x14:formula1>
            <xm:f>Sheet1!$R$8:$R$9</xm:f>
          </x14:formula1>
          <xm:sqref>I3:I16</xm:sqref>
        </x14:dataValidation>
        <x14:dataValidation type="list" allowBlank="1" showInputMessage="1" showErrorMessage="1" xr:uid="{E15644E8-1BA5-4EEE-9DEA-9BDD60DD0835}">
          <x14:formula1>
            <xm:f>Sheet1!$H$7:$H$9</xm:f>
          </x14:formula1>
          <xm:sqref>B3:B16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9A08E-34CB-4FFA-9756-07D3E5F372AC}">
  <sheetPr codeName="Sheet3"/>
  <dimension ref="A6:U1296"/>
  <sheetViews>
    <sheetView rightToLeft="1" workbookViewId="0">
      <selection activeCell="B6" sqref="B6"/>
    </sheetView>
  </sheetViews>
  <sheetFormatPr defaultRowHeight="15" x14ac:dyDescent="0.25"/>
  <cols>
    <col min="4" max="4" width="19.28515625" bestFit="1" customWidth="1"/>
    <col min="6" max="6" width="16.42578125" bestFit="1" customWidth="1"/>
    <col min="8" max="8" width="18.5703125" bestFit="1" customWidth="1"/>
    <col min="10" max="10" width="8.5703125" bestFit="1" customWidth="1"/>
    <col min="15" max="15" width="16.85546875" bestFit="1" customWidth="1"/>
  </cols>
  <sheetData>
    <row r="6" spans="1:21" ht="44.25" thickBot="1" x14ac:dyDescent="0.3">
      <c r="A6" s="4" t="s">
        <v>167</v>
      </c>
      <c r="B6" s="4" t="s">
        <v>681</v>
      </c>
      <c r="D6" s="2" t="s">
        <v>144</v>
      </c>
      <c r="F6" s="4" t="s">
        <v>101</v>
      </c>
      <c r="H6" s="10" t="s">
        <v>200</v>
      </c>
    </row>
    <row r="7" spans="1:21" ht="110.25" thickTop="1" thickBot="1" x14ac:dyDescent="0.3">
      <c r="A7" s="5" t="s">
        <v>168</v>
      </c>
      <c r="B7" s="217">
        <v>3</v>
      </c>
      <c r="D7" s="3" t="s">
        <v>145</v>
      </c>
      <c r="F7" s="5" t="s">
        <v>102</v>
      </c>
      <c r="H7" t="s">
        <v>204</v>
      </c>
      <c r="J7" s="4" t="s">
        <v>155</v>
      </c>
      <c r="K7" s="4" t="s">
        <v>156</v>
      </c>
      <c r="L7" s="4" t="s">
        <v>157</v>
      </c>
      <c r="O7" s="9" t="s">
        <v>172</v>
      </c>
      <c r="R7" s="9" t="s">
        <v>186</v>
      </c>
      <c r="T7" s="9" t="s">
        <v>190</v>
      </c>
      <c r="U7" s="9" t="s">
        <v>191</v>
      </c>
    </row>
    <row r="8" spans="1:21" ht="23.25" thickTop="1" thickBot="1" x14ac:dyDescent="0.3">
      <c r="A8" s="5" t="s">
        <v>169</v>
      </c>
      <c r="B8" s="218">
        <v>4</v>
      </c>
      <c r="D8" s="3" t="s">
        <v>146</v>
      </c>
      <c r="F8" s="5" t="s">
        <v>103</v>
      </c>
      <c r="H8" t="s">
        <v>205</v>
      </c>
      <c r="J8" s="138" t="e">
        <f>'(1) البيانات الاساسية'!D9-'(3) العمليات المالية'!B9</f>
        <v>#VALUE!</v>
      </c>
      <c r="K8" s="8" t="e">
        <f>J8*20%</f>
        <v>#VALUE!</v>
      </c>
      <c r="L8" s="8">
        <f>'(4) وحدات المشروع'!F51*4%</f>
        <v>0</v>
      </c>
      <c r="O8" s="5" t="s">
        <v>174</v>
      </c>
      <c r="R8" s="5" t="s">
        <v>187</v>
      </c>
      <c r="T8" s="5">
        <f>'(3) العمليات المالية'!D9*4%</f>
        <v>0</v>
      </c>
      <c r="U8" s="5" t="e">
        <f>('(1) البيانات الاساسية'!D9*5%)</f>
        <v>#VALUE!</v>
      </c>
    </row>
    <row r="9" spans="1:21" ht="23.25" thickTop="1" thickBot="1" x14ac:dyDescent="0.3">
      <c r="A9" s="5" t="s">
        <v>170</v>
      </c>
      <c r="B9" s="217">
        <v>5</v>
      </c>
      <c r="D9" s="3" t="s">
        <v>147</v>
      </c>
      <c r="F9" s="5" t="s">
        <v>104</v>
      </c>
      <c r="H9" t="s">
        <v>193</v>
      </c>
      <c r="O9" s="5" t="s">
        <v>175</v>
      </c>
      <c r="R9" s="5" t="s">
        <v>188</v>
      </c>
    </row>
    <row r="10" spans="1:21" ht="23.25" thickTop="1" thickBot="1" x14ac:dyDescent="0.3">
      <c r="A10" s="5" t="s">
        <v>171</v>
      </c>
      <c r="B10" s="218">
        <v>7</v>
      </c>
      <c r="D10" s="3" t="s">
        <v>148</v>
      </c>
      <c r="F10" s="5" t="s">
        <v>108</v>
      </c>
      <c r="O10" s="5" t="s">
        <v>176</v>
      </c>
    </row>
    <row r="11" spans="1:21" ht="23.25" thickTop="1" thickBot="1" x14ac:dyDescent="0.3">
      <c r="B11" s="217">
        <v>8</v>
      </c>
      <c r="D11" s="6" t="s">
        <v>149</v>
      </c>
      <c r="F11" s="5" t="s">
        <v>112</v>
      </c>
      <c r="O11" s="5" t="s">
        <v>177</v>
      </c>
    </row>
    <row r="12" spans="1:21" ht="23.25" thickTop="1" thickBot="1" x14ac:dyDescent="0.3">
      <c r="B12" s="218">
        <v>9</v>
      </c>
      <c r="F12" s="5" t="s">
        <v>76</v>
      </c>
      <c r="O12" s="5" t="s">
        <v>173</v>
      </c>
    </row>
    <row r="13" spans="1:21" ht="23.25" thickTop="1" thickBot="1" x14ac:dyDescent="0.3">
      <c r="B13" s="217">
        <v>10</v>
      </c>
      <c r="F13" s="5" t="s">
        <v>68</v>
      </c>
      <c r="O13" s="5" t="s">
        <v>178</v>
      </c>
    </row>
    <row r="14" spans="1:21" ht="66.75" thickTop="1" thickBot="1" x14ac:dyDescent="0.3">
      <c r="B14" s="218">
        <v>11</v>
      </c>
      <c r="F14" s="7" t="s">
        <v>150</v>
      </c>
      <c r="O14" s="5" t="s">
        <v>179</v>
      </c>
    </row>
    <row r="15" spans="1:21" ht="23.25" thickTop="1" thickBot="1" x14ac:dyDescent="0.3">
      <c r="B15" s="217">
        <v>12</v>
      </c>
      <c r="O15" s="5" t="s">
        <v>180</v>
      </c>
    </row>
    <row r="16" spans="1:21" ht="23.25" thickTop="1" thickBot="1" x14ac:dyDescent="0.3">
      <c r="B16" s="218">
        <v>13</v>
      </c>
      <c r="O16" s="5" t="s">
        <v>181</v>
      </c>
    </row>
    <row r="17" spans="2:15" ht="23.25" thickTop="1" thickBot="1" x14ac:dyDescent="0.3">
      <c r="B17" s="217">
        <v>17</v>
      </c>
      <c r="O17" s="5" t="s">
        <v>182</v>
      </c>
    </row>
    <row r="18" spans="2:15" ht="23.25" thickTop="1" thickBot="1" x14ac:dyDescent="0.3">
      <c r="B18" s="218">
        <v>14</v>
      </c>
      <c r="O18" s="5" t="s">
        <v>183</v>
      </c>
    </row>
    <row r="19" spans="2:15" ht="23.25" thickTop="1" thickBot="1" x14ac:dyDescent="0.3">
      <c r="B19" s="217">
        <v>18</v>
      </c>
      <c r="O19" s="5" t="s">
        <v>184</v>
      </c>
    </row>
    <row r="20" spans="2:15" ht="19.5" thickTop="1" x14ac:dyDescent="0.25">
      <c r="B20" s="218">
        <v>20</v>
      </c>
    </row>
    <row r="21" spans="2:15" ht="18.75" x14ac:dyDescent="0.25">
      <c r="B21" s="217">
        <v>23</v>
      </c>
    </row>
    <row r="22" spans="2:15" ht="18.75" x14ac:dyDescent="0.25">
      <c r="B22" s="218">
        <v>24</v>
      </c>
    </row>
    <row r="23" spans="2:15" ht="18.75" x14ac:dyDescent="0.25">
      <c r="B23" s="217">
        <v>25</v>
      </c>
    </row>
    <row r="24" spans="2:15" ht="18.75" x14ac:dyDescent="0.25">
      <c r="B24" s="218">
        <v>26</v>
      </c>
    </row>
    <row r="25" spans="2:15" ht="18.75" x14ac:dyDescent="0.25">
      <c r="B25" s="217">
        <v>27</v>
      </c>
    </row>
    <row r="26" spans="2:15" ht="18.75" x14ac:dyDescent="0.25">
      <c r="B26" s="218">
        <v>28</v>
      </c>
    </row>
    <row r="27" spans="2:15" ht="18.75" x14ac:dyDescent="0.25">
      <c r="B27" s="217">
        <v>29</v>
      </c>
    </row>
    <row r="28" spans="2:15" ht="18.75" x14ac:dyDescent="0.25">
      <c r="B28" s="218">
        <v>19</v>
      </c>
    </row>
    <row r="29" spans="2:15" ht="18.75" x14ac:dyDescent="0.25">
      <c r="B29" s="217">
        <v>30</v>
      </c>
    </row>
    <row r="30" spans="2:15" ht="18.75" x14ac:dyDescent="0.25">
      <c r="B30" s="218">
        <v>31</v>
      </c>
    </row>
    <row r="31" spans="2:15" ht="18.75" x14ac:dyDescent="0.25">
      <c r="B31" s="217">
        <v>32</v>
      </c>
    </row>
    <row r="32" spans="2:15" ht="18.75" x14ac:dyDescent="0.25">
      <c r="B32" s="218">
        <v>33</v>
      </c>
    </row>
    <row r="33" spans="2:2" ht="18.75" x14ac:dyDescent="0.25">
      <c r="B33" s="217">
        <v>34</v>
      </c>
    </row>
    <row r="34" spans="2:2" ht="18.75" x14ac:dyDescent="0.25">
      <c r="B34" s="218">
        <v>16</v>
      </c>
    </row>
    <row r="35" spans="2:2" ht="18.75" x14ac:dyDescent="0.25">
      <c r="B35" s="217">
        <v>21</v>
      </c>
    </row>
    <row r="36" spans="2:2" ht="18.75" x14ac:dyDescent="0.25">
      <c r="B36" s="218">
        <v>15</v>
      </c>
    </row>
    <row r="37" spans="2:2" ht="18.75" x14ac:dyDescent="0.25">
      <c r="B37" s="217">
        <v>22</v>
      </c>
    </row>
    <row r="38" spans="2:2" ht="18.75" x14ac:dyDescent="0.25">
      <c r="B38" s="218">
        <v>35</v>
      </c>
    </row>
    <row r="39" spans="2:2" ht="18.75" x14ac:dyDescent="0.25">
      <c r="B39" s="217">
        <v>36</v>
      </c>
    </row>
    <row r="40" spans="2:2" ht="18.75" x14ac:dyDescent="0.25">
      <c r="B40" s="218">
        <v>37</v>
      </c>
    </row>
    <row r="41" spans="2:2" ht="18.75" x14ac:dyDescent="0.25">
      <c r="B41" s="217">
        <v>39</v>
      </c>
    </row>
    <row r="42" spans="2:2" ht="18.75" x14ac:dyDescent="0.25">
      <c r="B42" s="218">
        <v>38</v>
      </c>
    </row>
    <row r="43" spans="2:2" ht="18.75" x14ac:dyDescent="0.25">
      <c r="B43" s="217">
        <v>46</v>
      </c>
    </row>
    <row r="44" spans="2:2" ht="18.75" x14ac:dyDescent="0.25">
      <c r="B44" s="218">
        <v>47</v>
      </c>
    </row>
    <row r="45" spans="2:2" ht="18.75" x14ac:dyDescent="0.25">
      <c r="B45" s="217">
        <v>44</v>
      </c>
    </row>
    <row r="46" spans="2:2" ht="18.75" x14ac:dyDescent="0.25">
      <c r="B46" s="218">
        <v>40</v>
      </c>
    </row>
    <row r="47" spans="2:2" ht="18.75" x14ac:dyDescent="0.25">
      <c r="B47" s="217">
        <v>43</v>
      </c>
    </row>
    <row r="48" spans="2:2" ht="18.75" x14ac:dyDescent="0.25">
      <c r="B48" s="218">
        <v>41</v>
      </c>
    </row>
    <row r="49" spans="2:2" ht="18.75" x14ac:dyDescent="0.25">
      <c r="B49" s="217">
        <v>42</v>
      </c>
    </row>
    <row r="50" spans="2:2" ht="18.75" x14ac:dyDescent="0.25">
      <c r="B50" s="218">
        <v>45</v>
      </c>
    </row>
    <row r="51" spans="2:2" ht="18.75" x14ac:dyDescent="0.25">
      <c r="B51" s="217">
        <v>51</v>
      </c>
    </row>
    <row r="52" spans="2:2" ht="18.75" x14ac:dyDescent="0.25">
      <c r="B52" s="218">
        <v>49</v>
      </c>
    </row>
    <row r="53" spans="2:2" ht="18.75" x14ac:dyDescent="0.25">
      <c r="B53" s="217">
        <v>50</v>
      </c>
    </row>
    <row r="54" spans="2:2" ht="18.75" x14ac:dyDescent="0.25">
      <c r="B54" s="218">
        <v>48</v>
      </c>
    </row>
    <row r="55" spans="2:2" ht="18.75" x14ac:dyDescent="0.25">
      <c r="B55" s="217">
        <v>53</v>
      </c>
    </row>
    <row r="56" spans="2:2" ht="18.75" x14ac:dyDescent="0.25">
      <c r="B56" s="218">
        <v>52</v>
      </c>
    </row>
    <row r="57" spans="2:2" ht="18.75" x14ac:dyDescent="0.25">
      <c r="B57" s="217">
        <v>54</v>
      </c>
    </row>
    <row r="58" spans="2:2" ht="18.75" x14ac:dyDescent="0.25">
      <c r="B58" s="218">
        <v>56</v>
      </c>
    </row>
    <row r="59" spans="2:2" ht="18.75" x14ac:dyDescent="0.25">
      <c r="B59" s="219" t="s">
        <v>287</v>
      </c>
    </row>
    <row r="60" spans="2:2" ht="18.75" x14ac:dyDescent="0.25">
      <c r="B60" s="218">
        <v>57</v>
      </c>
    </row>
    <row r="61" spans="2:2" ht="18.75" x14ac:dyDescent="0.25">
      <c r="B61" s="217">
        <v>58</v>
      </c>
    </row>
    <row r="62" spans="2:2" ht="18.75" x14ac:dyDescent="0.25">
      <c r="B62" s="218">
        <v>59</v>
      </c>
    </row>
    <row r="63" spans="2:2" ht="18.75" x14ac:dyDescent="0.25">
      <c r="B63" s="217">
        <v>60</v>
      </c>
    </row>
    <row r="64" spans="2:2" ht="18.75" x14ac:dyDescent="0.25">
      <c r="B64" s="218">
        <v>61</v>
      </c>
    </row>
    <row r="65" spans="2:2" ht="18.75" x14ac:dyDescent="0.25">
      <c r="B65" s="217">
        <v>62</v>
      </c>
    </row>
    <row r="66" spans="2:2" ht="18.75" x14ac:dyDescent="0.25">
      <c r="B66" s="220" t="s">
        <v>288</v>
      </c>
    </row>
    <row r="67" spans="2:2" ht="18.75" x14ac:dyDescent="0.25">
      <c r="B67" s="219" t="s">
        <v>289</v>
      </c>
    </row>
    <row r="68" spans="2:2" ht="18.75" x14ac:dyDescent="0.25">
      <c r="B68" s="218">
        <v>63</v>
      </c>
    </row>
    <row r="69" spans="2:2" ht="18.75" x14ac:dyDescent="0.25">
      <c r="B69" s="219" t="s">
        <v>290</v>
      </c>
    </row>
    <row r="70" spans="2:2" ht="18.75" x14ac:dyDescent="0.25">
      <c r="B70" s="218">
        <v>64</v>
      </c>
    </row>
    <row r="71" spans="2:2" ht="18.75" x14ac:dyDescent="0.25">
      <c r="B71" s="219" t="s">
        <v>291</v>
      </c>
    </row>
    <row r="72" spans="2:2" ht="18.75" x14ac:dyDescent="0.25">
      <c r="B72" s="220" t="s">
        <v>292</v>
      </c>
    </row>
    <row r="73" spans="2:2" ht="18.75" x14ac:dyDescent="0.25">
      <c r="B73" s="219" t="s">
        <v>293</v>
      </c>
    </row>
    <row r="74" spans="2:2" ht="18.75" x14ac:dyDescent="0.25">
      <c r="B74" s="218">
        <v>67</v>
      </c>
    </row>
    <row r="75" spans="2:2" ht="18.75" x14ac:dyDescent="0.25">
      <c r="B75" s="219" t="s">
        <v>294</v>
      </c>
    </row>
    <row r="76" spans="2:2" ht="18.75" x14ac:dyDescent="0.25">
      <c r="B76" s="220" t="s">
        <v>295</v>
      </c>
    </row>
    <row r="77" spans="2:2" ht="18.75" x14ac:dyDescent="0.25">
      <c r="B77" s="219" t="s">
        <v>296</v>
      </c>
    </row>
    <row r="78" spans="2:2" ht="18.75" x14ac:dyDescent="0.25">
      <c r="B78" s="220" t="s">
        <v>297</v>
      </c>
    </row>
    <row r="79" spans="2:2" ht="18.75" x14ac:dyDescent="0.25">
      <c r="B79" s="219" t="s">
        <v>298</v>
      </c>
    </row>
    <row r="80" spans="2:2" ht="18.75" x14ac:dyDescent="0.25">
      <c r="B80" s="220" t="s">
        <v>299</v>
      </c>
    </row>
    <row r="81" spans="2:2" ht="18.75" x14ac:dyDescent="0.25">
      <c r="B81" s="217">
        <v>68</v>
      </c>
    </row>
    <row r="82" spans="2:2" ht="18.75" x14ac:dyDescent="0.25">
      <c r="B82" s="220" t="s">
        <v>300</v>
      </c>
    </row>
    <row r="83" spans="2:2" ht="18.75" x14ac:dyDescent="0.25">
      <c r="B83" s="219" t="s">
        <v>301</v>
      </c>
    </row>
    <row r="84" spans="2:2" ht="18.75" x14ac:dyDescent="0.25">
      <c r="B84" s="218">
        <v>69</v>
      </c>
    </row>
    <row r="85" spans="2:2" ht="18.75" x14ac:dyDescent="0.25">
      <c r="B85" s="217">
        <v>70</v>
      </c>
    </row>
    <row r="86" spans="2:2" ht="18.75" x14ac:dyDescent="0.25">
      <c r="B86" s="220" t="s">
        <v>302</v>
      </c>
    </row>
    <row r="87" spans="2:2" ht="18.75" x14ac:dyDescent="0.25">
      <c r="B87" s="219" t="s">
        <v>303</v>
      </c>
    </row>
    <row r="88" spans="2:2" ht="18.75" x14ac:dyDescent="0.25">
      <c r="B88" s="220" t="s">
        <v>304</v>
      </c>
    </row>
    <row r="89" spans="2:2" ht="18.75" x14ac:dyDescent="0.25">
      <c r="B89" s="219" t="s">
        <v>305</v>
      </c>
    </row>
    <row r="90" spans="2:2" ht="18.75" x14ac:dyDescent="0.25">
      <c r="B90" s="220" t="s">
        <v>306</v>
      </c>
    </row>
    <row r="91" spans="2:2" ht="18.75" x14ac:dyDescent="0.25">
      <c r="B91" s="219" t="s">
        <v>307</v>
      </c>
    </row>
    <row r="92" spans="2:2" ht="18.75" x14ac:dyDescent="0.25">
      <c r="B92" s="218">
        <v>71</v>
      </c>
    </row>
    <row r="93" spans="2:2" ht="18.75" x14ac:dyDescent="0.25">
      <c r="B93" s="219" t="s">
        <v>308</v>
      </c>
    </row>
    <row r="94" spans="2:2" ht="18.75" x14ac:dyDescent="0.25">
      <c r="B94" s="218">
        <v>72</v>
      </c>
    </row>
    <row r="95" spans="2:2" ht="18.75" x14ac:dyDescent="0.25">
      <c r="B95" s="217">
        <v>73</v>
      </c>
    </row>
    <row r="96" spans="2:2" ht="18.75" x14ac:dyDescent="0.25">
      <c r="B96" s="220" t="s">
        <v>309</v>
      </c>
    </row>
    <row r="97" spans="2:2" ht="18.75" x14ac:dyDescent="0.25">
      <c r="B97" s="219" t="s">
        <v>310</v>
      </c>
    </row>
    <row r="98" spans="2:2" ht="18.75" x14ac:dyDescent="0.25">
      <c r="B98" s="220" t="s">
        <v>311</v>
      </c>
    </row>
    <row r="99" spans="2:2" ht="18.75" x14ac:dyDescent="0.25">
      <c r="B99" s="219" t="s">
        <v>312</v>
      </c>
    </row>
    <row r="100" spans="2:2" ht="18.75" x14ac:dyDescent="0.25">
      <c r="B100" s="220" t="s">
        <v>313</v>
      </c>
    </row>
    <row r="101" spans="2:2" ht="18.75" x14ac:dyDescent="0.25">
      <c r="B101" s="219" t="s">
        <v>314</v>
      </c>
    </row>
    <row r="102" spans="2:2" ht="18.75" x14ac:dyDescent="0.25">
      <c r="B102" s="220" t="s">
        <v>315</v>
      </c>
    </row>
    <row r="103" spans="2:2" ht="18.75" x14ac:dyDescent="0.25">
      <c r="B103" s="217">
        <v>74</v>
      </c>
    </row>
    <row r="104" spans="2:2" ht="18.75" x14ac:dyDescent="0.25">
      <c r="B104" s="220" t="s">
        <v>316</v>
      </c>
    </row>
    <row r="105" spans="2:2" ht="18.75" x14ac:dyDescent="0.25">
      <c r="B105" s="219" t="s">
        <v>317</v>
      </c>
    </row>
    <row r="106" spans="2:2" ht="18.75" x14ac:dyDescent="0.25">
      <c r="B106" s="218">
        <v>75</v>
      </c>
    </row>
    <row r="107" spans="2:2" ht="18.75" x14ac:dyDescent="0.25">
      <c r="B107" s="217">
        <v>76</v>
      </c>
    </row>
    <row r="108" spans="2:2" ht="18.75" x14ac:dyDescent="0.25">
      <c r="B108" s="218">
        <v>77</v>
      </c>
    </row>
    <row r="109" spans="2:2" ht="18.75" x14ac:dyDescent="0.25">
      <c r="B109" s="219" t="s">
        <v>318</v>
      </c>
    </row>
    <row r="110" spans="2:2" ht="18.75" x14ac:dyDescent="0.25">
      <c r="B110" s="220" t="s">
        <v>319</v>
      </c>
    </row>
    <row r="111" spans="2:2" ht="18.75" x14ac:dyDescent="0.25">
      <c r="B111" s="219" t="s">
        <v>320</v>
      </c>
    </row>
    <row r="112" spans="2:2" ht="18.75" x14ac:dyDescent="0.25">
      <c r="B112" s="220" t="s">
        <v>321</v>
      </c>
    </row>
    <row r="113" spans="2:2" ht="18.75" x14ac:dyDescent="0.25">
      <c r="B113" s="219" t="s">
        <v>322</v>
      </c>
    </row>
    <row r="114" spans="2:2" ht="18.75" x14ac:dyDescent="0.25">
      <c r="B114" s="220" t="s">
        <v>323</v>
      </c>
    </row>
    <row r="115" spans="2:2" ht="18.75" x14ac:dyDescent="0.25">
      <c r="B115" s="219" t="s">
        <v>324</v>
      </c>
    </row>
    <row r="116" spans="2:2" ht="18.75" x14ac:dyDescent="0.25">
      <c r="B116" s="220" t="s">
        <v>325</v>
      </c>
    </row>
    <row r="117" spans="2:2" ht="18.75" x14ac:dyDescent="0.25">
      <c r="B117" s="219" t="s">
        <v>326</v>
      </c>
    </row>
    <row r="118" spans="2:2" ht="18.75" x14ac:dyDescent="0.25">
      <c r="B118" s="220" t="s">
        <v>327</v>
      </c>
    </row>
    <row r="119" spans="2:2" ht="18.75" x14ac:dyDescent="0.25">
      <c r="B119" s="219" t="s">
        <v>328</v>
      </c>
    </row>
    <row r="120" spans="2:2" ht="18.75" x14ac:dyDescent="0.25">
      <c r="B120" s="220" t="s">
        <v>329</v>
      </c>
    </row>
    <row r="121" spans="2:2" ht="18.75" x14ac:dyDescent="0.25">
      <c r="B121" s="217">
        <v>78</v>
      </c>
    </row>
    <row r="122" spans="2:2" ht="18.75" x14ac:dyDescent="0.25">
      <c r="B122" s="220" t="s">
        <v>330</v>
      </c>
    </row>
    <row r="123" spans="2:2" ht="18.75" x14ac:dyDescent="0.25">
      <c r="B123" s="219" t="s">
        <v>331</v>
      </c>
    </row>
    <row r="124" spans="2:2" ht="18.75" x14ac:dyDescent="0.25">
      <c r="B124" s="220" t="s">
        <v>332</v>
      </c>
    </row>
    <row r="125" spans="2:2" ht="18.75" x14ac:dyDescent="0.25">
      <c r="B125" s="219" t="s">
        <v>333</v>
      </c>
    </row>
    <row r="126" spans="2:2" ht="18.75" x14ac:dyDescent="0.25">
      <c r="B126" s="220" t="s">
        <v>334</v>
      </c>
    </row>
    <row r="127" spans="2:2" ht="18.75" x14ac:dyDescent="0.25">
      <c r="B127" s="219" t="s">
        <v>335</v>
      </c>
    </row>
    <row r="128" spans="2:2" ht="18.75" x14ac:dyDescent="0.25">
      <c r="B128" s="220" t="s">
        <v>336</v>
      </c>
    </row>
    <row r="129" spans="2:2" ht="18.75" x14ac:dyDescent="0.25">
      <c r="B129" s="217">
        <v>79</v>
      </c>
    </row>
    <row r="130" spans="2:2" ht="18.75" x14ac:dyDescent="0.25">
      <c r="B130" s="220" t="s">
        <v>337</v>
      </c>
    </row>
    <row r="131" spans="2:2" ht="18.75" x14ac:dyDescent="0.25">
      <c r="B131" s="219" t="s">
        <v>338</v>
      </c>
    </row>
    <row r="132" spans="2:2" ht="18.75" x14ac:dyDescent="0.25">
      <c r="B132" s="220" t="s">
        <v>339</v>
      </c>
    </row>
    <row r="133" spans="2:2" ht="18.75" x14ac:dyDescent="0.25">
      <c r="B133" s="219" t="s">
        <v>340</v>
      </c>
    </row>
    <row r="134" spans="2:2" ht="18.75" x14ac:dyDescent="0.25">
      <c r="B134" s="218">
        <v>80</v>
      </c>
    </row>
    <row r="135" spans="2:2" ht="18.75" x14ac:dyDescent="0.25">
      <c r="B135" s="219" t="s">
        <v>341</v>
      </c>
    </row>
    <row r="136" spans="2:2" ht="18.75" x14ac:dyDescent="0.25">
      <c r="B136" s="220" t="s">
        <v>342</v>
      </c>
    </row>
    <row r="137" spans="2:2" ht="18.75" x14ac:dyDescent="0.25">
      <c r="B137" s="219" t="s">
        <v>343</v>
      </c>
    </row>
    <row r="138" spans="2:2" ht="18.75" x14ac:dyDescent="0.25">
      <c r="B138" s="220" t="s">
        <v>344</v>
      </c>
    </row>
    <row r="139" spans="2:2" ht="18.75" x14ac:dyDescent="0.25">
      <c r="B139" s="219" t="s">
        <v>345</v>
      </c>
    </row>
    <row r="140" spans="2:2" ht="18.75" x14ac:dyDescent="0.25">
      <c r="B140" s="220" t="s">
        <v>346</v>
      </c>
    </row>
    <row r="141" spans="2:2" ht="18.75" x14ac:dyDescent="0.25">
      <c r="B141" s="217">
        <v>81</v>
      </c>
    </row>
    <row r="142" spans="2:2" ht="18.75" x14ac:dyDescent="0.25">
      <c r="B142" s="218">
        <v>82</v>
      </c>
    </row>
    <row r="143" spans="2:2" ht="18.75" x14ac:dyDescent="0.25">
      <c r="B143" s="219" t="s">
        <v>347</v>
      </c>
    </row>
    <row r="144" spans="2:2" ht="18.75" x14ac:dyDescent="0.25">
      <c r="B144" s="220" t="s">
        <v>348</v>
      </c>
    </row>
    <row r="145" spans="2:2" ht="18.75" x14ac:dyDescent="0.25">
      <c r="B145" s="219" t="s">
        <v>349</v>
      </c>
    </row>
    <row r="146" spans="2:2" ht="18.75" x14ac:dyDescent="0.25">
      <c r="B146" s="220" t="s">
        <v>350</v>
      </c>
    </row>
    <row r="147" spans="2:2" ht="18.75" x14ac:dyDescent="0.25">
      <c r="B147" s="219" t="s">
        <v>351</v>
      </c>
    </row>
    <row r="148" spans="2:2" ht="18.75" x14ac:dyDescent="0.25">
      <c r="B148" s="218">
        <v>83</v>
      </c>
    </row>
    <row r="149" spans="2:2" ht="18.75" x14ac:dyDescent="0.25">
      <c r="B149" s="219" t="s">
        <v>352</v>
      </c>
    </row>
    <row r="150" spans="2:2" ht="18.75" x14ac:dyDescent="0.25">
      <c r="B150" s="220" t="s">
        <v>353</v>
      </c>
    </row>
    <row r="151" spans="2:2" ht="18.75" x14ac:dyDescent="0.25">
      <c r="B151" s="217">
        <v>84</v>
      </c>
    </row>
    <row r="152" spans="2:2" ht="18.75" x14ac:dyDescent="0.25">
      <c r="B152" s="220" t="s">
        <v>354</v>
      </c>
    </row>
    <row r="153" spans="2:2" ht="18.75" x14ac:dyDescent="0.25">
      <c r="B153" s="219" t="s">
        <v>355</v>
      </c>
    </row>
    <row r="154" spans="2:2" ht="18.75" x14ac:dyDescent="0.25">
      <c r="B154" s="218">
        <v>85</v>
      </c>
    </row>
    <row r="155" spans="2:2" ht="18.75" x14ac:dyDescent="0.25">
      <c r="B155" s="217">
        <v>86</v>
      </c>
    </row>
    <row r="156" spans="2:2" ht="18.75" x14ac:dyDescent="0.25">
      <c r="B156" s="220" t="s">
        <v>356</v>
      </c>
    </row>
    <row r="157" spans="2:2" ht="18.75" x14ac:dyDescent="0.25">
      <c r="B157" s="219" t="s">
        <v>357</v>
      </c>
    </row>
    <row r="158" spans="2:2" ht="18.75" x14ac:dyDescent="0.25">
      <c r="B158" s="220" t="s">
        <v>358</v>
      </c>
    </row>
    <row r="159" spans="2:2" ht="18.75" x14ac:dyDescent="0.25">
      <c r="B159" s="219" t="s">
        <v>359</v>
      </c>
    </row>
    <row r="160" spans="2:2" ht="18.75" x14ac:dyDescent="0.25">
      <c r="B160" s="218">
        <v>87</v>
      </c>
    </row>
    <row r="161" spans="2:2" ht="18.75" x14ac:dyDescent="0.25">
      <c r="B161" s="217">
        <v>88</v>
      </c>
    </row>
    <row r="162" spans="2:2" ht="18.75" x14ac:dyDescent="0.25">
      <c r="B162" s="218">
        <v>89</v>
      </c>
    </row>
    <row r="163" spans="2:2" ht="18.75" x14ac:dyDescent="0.25">
      <c r="B163" s="219" t="s">
        <v>360</v>
      </c>
    </row>
    <row r="164" spans="2:2" ht="18.75" x14ac:dyDescent="0.25">
      <c r="B164" s="220" t="s">
        <v>361</v>
      </c>
    </row>
    <row r="165" spans="2:2" ht="18.75" x14ac:dyDescent="0.25">
      <c r="B165" s="217">
        <v>90</v>
      </c>
    </row>
    <row r="166" spans="2:2" ht="18.75" x14ac:dyDescent="0.25">
      <c r="B166" s="218">
        <v>91</v>
      </c>
    </row>
    <row r="167" spans="2:2" ht="18.75" x14ac:dyDescent="0.25">
      <c r="B167" s="217">
        <v>92</v>
      </c>
    </row>
    <row r="168" spans="2:2" ht="18.75" x14ac:dyDescent="0.25">
      <c r="B168" s="220" t="s">
        <v>362</v>
      </c>
    </row>
    <row r="169" spans="2:2" ht="18.75" x14ac:dyDescent="0.25">
      <c r="B169" s="219" t="s">
        <v>363</v>
      </c>
    </row>
    <row r="170" spans="2:2" ht="18.75" x14ac:dyDescent="0.25">
      <c r="B170" s="218">
        <v>93</v>
      </c>
    </row>
    <row r="171" spans="2:2" ht="18.75" x14ac:dyDescent="0.25">
      <c r="B171" s="219" t="s">
        <v>364</v>
      </c>
    </row>
    <row r="172" spans="2:2" ht="18.75" x14ac:dyDescent="0.25">
      <c r="B172" s="220" t="s">
        <v>365</v>
      </c>
    </row>
    <row r="173" spans="2:2" ht="18.75" x14ac:dyDescent="0.25">
      <c r="B173" s="219" t="s">
        <v>366</v>
      </c>
    </row>
    <row r="174" spans="2:2" ht="18.75" x14ac:dyDescent="0.25">
      <c r="B174" s="220" t="s">
        <v>367</v>
      </c>
    </row>
    <row r="175" spans="2:2" ht="18.75" x14ac:dyDescent="0.25">
      <c r="B175" s="219" t="s">
        <v>368</v>
      </c>
    </row>
    <row r="176" spans="2:2" ht="18.75" x14ac:dyDescent="0.25">
      <c r="B176" s="220" t="s">
        <v>369</v>
      </c>
    </row>
    <row r="177" spans="2:2" ht="18.75" x14ac:dyDescent="0.25">
      <c r="B177" s="219" t="s">
        <v>370</v>
      </c>
    </row>
    <row r="178" spans="2:2" ht="18.75" x14ac:dyDescent="0.25">
      <c r="B178" s="220" t="s">
        <v>371</v>
      </c>
    </row>
    <row r="179" spans="2:2" ht="18.75" x14ac:dyDescent="0.25">
      <c r="B179" s="219" t="s">
        <v>372</v>
      </c>
    </row>
    <row r="180" spans="2:2" ht="18.75" x14ac:dyDescent="0.25">
      <c r="B180" s="220" t="s">
        <v>373</v>
      </c>
    </row>
    <row r="181" spans="2:2" ht="18.75" x14ac:dyDescent="0.25">
      <c r="B181" s="219" t="s">
        <v>374</v>
      </c>
    </row>
    <row r="182" spans="2:2" ht="18.75" x14ac:dyDescent="0.25">
      <c r="B182" s="220" t="s">
        <v>375</v>
      </c>
    </row>
    <row r="183" spans="2:2" ht="18.75" x14ac:dyDescent="0.25">
      <c r="B183" s="217">
        <v>94</v>
      </c>
    </row>
    <row r="184" spans="2:2" ht="18.75" x14ac:dyDescent="0.25">
      <c r="B184" s="218">
        <v>95</v>
      </c>
    </row>
    <row r="185" spans="2:2" ht="18.75" x14ac:dyDescent="0.25">
      <c r="B185" s="219" t="s">
        <v>376</v>
      </c>
    </row>
    <row r="186" spans="2:2" ht="18.75" x14ac:dyDescent="0.25">
      <c r="B186" s="218">
        <v>96</v>
      </c>
    </row>
    <row r="187" spans="2:2" ht="18.75" x14ac:dyDescent="0.25">
      <c r="B187" s="219" t="s">
        <v>377</v>
      </c>
    </row>
    <row r="188" spans="2:2" ht="18.75" x14ac:dyDescent="0.25">
      <c r="B188" s="220" t="s">
        <v>378</v>
      </c>
    </row>
    <row r="189" spans="2:2" ht="18.75" x14ac:dyDescent="0.25">
      <c r="B189" s="219" t="s">
        <v>379</v>
      </c>
    </row>
    <row r="190" spans="2:2" ht="18.75" x14ac:dyDescent="0.25">
      <c r="B190" s="220" t="s">
        <v>380</v>
      </c>
    </row>
    <row r="191" spans="2:2" ht="18.75" x14ac:dyDescent="0.25">
      <c r="B191" s="219" t="s">
        <v>381</v>
      </c>
    </row>
    <row r="192" spans="2:2" ht="18.75" x14ac:dyDescent="0.25">
      <c r="B192" s="218">
        <v>97</v>
      </c>
    </row>
    <row r="193" spans="2:2" ht="18.75" x14ac:dyDescent="0.25">
      <c r="B193" s="219" t="s">
        <v>382</v>
      </c>
    </row>
    <row r="194" spans="2:2" ht="18.75" x14ac:dyDescent="0.25">
      <c r="B194" s="220" t="s">
        <v>383</v>
      </c>
    </row>
    <row r="195" spans="2:2" ht="18.75" x14ac:dyDescent="0.25">
      <c r="B195" s="217">
        <v>98</v>
      </c>
    </row>
    <row r="196" spans="2:2" ht="18.75" x14ac:dyDescent="0.25">
      <c r="B196" s="220" t="s">
        <v>384</v>
      </c>
    </row>
    <row r="197" spans="2:2" ht="18.75" x14ac:dyDescent="0.25">
      <c r="B197" s="219" t="s">
        <v>385</v>
      </c>
    </row>
    <row r="198" spans="2:2" ht="18.75" x14ac:dyDescent="0.25">
      <c r="B198" s="220" t="s">
        <v>386</v>
      </c>
    </row>
    <row r="199" spans="2:2" ht="18.75" x14ac:dyDescent="0.25">
      <c r="B199" s="217">
        <v>99</v>
      </c>
    </row>
    <row r="200" spans="2:2" ht="18.75" x14ac:dyDescent="0.25">
      <c r="B200" s="220" t="s">
        <v>387</v>
      </c>
    </row>
    <row r="201" spans="2:2" ht="18.75" x14ac:dyDescent="0.25">
      <c r="B201" s="219" t="s">
        <v>388</v>
      </c>
    </row>
    <row r="202" spans="2:2" ht="18.75" x14ac:dyDescent="0.25">
      <c r="B202" s="220" t="s">
        <v>389</v>
      </c>
    </row>
    <row r="203" spans="2:2" ht="18.75" x14ac:dyDescent="0.25">
      <c r="B203" s="219" t="s">
        <v>390</v>
      </c>
    </row>
    <row r="204" spans="2:2" ht="18.75" x14ac:dyDescent="0.25">
      <c r="B204" s="220" t="s">
        <v>391</v>
      </c>
    </row>
    <row r="205" spans="2:2" ht="18.75" x14ac:dyDescent="0.25">
      <c r="B205" s="217">
        <v>100</v>
      </c>
    </row>
    <row r="206" spans="2:2" ht="18.75" x14ac:dyDescent="0.25">
      <c r="B206" s="218">
        <v>101</v>
      </c>
    </row>
    <row r="207" spans="2:2" ht="18.75" x14ac:dyDescent="0.25">
      <c r="B207" s="217">
        <v>102</v>
      </c>
    </row>
    <row r="208" spans="2:2" ht="18.75" x14ac:dyDescent="0.25">
      <c r="B208" s="218">
        <v>103</v>
      </c>
    </row>
    <row r="209" spans="2:2" ht="18.75" x14ac:dyDescent="0.25">
      <c r="B209" s="219" t="s">
        <v>392</v>
      </c>
    </row>
    <row r="210" spans="2:2" ht="18.75" x14ac:dyDescent="0.25">
      <c r="B210" s="218">
        <v>104</v>
      </c>
    </row>
    <row r="211" spans="2:2" ht="18.75" x14ac:dyDescent="0.25">
      <c r="B211" s="219" t="s">
        <v>393</v>
      </c>
    </row>
    <row r="212" spans="2:2" ht="18.75" x14ac:dyDescent="0.25">
      <c r="B212" s="220" t="s">
        <v>394</v>
      </c>
    </row>
    <row r="213" spans="2:2" ht="18.75" x14ac:dyDescent="0.25">
      <c r="B213" s="219" t="s">
        <v>395</v>
      </c>
    </row>
    <row r="214" spans="2:2" ht="18.75" x14ac:dyDescent="0.25">
      <c r="B214" s="218">
        <v>105</v>
      </c>
    </row>
    <row r="215" spans="2:2" ht="18.75" x14ac:dyDescent="0.25">
      <c r="B215" s="219" t="s">
        <v>396</v>
      </c>
    </row>
    <row r="216" spans="2:2" ht="18.75" x14ac:dyDescent="0.25">
      <c r="B216" s="220" t="s">
        <v>397</v>
      </c>
    </row>
    <row r="217" spans="2:2" ht="18.75" x14ac:dyDescent="0.25">
      <c r="B217" s="219" t="s">
        <v>398</v>
      </c>
    </row>
    <row r="218" spans="2:2" ht="18.75" x14ac:dyDescent="0.25">
      <c r="B218" s="218">
        <v>106</v>
      </c>
    </row>
    <row r="219" spans="2:2" ht="18.75" x14ac:dyDescent="0.25">
      <c r="B219" s="219" t="s">
        <v>399</v>
      </c>
    </row>
    <row r="220" spans="2:2" ht="18.75" x14ac:dyDescent="0.25">
      <c r="B220" s="220" t="s">
        <v>400</v>
      </c>
    </row>
    <row r="221" spans="2:2" ht="18.75" x14ac:dyDescent="0.25">
      <c r="B221" s="219" t="s">
        <v>401</v>
      </c>
    </row>
    <row r="222" spans="2:2" ht="18.75" x14ac:dyDescent="0.25">
      <c r="B222" s="218">
        <v>107</v>
      </c>
    </row>
    <row r="223" spans="2:2" ht="18.75" x14ac:dyDescent="0.25">
      <c r="B223" s="219" t="s">
        <v>402</v>
      </c>
    </row>
    <row r="224" spans="2:2" ht="18.75" x14ac:dyDescent="0.25">
      <c r="B224" s="220" t="s">
        <v>403</v>
      </c>
    </row>
    <row r="225" spans="2:2" ht="18.75" x14ac:dyDescent="0.25">
      <c r="B225" s="219" t="s">
        <v>404</v>
      </c>
    </row>
    <row r="226" spans="2:2" ht="18.75" x14ac:dyDescent="0.25">
      <c r="B226" s="220" t="s">
        <v>405</v>
      </c>
    </row>
    <row r="227" spans="2:2" ht="18.75" x14ac:dyDescent="0.25">
      <c r="B227" s="219" t="s">
        <v>406</v>
      </c>
    </row>
    <row r="228" spans="2:2" ht="18.75" x14ac:dyDescent="0.25">
      <c r="B228" s="220" t="s">
        <v>407</v>
      </c>
    </row>
    <row r="229" spans="2:2" ht="18.75" x14ac:dyDescent="0.25">
      <c r="B229" s="217">
        <v>108</v>
      </c>
    </row>
    <row r="230" spans="2:2" ht="18.75" x14ac:dyDescent="0.25">
      <c r="B230" s="220" t="s">
        <v>408</v>
      </c>
    </row>
    <row r="231" spans="2:2" ht="18.75" x14ac:dyDescent="0.25">
      <c r="B231" s="217">
        <v>109</v>
      </c>
    </row>
    <row r="232" spans="2:2" ht="18.75" x14ac:dyDescent="0.25">
      <c r="B232" s="220" t="s">
        <v>409</v>
      </c>
    </row>
    <row r="233" spans="2:2" ht="18.75" x14ac:dyDescent="0.25">
      <c r="B233" s="217">
        <v>110</v>
      </c>
    </row>
    <row r="234" spans="2:2" ht="18.75" x14ac:dyDescent="0.25">
      <c r="B234" s="218">
        <v>111</v>
      </c>
    </row>
    <row r="235" spans="2:2" ht="18.75" x14ac:dyDescent="0.25">
      <c r="B235" s="217">
        <v>112</v>
      </c>
    </row>
    <row r="236" spans="2:2" ht="18.75" x14ac:dyDescent="0.25">
      <c r="B236" s="218">
        <v>113</v>
      </c>
    </row>
    <row r="237" spans="2:2" ht="18.75" x14ac:dyDescent="0.25">
      <c r="B237" s="217">
        <v>114</v>
      </c>
    </row>
    <row r="238" spans="2:2" ht="18.75" x14ac:dyDescent="0.25">
      <c r="B238" s="218">
        <v>115</v>
      </c>
    </row>
    <row r="239" spans="2:2" ht="18.75" x14ac:dyDescent="0.25">
      <c r="B239" s="219" t="s">
        <v>410</v>
      </c>
    </row>
    <row r="240" spans="2:2" ht="18.75" x14ac:dyDescent="0.25">
      <c r="B240" s="218">
        <v>116</v>
      </c>
    </row>
    <row r="241" spans="2:2" ht="18.75" x14ac:dyDescent="0.25">
      <c r="B241" s="217">
        <v>117</v>
      </c>
    </row>
    <row r="242" spans="2:2" ht="18.75" x14ac:dyDescent="0.25">
      <c r="B242" s="220" t="s">
        <v>411</v>
      </c>
    </row>
    <row r="243" spans="2:2" ht="18.75" x14ac:dyDescent="0.25">
      <c r="B243" s="217">
        <v>118</v>
      </c>
    </row>
    <row r="244" spans="2:2" ht="18.75" x14ac:dyDescent="0.25">
      <c r="B244" s="220" t="s">
        <v>412</v>
      </c>
    </row>
    <row r="245" spans="2:2" ht="18.75" x14ac:dyDescent="0.25">
      <c r="B245" s="217">
        <v>119</v>
      </c>
    </row>
    <row r="246" spans="2:2" ht="18.75" x14ac:dyDescent="0.25">
      <c r="B246" s="218">
        <v>120</v>
      </c>
    </row>
    <row r="247" spans="2:2" ht="18.75" x14ac:dyDescent="0.25">
      <c r="B247" s="217">
        <v>121</v>
      </c>
    </row>
    <row r="248" spans="2:2" ht="18.75" x14ac:dyDescent="0.25">
      <c r="B248" s="220" t="s">
        <v>413</v>
      </c>
    </row>
    <row r="249" spans="2:2" ht="18.75" x14ac:dyDescent="0.25">
      <c r="B249" s="217">
        <v>122</v>
      </c>
    </row>
    <row r="250" spans="2:2" ht="18.75" x14ac:dyDescent="0.25">
      <c r="B250" s="218">
        <v>123</v>
      </c>
    </row>
    <row r="251" spans="2:2" ht="18.75" x14ac:dyDescent="0.25">
      <c r="B251" s="217">
        <v>124</v>
      </c>
    </row>
    <row r="252" spans="2:2" ht="18.75" x14ac:dyDescent="0.25">
      <c r="B252" s="218">
        <v>125</v>
      </c>
    </row>
    <row r="253" spans="2:2" ht="18.75" x14ac:dyDescent="0.25">
      <c r="B253" s="217">
        <v>126</v>
      </c>
    </row>
    <row r="254" spans="2:2" ht="18.75" x14ac:dyDescent="0.25">
      <c r="B254" s="220" t="s">
        <v>414</v>
      </c>
    </row>
    <row r="255" spans="2:2" ht="18.75" x14ac:dyDescent="0.25">
      <c r="B255" s="219" t="s">
        <v>415</v>
      </c>
    </row>
    <row r="256" spans="2:2" ht="18.75" x14ac:dyDescent="0.25">
      <c r="B256" s="220" t="s">
        <v>416</v>
      </c>
    </row>
    <row r="257" spans="2:2" ht="18.75" x14ac:dyDescent="0.25">
      <c r="B257" s="219" t="s">
        <v>417</v>
      </c>
    </row>
    <row r="258" spans="2:2" ht="18.75" x14ac:dyDescent="0.25">
      <c r="B258" s="218">
        <v>127</v>
      </c>
    </row>
    <row r="259" spans="2:2" ht="18.75" x14ac:dyDescent="0.25">
      <c r="B259" s="217">
        <v>128</v>
      </c>
    </row>
    <row r="260" spans="2:2" ht="18.75" x14ac:dyDescent="0.25">
      <c r="B260" s="220" t="s">
        <v>418</v>
      </c>
    </row>
    <row r="261" spans="2:2" ht="18.75" x14ac:dyDescent="0.25">
      <c r="B261" s="217">
        <v>129</v>
      </c>
    </row>
    <row r="262" spans="2:2" ht="18.75" x14ac:dyDescent="0.25">
      <c r="B262" s="218">
        <v>130</v>
      </c>
    </row>
    <row r="263" spans="2:2" ht="18.75" x14ac:dyDescent="0.25">
      <c r="B263" s="217">
        <v>131</v>
      </c>
    </row>
    <row r="264" spans="2:2" ht="18.75" x14ac:dyDescent="0.25">
      <c r="B264" s="218">
        <v>132</v>
      </c>
    </row>
    <row r="265" spans="2:2" ht="18.75" x14ac:dyDescent="0.25">
      <c r="B265" s="217">
        <v>133</v>
      </c>
    </row>
    <row r="266" spans="2:2" ht="18.75" x14ac:dyDescent="0.25">
      <c r="B266" s="218">
        <v>134</v>
      </c>
    </row>
    <row r="267" spans="2:2" ht="18.75" x14ac:dyDescent="0.25">
      <c r="B267" s="217">
        <v>135</v>
      </c>
    </row>
    <row r="268" spans="2:2" ht="18.75" x14ac:dyDescent="0.25">
      <c r="B268" s="218">
        <v>136</v>
      </c>
    </row>
    <row r="269" spans="2:2" ht="18.75" x14ac:dyDescent="0.25">
      <c r="B269" s="219" t="s">
        <v>419</v>
      </c>
    </row>
    <row r="270" spans="2:2" ht="18.75" x14ac:dyDescent="0.25">
      <c r="B270" s="220" t="s">
        <v>420</v>
      </c>
    </row>
    <row r="271" spans="2:2" ht="18.75" x14ac:dyDescent="0.25">
      <c r="B271" s="219" t="s">
        <v>421</v>
      </c>
    </row>
    <row r="272" spans="2:2" ht="18.75" x14ac:dyDescent="0.25">
      <c r="B272" s="218">
        <v>137</v>
      </c>
    </row>
    <row r="273" spans="2:2" ht="18.75" x14ac:dyDescent="0.25">
      <c r="B273" s="219" t="s">
        <v>422</v>
      </c>
    </row>
    <row r="274" spans="2:2" ht="18.75" x14ac:dyDescent="0.25">
      <c r="B274" s="218">
        <v>138</v>
      </c>
    </row>
    <row r="275" spans="2:2" ht="18.75" x14ac:dyDescent="0.25">
      <c r="B275" s="217">
        <v>139</v>
      </c>
    </row>
    <row r="276" spans="2:2" ht="18.75" x14ac:dyDescent="0.25">
      <c r="B276" s="218">
        <v>140</v>
      </c>
    </row>
    <row r="277" spans="2:2" ht="18.75" x14ac:dyDescent="0.25">
      <c r="B277" s="217">
        <v>141</v>
      </c>
    </row>
    <row r="278" spans="2:2" ht="18.75" x14ac:dyDescent="0.25">
      <c r="B278" s="220" t="s">
        <v>423</v>
      </c>
    </row>
    <row r="279" spans="2:2" ht="18.75" x14ac:dyDescent="0.25">
      <c r="B279" s="219" t="s">
        <v>424</v>
      </c>
    </row>
    <row r="280" spans="2:2" ht="18.75" x14ac:dyDescent="0.25">
      <c r="B280" s="218">
        <v>142</v>
      </c>
    </row>
    <row r="281" spans="2:2" ht="18.75" x14ac:dyDescent="0.25">
      <c r="B281" s="217">
        <v>143</v>
      </c>
    </row>
    <row r="282" spans="2:2" ht="18.75" x14ac:dyDescent="0.25">
      <c r="B282" s="218">
        <v>144</v>
      </c>
    </row>
    <row r="283" spans="2:2" ht="18.75" x14ac:dyDescent="0.25">
      <c r="B283" s="217">
        <v>145</v>
      </c>
    </row>
    <row r="284" spans="2:2" ht="18.75" x14ac:dyDescent="0.25">
      <c r="B284" s="220" t="s">
        <v>425</v>
      </c>
    </row>
    <row r="285" spans="2:2" ht="18.75" x14ac:dyDescent="0.25">
      <c r="B285" s="219" t="s">
        <v>426</v>
      </c>
    </row>
    <row r="286" spans="2:2" ht="18.75" x14ac:dyDescent="0.25">
      <c r="B286" s="220" t="s">
        <v>427</v>
      </c>
    </row>
    <row r="287" spans="2:2" ht="18.75" x14ac:dyDescent="0.25">
      <c r="B287" s="217">
        <v>146</v>
      </c>
    </row>
    <row r="288" spans="2:2" ht="18.75" x14ac:dyDescent="0.25">
      <c r="B288" s="218">
        <v>147</v>
      </c>
    </row>
    <row r="289" spans="2:2" ht="18.75" x14ac:dyDescent="0.25">
      <c r="B289" s="217">
        <v>148</v>
      </c>
    </row>
    <row r="290" spans="2:2" ht="18.75" x14ac:dyDescent="0.25">
      <c r="B290" s="218">
        <v>149</v>
      </c>
    </row>
    <row r="291" spans="2:2" ht="18.75" x14ac:dyDescent="0.25">
      <c r="B291" s="219" t="s">
        <v>428</v>
      </c>
    </row>
    <row r="292" spans="2:2" ht="18.75" x14ac:dyDescent="0.25">
      <c r="B292" s="218">
        <v>150</v>
      </c>
    </row>
    <row r="293" spans="2:2" ht="18.75" x14ac:dyDescent="0.25">
      <c r="B293" s="217">
        <v>151</v>
      </c>
    </row>
    <row r="294" spans="2:2" ht="18.75" x14ac:dyDescent="0.25">
      <c r="B294" s="220" t="s">
        <v>429</v>
      </c>
    </row>
    <row r="295" spans="2:2" ht="18.75" x14ac:dyDescent="0.25">
      <c r="B295" s="217">
        <v>152</v>
      </c>
    </row>
    <row r="296" spans="2:2" ht="18.75" x14ac:dyDescent="0.25">
      <c r="B296" s="218">
        <v>153</v>
      </c>
    </row>
    <row r="297" spans="2:2" ht="18.75" x14ac:dyDescent="0.25">
      <c r="B297" s="219" t="s">
        <v>430</v>
      </c>
    </row>
    <row r="298" spans="2:2" ht="18.75" x14ac:dyDescent="0.25">
      <c r="B298" s="220" t="s">
        <v>431</v>
      </c>
    </row>
    <row r="299" spans="2:2" ht="18.75" x14ac:dyDescent="0.25">
      <c r="B299" s="217">
        <v>154</v>
      </c>
    </row>
    <row r="300" spans="2:2" ht="18.75" x14ac:dyDescent="0.25">
      <c r="B300" s="220" t="s">
        <v>432</v>
      </c>
    </row>
    <row r="301" spans="2:2" ht="18.75" x14ac:dyDescent="0.25">
      <c r="B301" s="217">
        <v>155</v>
      </c>
    </row>
    <row r="302" spans="2:2" ht="18.75" x14ac:dyDescent="0.25">
      <c r="B302" s="220" t="s">
        <v>433</v>
      </c>
    </row>
    <row r="303" spans="2:2" ht="18.75" x14ac:dyDescent="0.25">
      <c r="B303" s="219" t="s">
        <v>434</v>
      </c>
    </row>
    <row r="304" spans="2:2" ht="18.75" x14ac:dyDescent="0.25">
      <c r="B304" s="218">
        <v>156</v>
      </c>
    </row>
    <row r="305" spans="2:2" ht="18.75" x14ac:dyDescent="0.25">
      <c r="B305" s="219" t="s">
        <v>435</v>
      </c>
    </row>
    <row r="306" spans="2:2" ht="18.75" x14ac:dyDescent="0.25">
      <c r="B306" s="220" t="s">
        <v>436</v>
      </c>
    </row>
    <row r="307" spans="2:2" ht="18.75" x14ac:dyDescent="0.25">
      <c r="B307" s="219" t="s">
        <v>437</v>
      </c>
    </row>
    <row r="308" spans="2:2" ht="18.75" x14ac:dyDescent="0.25">
      <c r="B308" s="220" t="s">
        <v>438</v>
      </c>
    </row>
    <row r="309" spans="2:2" ht="18.75" x14ac:dyDescent="0.25">
      <c r="B309" s="217">
        <v>157</v>
      </c>
    </row>
    <row r="310" spans="2:2" ht="18.75" x14ac:dyDescent="0.25">
      <c r="B310" s="218">
        <v>158</v>
      </c>
    </row>
    <row r="311" spans="2:2" ht="18.75" x14ac:dyDescent="0.25">
      <c r="B311" s="217">
        <v>159</v>
      </c>
    </row>
    <row r="312" spans="2:2" ht="18.75" x14ac:dyDescent="0.25">
      <c r="B312" s="220" t="s">
        <v>439</v>
      </c>
    </row>
    <row r="313" spans="2:2" ht="18.75" x14ac:dyDescent="0.25">
      <c r="B313" s="219" t="s">
        <v>440</v>
      </c>
    </row>
    <row r="314" spans="2:2" ht="18.75" x14ac:dyDescent="0.25">
      <c r="B314" s="220" t="s">
        <v>441</v>
      </c>
    </row>
    <row r="315" spans="2:2" ht="18.75" x14ac:dyDescent="0.25">
      <c r="B315" s="219" t="s">
        <v>442</v>
      </c>
    </row>
    <row r="316" spans="2:2" ht="18.75" x14ac:dyDescent="0.25">
      <c r="B316" s="220" t="s">
        <v>443</v>
      </c>
    </row>
    <row r="317" spans="2:2" ht="18.75" x14ac:dyDescent="0.25">
      <c r="B317" s="217">
        <v>160</v>
      </c>
    </row>
    <row r="318" spans="2:2" ht="18.75" x14ac:dyDescent="0.25">
      <c r="B318" s="218">
        <v>161</v>
      </c>
    </row>
    <row r="319" spans="2:2" ht="18.75" x14ac:dyDescent="0.25">
      <c r="B319" s="217">
        <v>162</v>
      </c>
    </row>
    <row r="320" spans="2:2" ht="18.75" x14ac:dyDescent="0.25">
      <c r="B320" s="218">
        <v>163</v>
      </c>
    </row>
    <row r="321" spans="2:2" ht="18.75" x14ac:dyDescent="0.25">
      <c r="B321" s="217">
        <v>164</v>
      </c>
    </row>
    <row r="322" spans="2:2" ht="18.75" x14ac:dyDescent="0.25">
      <c r="B322" s="218">
        <v>173</v>
      </c>
    </row>
    <row r="323" spans="2:2" ht="18.75" x14ac:dyDescent="0.25">
      <c r="B323" s="217">
        <v>165</v>
      </c>
    </row>
    <row r="324" spans="2:2" ht="18.75" x14ac:dyDescent="0.25">
      <c r="B324" s="218">
        <v>166</v>
      </c>
    </row>
    <row r="325" spans="2:2" ht="18.75" x14ac:dyDescent="0.25">
      <c r="B325" s="217">
        <v>167</v>
      </c>
    </row>
    <row r="326" spans="2:2" ht="18.75" x14ac:dyDescent="0.25">
      <c r="B326" s="220" t="s">
        <v>444</v>
      </c>
    </row>
    <row r="327" spans="2:2" ht="18.75" x14ac:dyDescent="0.25">
      <c r="B327" s="217">
        <v>168</v>
      </c>
    </row>
    <row r="328" spans="2:2" ht="18.75" x14ac:dyDescent="0.25">
      <c r="B328" s="218">
        <v>169</v>
      </c>
    </row>
    <row r="329" spans="2:2" ht="18.75" x14ac:dyDescent="0.25">
      <c r="B329" s="217">
        <v>170</v>
      </c>
    </row>
    <row r="330" spans="2:2" ht="18.75" x14ac:dyDescent="0.25">
      <c r="B330" s="218">
        <v>171</v>
      </c>
    </row>
    <row r="331" spans="2:2" ht="18.75" x14ac:dyDescent="0.25">
      <c r="B331" s="217">
        <v>172</v>
      </c>
    </row>
    <row r="332" spans="2:2" ht="18.75" x14ac:dyDescent="0.25">
      <c r="B332" s="218">
        <v>174</v>
      </c>
    </row>
    <row r="333" spans="2:2" ht="18.75" x14ac:dyDescent="0.25">
      <c r="B333" s="217">
        <v>175</v>
      </c>
    </row>
    <row r="334" spans="2:2" ht="18.75" x14ac:dyDescent="0.25">
      <c r="B334" s="218">
        <v>176</v>
      </c>
    </row>
    <row r="335" spans="2:2" ht="18.75" x14ac:dyDescent="0.25">
      <c r="B335" s="219" t="s">
        <v>445</v>
      </c>
    </row>
    <row r="336" spans="2:2" ht="18.75" x14ac:dyDescent="0.25">
      <c r="B336" s="218">
        <v>177</v>
      </c>
    </row>
    <row r="337" spans="2:2" ht="18.75" x14ac:dyDescent="0.25">
      <c r="B337" s="219" t="s">
        <v>446</v>
      </c>
    </row>
    <row r="338" spans="2:2" ht="18.75" x14ac:dyDescent="0.25">
      <c r="B338" s="218">
        <v>178</v>
      </c>
    </row>
    <row r="339" spans="2:2" ht="18.75" x14ac:dyDescent="0.25">
      <c r="B339" s="217">
        <v>179</v>
      </c>
    </row>
    <row r="340" spans="2:2" ht="18.75" x14ac:dyDescent="0.25">
      <c r="B340" s="218">
        <v>180</v>
      </c>
    </row>
    <row r="341" spans="2:2" ht="18.75" x14ac:dyDescent="0.25">
      <c r="B341" s="217">
        <v>181</v>
      </c>
    </row>
    <row r="342" spans="2:2" ht="18.75" x14ac:dyDescent="0.25">
      <c r="B342" s="218">
        <v>182</v>
      </c>
    </row>
    <row r="343" spans="2:2" ht="18.75" x14ac:dyDescent="0.25">
      <c r="B343" s="217">
        <v>183</v>
      </c>
    </row>
    <row r="344" spans="2:2" ht="18.75" x14ac:dyDescent="0.25">
      <c r="B344" s="220" t="s">
        <v>447</v>
      </c>
    </row>
    <row r="345" spans="2:2" ht="18.75" x14ac:dyDescent="0.25">
      <c r="B345" s="219" t="s">
        <v>448</v>
      </c>
    </row>
    <row r="346" spans="2:2" ht="18.75" x14ac:dyDescent="0.25">
      <c r="B346" s="218">
        <v>185</v>
      </c>
    </row>
    <row r="347" spans="2:2" ht="18.75" x14ac:dyDescent="0.25">
      <c r="B347" s="217">
        <v>186</v>
      </c>
    </row>
    <row r="348" spans="2:2" ht="18.75" x14ac:dyDescent="0.25">
      <c r="B348" s="218">
        <v>187</v>
      </c>
    </row>
    <row r="349" spans="2:2" ht="18.75" x14ac:dyDescent="0.25">
      <c r="B349" s="217">
        <v>188</v>
      </c>
    </row>
    <row r="350" spans="2:2" ht="18.75" x14ac:dyDescent="0.25">
      <c r="B350" s="218">
        <v>189</v>
      </c>
    </row>
    <row r="351" spans="2:2" ht="18.75" x14ac:dyDescent="0.25">
      <c r="B351" s="219" t="s">
        <v>449</v>
      </c>
    </row>
    <row r="352" spans="2:2" ht="18.75" x14ac:dyDescent="0.25">
      <c r="B352" s="220" t="s">
        <v>450</v>
      </c>
    </row>
    <row r="353" spans="2:2" ht="18.75" x14ac:dyDescent="0.25">
      <c r="B353" s="219" t="s">
        <v>451</v>
      </c>
    </row>
    <row r="354" spans="2:2" ht="18.75" x14ac:dyDescent="0.25">
      <c r="B354" s="218">
        <v>190</v>
      </c>
    </row>
    <row r="355" spans="2:2" ht="18.75" x14ac:dyDescent="0.25">
      <c r="B355" s="217">
        <v>191</v>
      </c>
    </row>
    <row r="356" spans="2:2" ht="18.75" x14ac:dyDescent="0.25">
      <c r="B356" s="218">
        <v>192</v>
      </c>
    </row>
    <row r="357" spans="2:2" ht="18.75" x14ac:dyDescent="0.25">
      <c r="B357" s="217">
        <v>193</v>
      </c>
    </row>
    <row r="358" spans="2:2" ht="18.75" x14ac:dyDescent="0.25">
      <c r="B358" s="220" t="s">
        <v>452</v>
      </c>
    </row>
    <row r="359" spans="2:2" ht="18.75" x14ac:dyDescent="0.25">
      <c r="B359" s="217">
        <v>194</v>
      </c>
    </row>
    <row r="360" spans="2:2" ht="18.75" x14ac:dyDescent="0.25">
      <c r="B360" s="218">
        <v>195</v>
      </c>
    </row>
    <row r="361" spans="2:2" ht="18.75" x14ac:dyDescent="0.25">
      <c r="B361" s="219" t="s">
        <v>453</v>
      </c>
    </row>
    <row r="362" spans="2:2" ht="18.75" x14ac:dyDescent="0.25">
      <c r="B362" s="220" t="s">
        <v>454</v>
      </c>
    </row>
    <row r="363" spans="2:2" ht="18.75" x14ac:dyDescent="0.25">
      <c r="B363" s="219" t="s">
        <v>455</v>
      </c>
    </row>
    <row r="364" spans="2:2" ht="18.75" x14ac:dyDescent="0.25">
      <c r="B364" s="220" t="s">
        <v>456</v>
      </c>
    </row>
    <row r="365" spans="2:2" ht="18.75" x14ac:dyDescent="0.25">
      <c r="B365" s="217">
        <v>196</v>
      </c>
    </row>
    <row r="366" spans="2:2" ht="18.75" x14ac:dyDescent="0.25">
      <c r="B366" s="220" t="s">
        <v>457</v>
      </c>
    </row>
    <row r="367" spans="2:2" ht="18.75" x14ac:dyDescent="0.25">
      <c r="B367" s="219" t="s">
        <v>458</v>
      </c>
    </row>
    <row r="368" spans="2:2" ht="18.75" x14ac:dyDescent="0.25">
      <c r="B368" s="220" t="s">
        <v>459</v>
      </c>
    </row>
    <row r="369" spans="2:2" ht="18.75" x14ac:dyDescent="0.25">
      <c r="B369" s="217">
        <v>197</v>
      </c>
    </row>
    <row r="370" spans="2:2" ht="18.75" x14ac:dyDescent="0.25">
      <c r="B370" s="218">
        <v>198</v>
      </c>
    </row>
    <row r="371" spans="2:2" ht="18.75" x14ac:dyDescent="0.25">
      <c r="B371" s="217">
        <v>199</v>
      </c>
    </row>
    <row r="372" spans="2:2" ht="18.75" x14ac:dyDescent="0.25">
      <c r="B372" s="220" t="s">
        <v>460</v>
      </c>
    </row>
    <row r="373" spans="2:2" ht="18.75" x14ac:dyDescent="0.25">
      <c r="B373" s="217">
        <v>200</v>
      </c>
    </row>
    <row r="374" spans="2:2" ht="18.75" x14ac:dyDescent="0.25">
      <c r="B374" s="220" t="s">
        <v>461</v>
      </c>
    </row>
    <row r="375" spans="2:2" ht="18.75" x14ac:dyDescent="0.25">
      <c r="B375" s="217">
        <v>201</v>
      </c>
    </row>
    <row r="376" spans="2:2" ht="18.75" x14ac:dyDescent="0.25">
      <c r="B376" s="220" t="s">
        <v>462</v>
      </c>
    </row>
    <row r="377" spans="2:2" ht="18.75" x14ac:dyDescent="0.25">
      <c r="B377" s="219" t="s">
        <v>463</v>
      </c>
    </row>
    <row r="378" spans="2:2" ht="18.75" x14ac:dyDescent="0.25">
      <c r="B378" s="218">
        <v>202</v>
      </c>
    </row>
    <row r="379" spans="2:2" ht="18.75" x14ac:dyDescent="0.25">
      <c r="B379" s="217">
        <v>203</v>
      </c>
    </row>
    <row r="380" spans="2:2" ht="18.75" x14ac:dyDescent="0.25">
      <c r="B380" s="220" t="s">
        <v>464</v>
      </c>
    </row>
    <row r="381" spans="2:2" ht="18.75" x14ac:dyDescent="0.25">
      <c r="B381" s="219" t="s">
        <v>465</v>
      </c>
    </row>
    <row r="382" spans="2:2" ht="18.75" x14ac:dyDescent="0.25">
      <c r="B382" s="218">
        <v>184</v>
      </c>
    </row>
    <row r="383" spans="2:2" ht="18.75" x14ac:dyDescent="0.25">
      <c r="B383" s="217">
        <v>204</v>
      </c>
    </row>
    <row r="384" spans="2:2" ht="18.75" x14ac:dyDescent="0.25">
      <c r="B384" s="220" t="s">
        <v>466</v>
      </c>
    </row>
    <row r="385" spans="2:2" ht="18.75" x14ac:dyDescent="0.25">
      <c r="B385" s="219" t="s">
        <v>467</v>
      </c>
    </row>
    <row r="386" spans="2:2" ht="18.75" x14ac:dyDescent="0.25">
      <c r="B386" s="220" t="s">
        <v>468</v>
      </c>
    </row>
    <row r="387" spans="2:2" ht="18.75" x14ac:dyDescent="0.25">
      <c r="B387" s="219" t="s">
        <v>469</v>
      </c>
    </row>
    <row r="388" spans="2:2" ht="18.75" x14ac:dyDescent="0.25">
      <c r="B388" s="220" t="s">
        <v>470</v>
      </c>
    </row>
    <row r="389" spans="2:2" ht="18.75" x14ac:dyDescent="0.25">
      <c r="B389" s="219" t="s">
        <v>471</v>
      </c>
    </row>
    <row r="390" spans="2:2" ht="18.75" x14ac:dyDescent="0.25">
      <c r="B390" s="218">
        <v>205</v>
      </c>
    </row>
    <row r="391" spans="2:2" ht="18.75" x14ac:dyDescent="0.25">
      <c r="B391" s="217">
        <v>206</v>
      </c>
    </row>
    <row r="392" spans="2:2" ht="18.75" x14ac:dyDescent="0.25">
      <c r="B392" s="218">
        <v>207</v>
      </c>
    </row>
    <row r="393" spans="2:2" ht="18.75" x14ac:dyDescent="0.25">
      <c r="B393" s="217">
        <v>208</v>
      </c>
    </row>
    <row r="394" spans="2:2" ht="18.75" x14ac:dyDescent="0.25">
      <c r="B394" s="218">
        <v>211</v>
      </c>
    </row>
    <row r="395" spans="2:2" ht="18.75" x14ac:dyDescent="0.25">
      <c r="B395" s="217">
        <v>209</v>
      </c>
    </row>
    <row r="396" spans="2:2" ht="18.75" x14ac:dyDescent="0.25">
      <c r="B396" s="218">
        <v>210</v>
      </c>
    </row>
    <row r="397" spans="2:2" ht="18.75" x14ac:dyDescent="0.25">
      <c r="B397" s="217">
        <v>212</v>
      </c>
    </row>
    <row r="398" spans="2:2" ht="18.75" x14ac:dyDescent="0.25">
      <c r="B398" s="220" t="s">
        <v>472</v>
      </c>
    </row>
    <row r="399" spans="2:2" ht="18.75" x14ac:dyDescent="0.25">
      <c r="B399" s="219" t="s">
        <v>473</v>
      </c>
    </row>
    <row r="400" spans="2:2" ht="18.75" x14ac:dyDescent="0.25">
      <c r="B400" s="220" t="s">
        <v>474</v>
      </c>
    </row>
    <row r="401" spans="2:2" ht="18.75" x14ac:dyDescent="0.25">
      <c r="B401" s="219" t="s">
        <v>475</v>
      </c>
    </row>
    <row r="402" spans="2:2" ht="18.75" x14ac:dyDescent="0.25">
      <c r="B402" s="220" t="s">
        <v>476</v>
      </c>
    </row>
    <row r="403" spans="2:2" ht="18.75" x14ac:dyDescent="0.25">
      <c r="B403" s="219" t="s">
        <v>477</v>
      </c>
    </row>
    <row r="404" spans="2:2" ht="18.75" x14ac:dyDescent="0.25">
      <c r="B404" s="220" t="s">
        <v>478</v>
      </c>
    </row>
    <row r="405" spans="2:2" ht="18.75" x14ac:dyDescent="0.25">
      <c r="B405" s="217">
        <v>213</v>
      </c>
    </row>
    <row r="406" spans="2:2" ht="18.75" x14ac:dyDescent="0.25">
      <c r="B406" s="218">
        <v>214</v>
      </c>
    </row>
    <row r="407" spans="2:2" ht="18.75" x14ac:dyDescent="0.25">
      <c r="B407" s="217">
        <v>215</v>
      </c>
    </row>
    <row r="408" spans="2:2" ht="18.75" x14ac:dyDescent="0.25">
      <c r="B408" s="218">
        <v>216</v>
      </c>
    </row>
    <row r="409" spans="2:2" ht="18.75" x14ac:dyDescent="0.25">
      <c r="B409" s="217">
        <v>217</v>
      </c>
    </row>
    <row r="410" spans="2:2" ht="18.75" x14ac:dyDescent="0.25">
      <c r="B410" s="220" t="s">
        <v>479</v>
      </c>
    </row>
    <row r="411" spans="2:2" ht="18.75" x14ac:dyDescent="0.25">
      <c r="B411" s="219" t="s">
        <v>480</v>
      </c>
    </row>
    <row r="412" spans="2:2" ht="18.75" x14ac:dyDescent="0.25">
      <c r="B412" s="218">
        <v>218</v>
      </c>
    </row>
    <row r="413" spans="2:2" ht="18.75" x14ac:dyDescent="0.25">
      <c r="B413" s="217">
        <v>219</v>
      </c>
    </row>
    <row r="414" spans="2:2" ht="18.75" x14ac:dyDescent="0.25">
      <c r="B414" s="218">
        <v>220</v>
      </c>
    </row>
    <row r="415" spans="2:2" ht="18.75" x14ac:dyDescent="0.25">
      <c r="B415" s="217">
        <v>221</v>
      </c>
    </row>
    <row r="416" spans="2:2" ht="18.75" x14ac:dyDescent="0.25">
      <c r="B416" s="218">
        <v>222</v>
      </c>
    </row>
    <row r="417" spans="2:2" ht="18.75" x14ac:dyDescent="0.25">
      <c r="B417" s="219" t="s">
        <v>481</v>
      </c>
    </row>
    <row r="418" spans="2:2" ht="18.75" x14ac:dyDescent="0.25">
      <c r="B418" s="218">
        <v>223</v>
      </c>
    </row>
    <row r="419" spans="2:2" ht="18.75" x14ac:dyDescent="0.25">
      <c r="B419" s="217">
        <v>224</v>
      </c>
    </row>
    <row r="420" spans="2:2" ht="18.75" x14ac:dyDescent="0.25">
      <c r="B420" s="218">
        <v>225</v>
      </c>
    </row>
    <row r="421" spans="2:2" ht="18.75" x14ac:dyDescent="0.25">
      <c r="B421" s="217">
        <v>227</v>
      </c>
    </row>
    <row r="422" spans="2:2" ht="18.75" x14ac:dyDescent="0.25">
      <c r="B422" s="218">
        <v>226</v>
      </c>
    </row>
    <row r="423" spans="2:2" ht="18.75" x14ac:dyDescent="0.25">
      <c r="B423" s="217">
        <v>228</v>
      </c>
    </row>
    <row r="424" spans="2:2" ht="18.75" x14ac:dyDescent="0.25">
      <c r="B424" s="220" t="s">
        <v>482</v>
      </c>
    </row>
    <row r="425" spans="2:2" ht="18.75" x14ac:dyDescent="0.25">
      <c r="B425" s="217">
        <v>229</v>
      </c>
    </row>
    <row r="426" spans="2:2" ht="18.75" x14ac:dyDescent="0.25">
      <c r="B426" s="218">
        <v>230</v>
      </c>
    </row>
    <row r="427" spans="2:2" ht="18.75" x14ac:dyDescent="0.25">
      <c r="B427" s="217">
        <v>231</v>
      </c>
    </row>
    <row r="428" spans="2:2" ht="18.75" x14ac:dyDescent="0.25">
      <c r="B428" s="218">
        <v>232</v>
      </c>
    </row>
    <row r="429" spans="2:2" ht="18.75" x14ac:dyDescent="0.25">
      <c r="B429" s="217">
        <v>233</v>
      </c>
    </row>
    <row r="430" spans="2:2" ht="18.75" x14ac:dyDescent="0.25">
      <c r="B430" s="220" t="s">
        <v>483</v>
      </c>
    </row>
    <row r="431" spans="2:2" ht="18.75" x14ac:dyDescent="0.25">
      <c r="B431" s="219" t="s">
        <v>484</v>
      </c>
    </row>
    <row r="432" spans="2:2" ht="18.75" x14ac:dyDescent="0.25">
      <c r="B432" s="220" t="s">
        <v>485</v>
      </c>
    </row>
    <row r="433" spans="2:2" ht="18.75" x14ac:dyDescent="0.25">
      <c r="B433" s="219" t="s">
        <v>486</v>
      </c>
    </row>
    <row r="434" spans="2:2" ht="18.75" x14ac:dyDescent="0.25">
      <c r="B434" s="220" t="s">
        <v>487</v>
      </c>
    </row>
    <row r="435" spans="2:2" ht="18.75" x14ac:dyDescent="0.25">
      <c r="B435" s="217">
        <v>234</v>
      </c>
    </row>
    <row r="436" spans="2:2" ht="18.75" x14ac:dyDescent="0.25">
      <c r="B436" s="218">
        <v>235</v>
      </c>
    </row>
    <row r="437" spans="2:2" ht="18.75" x14ac:dyDescent="0.25">
      <c r="B437" s="219" t="s">
        <v>488</v>
      </c>
    </row>
    <row r="438" spans="2:2" ht="18.75" x14ac:dyDescent="0.25">
      <c r="B438" s="220" t="s">
        <v>489</v>
      </c>
    </row>
    <row r="439" spans="2:2" ht="18.75" x14ac:dyDescent="0.25">
      <c r="B439" s="219" t="s">
        <v>490</v>
      </c>
    </row>
    <row r="440" spans="2:2" ht="18.75" x14ac:dyDescent="0.25">
      <c r="B440" s="220" t="s">
        <v>491</v>
      </c>
    </row>
    <row r="441" spans="2:2" ht="18.75" x14ac:dyDescent="0.25">
      <c r="B441" s="217">
        <v>236</v>
      </c>
    </row>
    <row r="442" spans="2:2" ht="18.75" x14ac:dyDescent="0.25">
      <c r="B442" s="218">
        <v>237</v>
      </c>
    </row>
    <row r="443" spans="2:2" ht="18.75" x14ac:dyDescent="0.25">
      <c r="B443" s="217">
        <v>238</v>
      </c>
    </row>
    <row r="444" spans="2:2" ht="18.75" x14ac:dyDescent="0.25">
      <c r="B444" s="220" t="s">
        <v>492</v>
      </c>
    </row>
    <row r="445" spans="2:2" ht="18.75" x14ac:dyDescent="0.25">
      <c r="B445" s="219" t="s">
        <v>493</v>
      </c>
    </row>
    <row r="446" spans="2:2" ht="18.75" x14ac:dyDescent="0.25">
      <c r="B446" s="220" t="s">
        <v>494</v>
      </c>
    </row>
    <row r="447" spans="2:2" ht="18.75" x14ac:dyDescent="0.25">
      <c r="B447" s="219" t="s">
        <v>495</v>
      </c>
    </row>
    <row r="448" spans="2:2" ht="18.75" x14ac:dyDescent="0.25">
      <c r="B448" s="218">
        <v>239</v>
      </c>
    </row>
    <row r="449" spans="2:2" ht="18.75" x14ac:dyDescent="0.25">
      <c r="B449" s="217">
        <v>240</v>
      </c>
    </row>
    <row r="450" spans="2:2" ht="18.75" x14ac:dyDescent="0.25">
      <c r="B450" s="218">
        <v>241</v>
      </c>
    </row>
    <row r="451" spans="2:2" ht="18.75" x14ac:dyDescent="0.25">
      <c r="B451" s="217">
        <v>242</v>
      </c>
    </row>
    <row r="452" spans="2:2" ht="18.75" x14ac:dyDescent="0.25">
      <c r="B452" s="218">
        <v>244</v>
      </c>
    </row>
    <row r="453" spans="2:2" ht="18.75" x14ac:dyDescent="0.25">
      <c r="B453" s="219" t="s">
        <v>496</v>
      </c>
    </row>
    <row r="454" spans="2:2" ht="18.75" x14ac:dyDescent="0.25">
      <c r="B454" s="218">
        <v>243</v>
      </c>
    </row>
    <row r="455" spans="2:2" ht="18.75" x14ac:dyDescent="0.25">
      <c r="B455" s="219" t="s">
        <v>497</v>
      </c>
    </row>
    <row r="456" spans="2:2" ht="18.75" x14ac:dyDescent="0.25">
      <c r="B456" s="220" t="s">
        <v>498</v>
      </c>
    </row>
    <row r="457" spans="2:2" ht="18.75" x14ac:dyDescent="0.25">
      <c r="B457" s="219" t="s">
        <v>499</v>
      </c>
    </row>
    <row r="458" spans="2:2" ht="18.75" x14ac:dyDescent="0.25">
      <c r="B458" s="218">
        <v>245</v>
      </c>
    </row>
    <row r="459" spans="2:2" ht="18.75" x14ac:dyDescent="0.25">
      <c r="B459" s="219" t="s">
        <v>500</v>
      </c>
    </row>
    <row r="460" spans="2:2" ht="18.75" x14ac:dyDescent="0.25">
      <c r="B460" s="220" t="s">
        <v>501</v>
      </c>
    </row>
    <row r="461" spans="2:2" ht="18.75" x14ac:dyDescent="0.25">
      <c r="B461" s="217">
        <v>246</v>
      </c>
    </row>
    <row r="462" spans="2:2" ht="18.75" x14ac:dyDescent="0.25">
      <c r="B462" s="220" t="s">
        <v>502</v>
      </c>
    </row>
    <row r="463" spans="2:2" ht="18.75" x14ac:dyDescent="0.25">
      <c r="B463" s="219" t="s">
        <v>503</v>
      </c>
    </row>
    <row r="464" spans="2:2" ht="18.75" x14ac:dyDescent="0.25">
      <c r="B464" s="220" t="s">
        <v>504</v>
      </c>
    </row>
    <row r="465" spans="2:2" ht="18.75" x14ac:dyDescent="0.25">
      <c r="B465" s="217">
        <v>247</v>
      </c>
    </row>
    <row r="466" spans="2:2" ht="18.75" x14ac:dyDescent="0.25">
      <c r="B466" s="218">
        <v>249</v>
      </c>
    </row>
    <row r="467" spans="2:2" ht="18.75" x14ac:dyDescent="0.25">
      <c r="B467" s="219" t="s">
        <v>505</v>
      </c>
    </row>
    <row r="468" spans="2:2" ht="18.75" x14ac:dyDescent="0.25">
      <c r="B468" s="220" t="s">
        <v>506</v>
      </c>
    </row>
    <row r="469" spans="2:2" ht="18.75" x14ac:dyDescent="0.25">
      <c r="B469" s="219" t="s">
        <v>507</v>
      </c>
    </row>
    <row r="470" spans="2:2" ht="18.75" x14ac:dyDescent="0.25">
      <c r="B470" s="220" t="s">
        <v>508</v>
      </c>
    </row>
    <row r="471" spans="2:2" ht="18.75" x14ac:dyDescent="0.25">
      <c r="B471" s="219" t="s">
        <v>509</v>
      </c>
    </row>
    <row r="472" spans="2:2" ht="18.75" x14ac:dyDescent="0.25">
      <c r="B472" s="218">
        <v>248</v>
      </c>
    </row>
    <row r="473" spans="2:2" ht="18.75" x14ac:dyDescent="0.25">
      <c r="B473" s="217">
        <v>250</v>
      </c>
    </row>
    <row r="474" spans="2:2" ht="18.75" x14ac:dyDescent="0.25">
      <c r="B474" s="220" t="s">
        <v>510</v>
      </c>
    </row>
    <row r="475" spans="2:2" ht="18.75" x14ac:dyDescent="0.25">
      <c r="B475" s="217">
        <v>253</v>
      </c>
    </row>
    <row r="476" spans="2:2" ht="18.75" x14ac:dyDescent="0.25">
      <c r="B476" s="218">
        <v>254</v>
      </c>
    </row>
    <row r="477" spans="2:2" ht="18.75" x14ac:dyDescent="0.25">
      <c r="B477" s="217">
        <v>255</v>
      </c>
    </row>
    <row r="478" spans="2:2" ht="18.75" x14ac:dyDescent="0.25">
      <c r="B478" s="220" t="s">
        <v>511</v>
      </c>
    </row>
    <row r="479" spans="2:2" ht="18.75" x14ac:dyDescent="0.25">
      <c r="B479" s="219" t="s">
        <v>512</v>
      </c>
    </row>
    <row r="480" spans="2:2" ht="18.75" x14ac:dyDescent="0.25">
      <c r="B480" s="220" t="s">
        <v>513</v>
      </c>
    </row>
    <row r="481" spans="2:2" ht="18.75" x14ac:dyDescent="0.25">
      <c r="B481" s="219" t="s">
        <v>514</v>
      </c>
    </row>
    <row r="482" spans="2:2" ht="18.75" x14ac:dyDescent="0.25">
      <c r="B482" s="220" t="s">
        <v>515</v>
      </c>
    </row>
    <row r="483" spans="2:2" ht="18.75" x14ac:dyDescent="0.25">
      <c r="B483" s="217">
        <v>251</v>
      </c>
    </row>
    <row r="484" spans="2:2" ht="18.75" x14ac:dyDescent="0.25">
      <c r="B484" s="218">
        <v>256</v>
      </c>
    </row>
    <row r="485" spans="2:2" ht="18.75" x14ac:dyDescent="0.25">
      <c r="B485" s="217">
        <v>252</v>
      </c>
    </row>
    <row r="486" spans="2:2" ht="18.75" x14ac:dyDescent="0.25">
      <c r="B486" s="218">
        <v>257</v>
      </c>
    </row>
    <row r="487" spans="2:2" ht="18.75" x14ac:dyDescent="0.25">
      <c r="B487" s="217">
        <v>258</v>
      </c>
    </row>
    <row r="488" spans="2:2" ht="18.75" x14ac:dyDescent="0.25">
      <c r="B488" s="218">
        <v>259</v>
      </c>
    </row>
    <row r="489" spans="2:2" ht="18.75" x14ac:dyDescent="0.25">
      <c r="B489" s="217">
        <v>260</v>
      </c>
    </row>
    <row r="490" spans="2:2" ht="18.75" x14ac:dyDescent="0.25">
      <c r="B490" s="220" t="s">
        <v>516</v>
      </c>
    </row>
    <row r="491" spans="2:2" ht="18.75" x14ac:dyDescent="0.25">
      <c r="B491" s="219" t="s">
        <v>517</v>
      </c>
    </row>
    <row r="492" spans="2:2" ht="18.75" x14ac:dyDescent="0.25">
      <c r="B492" s="218">
        <v>261</v>
      </c>
    </row>
    <row r="493" spans="2:2" ht="18.75" x14ac:dyDescent="0.25">
      <c r="B493" s="217">
        <v>264</v>
      </c>
    </row>
    <row r="494" spans="2:2" ht="18.75" x14ac:dyDescent="0.25">
      <c r="B494" s="218">
        <v>265</v>
      </c>
    </row>
    <row r="495" spans="2:2" ht="18.75" x14ac:dyDescent="0.25">
      <c r="B495" s="219" t="s">
        <v>518</v>
      </c>
    </row>
    <row r="496" spans="2:2" ht="18.75" x14ac:dyDescent="0.25">
      <c r="B496" s="218">
        <v>263</v>
      </c>
    </row>
    <row r="497" spans="2:2" ht="18.75" x14ac:dyDescent="0.25">
      <c r="B497" s="217">
        <v>266</v>
      </c>
    </row>
    <row r="498" spans="2:2" ht="18.75" x14ac:dyDescent="0.25">
      <c r="B498" s="218">
        <v>267</v>
      </c>
    </row>
    <row r="499" spans="2:2" ht="18.75" x14ac:dyDescent="0.25">
      <c r="B499" s="217">
        <v>270</v>
      </c>
    </row>
    <row r="500" spans="2:2" ht="18.75" x14ac:dyDescent="0.25">
      <c r="B500" s="218">
        <v>269</v>
      </c>
    </row>
    <row r="501" spans="2:2" ht="18.75" x14ac:dyDescent="0.25">
      <c r="B501" s="217">
        <v>268</v>
      </c>
    </row>
    <row r="502" spans="2:2" ht="18.75" x14ac:dyDescent="0.25">
      <c r="B502" s="218">
        <v>271</v>
      </c>
    </row>
    <row r="503" spans="2:2" ht="18.75" x14ac:dyDescent="0.25">
      <c r="B503" s="219" t="s">
        <v>519</v>
      </c>
    </row>
    <row r="504" spans="2:2" ht="18.75" x14ac:dyDescent="0.25">
      <c r="B504" s="220" t="s">
        <v>520</v>
      </c>
    </row>
    <row r="505" spans="2:2" ht="18.75" x14ac:dyDescent="0.25">
      <c r="B505" s="219" t="s">
        <v>521</v>
      </c>
    </row>
    <row r="506" spans="2:2" ht="18.75" x14ac:dyDescent="0.25">
      <c r="B506" s="220" t="s">
        <v>522</v>
      </c>
    </row>
    <row r="507" spans="2:2" ht="18.75" x14ac:dyDescent="0.25">
      <c r="B507" s="217">
        <v>262</v>
      </c>
    </row>
    <row r="508" spans="2:2" ht="18.75" x14ac:dyDescent="0.25">
      <c r="B508" s="218">
        <v>272</v>
      </c>
    </row>
    <row r="509" spans="2:2" ht="18.75" x14ac:dyDescent="0.25">
      <c r="B509" s="217">
        <v>273</v>
      </c>
    </row>
    <row r="510" spans="2:2" ht="18.75" x14ac:dyDescent="0.25">
      <c r="B510" s="218">
        <v>274</v>
      </c>
    </row>
    <row r="511" spans="2:2" ht="18.75" x14ac:dyDescent="0.25">
      <c r="B511" s="217">
        <v>275</v>
      </c>
    </row>
    <row r="512" spans="2:2" ht="18.75" x14ac:dyDescent="0.25">
      <c r="B512" s="220" t="s">
        <v>523</v>
      </c>
    </row>
    <row r="513" spans="2:2" ht="18.75" x14ac:dyDescent="0.25">
      <c r="B513" s="219" t="s">
        <v>524</v>
      </c>
    </row>
    <row r="514" spans="2:2" ht="18.75" x14ac:dyDescent="0.25">
      <c r="B514" s="218">
        <v>276</v>
      </c>
    </row>
    <row r="515" spans="2:2" ht="18.75" x14ac:dyDescent="0.25">
      <c r="B515" s="217">
        <v>278</v>
      </c>
    </row>
    <row r="516" spans="2:2" ht="18.75" x14ac:dyDescent="0.25">
      <c r="B516" s="218">
        <v>279</v>
      </c>
    </row>
    <row r="517" spans="2:2" ht="18.75" x14ac:dyDescent="0.25">
      <c r="B517" s="217">
        <v>280</v>
      </c>
    </row>
    <row r="518" spans="2:2" ht="18.75" x14ac:dyDescent="0.25">
      <c r="B518" s="218">
        <v>282</v>
      </c>
    </row>
    <row r="519" spans="2:2" ht="18.75" x14ac:dyDescent="0.25">
      <c r="B519" s="217">
        <v>283</v>
      </c>
    </row>
    <row r="520" spans="2:2" ht="18.75" x14ac:dyDescent="0.25">
      <c r="B520" s="218">
        <v>277</v>
      </c>
    </row>
    <row r="521" spans="2:2" ht="18.75" x14ac:dyDescent="0.25">
      <c r="B521" s="217">
        <v>281</v>
      </c>
    </row>
    <row r="522" spans="2:2" ht="18.75" x14ac:dyDescent="0.25">
      <c r="B522" s="218">
        <v>284</v>
      </c>
    </row>
    <row r="523" spans="2:2" ht="18.75" x14ac:dyDescent="0.25">
      <c r="B523" s="217">
        <v>288</v>
      </c>
    </row>
    <row r="524" spans="2:2" ht="18.75" x14ac:dyDescent="0.25">
      <c r="B524" s="220" t="s">
        <v>525</v>
      </c>
    </row>
    <row r="525" spans="2:2" ht="18.75" x14ac:dyDescent="0.25">
      <c r="B525" s="219" t="s">
        <v>526</v>
      </c>
    </row>
    <row r="526" spans="2:2" ht="18.75" x14ac:dyDescent="0.25">
      <c r="B526" s="220" t="s">
        <v>527</v>
      </c>
    </row>
    <row r="527" spans="2:2" ht="18.75" x14ac:dyDescent="0.25">
      <c r="B527" s="219" t="s">
        <v>528</v>
      </c>
    </row>
    <row r="528" spans="2:2" ht="18.75" x14ac:dyDescent="0.25">
      <c r="B528" s="220" t="s">
        <v>529</v>
      </c>
    </row>
    <row r="529" spans="2:2" ht="18.75" x14ac:dyDescent="0.25">
      <c r="B529" s="217">
        <v>289</v>
      </c>
    </row>
    <row r="530" spans="2:2" ht="18.75" x14ac:dyDescent="0.25">
      <c r="B530" s="220" t="s">
        <v>530</v>
      </c>
    </row>
    <row r="531" spans="2:2" ht="18.75" x14ac:dyDescent="0.25">
      <c r="B531" s="219" t="s">
        <v>531</v>
      </c>
    </row>
    <row r="532" spans="2:2" ht="18.75" x14ac:dyDescent="0.25">
      <c r="B532" s="218">
        <v>285</v>
      </c>
    </row>
    <row r="533" spans="2:2" ht="18.75" x14ac:dyDescent="0.25">
      <c r="B533" s="217">
        <v>286</v>
      </c>
    </row>
    <row r="534" spans="2:2" ht="18.75" x14ac:dyDescent="0.25">
      <c r="B534" s="218">
        <v>287</v>
      </c>
    </row>
    <row r="535" spans="2:2" ht="18.75" x14ac:dyDescent="0.25">
      <c r="B535" s="217">
        <v>290</v>
      </c>
    </row>
    <row r="536" spans="2:2" ht="18.75" x14ac:dyDescent="0.25">
      <c r="B536" s="220" t="s">
        <v>532</v>
      </c>
    </row>
    <row r="537" spans="2:2" ht="18.75" x14ac:dyDescent="0.25">
      <c r="B537" s="217">
        <v>294</v>
      </c>
    </row>
    <row r="538" spans="2:2" ht="18.75" x14ac:dyDescent="0.25">
      <c r="B538" s="218">
        <v>292</v>
      </c>
    </row>
    <row r="539" spans="2:2" ht="18.75" x14ac:dyDescent="0.25">
      <c r="B539" s="219" t="s">
        <v>533</v>
      </c>
    </row>
    <row r="540" spans="2:2" ht="18.75" x14ac:dyDescent="0.25">
      <c r="B540" s="220" t="s">
        <v>534</v>
      </c>
    </row>
    <row r="541" spans="2:2" ht="18.75" x14ac:dyDescent="0.25">
      <c r="B541" s="219" t="s">
        <v>535</v>
      </c>
    </row>
    <row r="542" spans="2:2" ht="18.75" x14ac:dyDescent="0.25">
      <c r="B542" s="220" t="s">
        <v>536</v>
      </c>
    </row>
    <row r="543" spans="2:2" ht="18.75" x14ac:dyDescent="0.25">
      <c r="B543" s="219" t="s">
        <v>537</v>
      </c>
    </row>
    <row r="544" spans="2:2" ht="18.75" x14ac:dyDescent="0.25">
      <c r="B544" s="220" t="s">
        <v>538</v>
      </c>
    </row>
    <row r="545" spans="2:2" ht="18.75" x14ac:dyDescent="0.25">
      <c r="B545" s="219" t="s">
        <v>539</v>
      </c>
    </row>
    <row r="546" spans="2:2" ht="18.75" x14ac:dyDescent="0.25">
      <c r="B546" s="220" t="s">
        <v>540</v>
      </c>
    </row>
    <row r="547" spans="2:2" ht="18.75" x14ac:dyDescent="0.25">
      <c r="B547" s="219" t="s">
        <v>541</v>
      </c>
    </row>
    <row r="548" spans="2:2" ht="18.75" x14ac:dyDescent="0.25">
      <c r="B548" s="218">
        <v>293</v>
      </c>
    </row>
    <row r="549" spans="2:2" ht="18.75" x14ac:dyDescent="0.25">
      <c r="B549" s="219" t="s">
        <v>542</v>
      </c>
    </row>
    <row r="550" spans="2:2" ht="18.75" x14ac:dyDescent="0.25">
      <c r="B550" s="220" t="s">
        <v>543</v>
      </c>
    </row>
    <row r="551" spans="2:2" ht="18.75" x14ac:dyDescent="0.25">
      <c r="B551" s="219" t="s">
        <v>544</v>
      </c>
    </row>
    <row r="552" spans="2:2" ht="18.75" x14ac:dyDescent="0.25">
      <c r="B552" s="220" t="s">
        <v>545</v>
      </c>
    </row>
    <row r="553" spans="2:2" ht="18.75" x14ac:dyDescent="0.25">
      <c r="B553" s="217">
        <v>291</v>
      </c>
    </row>
    <row r="554" spans="2:2" ht="18.75" x14ac:dyDescent="0.25">
      <c r="B554" s="218">
        <v>295</v>
      </c>
    </row>
    <row r="555" spans="2:2" ht="18.75" x14ac:dyDescent="0.25">
      <c r="B555" s="217">
        <v>296</v>
      </c>
    </row>
    <row r="556" spans="2:2" ht="18.75" x14ac:dyDescent="0.25">
      <c r="B556" s="218">
        <v>297</v>
      </c>
    </row>
    <row r="557" spans="2:2" ht="18.75" x14ac:dyDescent="0.25">
      <c r="B557" s="217">
        <v>298</v>
      </c>
    </row>
    <row r="558" spans="2:2" ht="18.75" x14ac:dyDescent="0.25">
      <c r="B558" s="218">
        <v>299</v>
      </c>
    </row>
    <row r="559" spans="2:2" ht="18.75" x14ac:dyDescent="0.25">
      <c r="B559" s="219" t="s">
        <v>546</v>
      </c>
    </row>
    <row r="560" spans="2:2" ht="18.75" x14ac:dyDescent="0.25">
      <c r="B560" s="220" t="s">
        <v>547</v>
      </c>
    </row>
    <row r="561" spans="2:2" ht="18.75" x14ac:dyDescent="0.25">
      <c r="B561" s="219" t="s">
        <v>548</v>
      </c>
    </row>
    <row r="562" spans="2:2" ht="18.75" x14ac:dyDescent="0.25">
      <c r="B562" s="220" t="s">
        <v>549</v>
      </c>
    </row>
    <row r="563" spans="2:2" ht="18.75" x14ac:dyDescent="0.25">
      <c r="B563" s="219" t="s">
        <v>550</v>
      </c>
    </row>
    <row r="564" spans="2:2" ht="18.75" x14ac:dyDescent="0.25">
      <c r="B564" s="218">
        <v>300</v>
      </c>
    </row>
    <row r="565" spans="2:2" ht="18.75" x14ac:dyDescent="0.25">
      <c r="B565" s="219" t="s">
        <v>551</v>
      </c>
    </row>
    <row r="566" spans="2:2" ht="18.75" x14ac:dyDescent="0.25">
      <c r="B566" s="220" t="s">
        <v>552</v>
      </c>
    </row>
    <row r="567" spans="2:2" ht="18.75" x14ac:dyDescent="0.25">
      <c r="B567" s="219" t="s">
        <v>553</v>
      </c>
    </row>
    <row r="568" spans="2:2" ht="18.75" x14ac:dyDescent="0.25">
      <c r="B568" s="220" t="s">
        <v>554</v>
      </c>
    </row>
    <row r="569" spans="2:2" ht="18.75" x14ac:dyDescent="0.25">
      <c r="B569" s="219" t="s">
        <v>555</v>
      </c>
    </row>
    <row r="570" spans="2:2" ht="18.75" x14ac:dyDescent="0.25">
      <c r="B570" s="220" t="s">
        <v>556</v>
      </c>
    </row>
    <row r="571" spans="2:2" ht="18.75" x14ac:dyDescent="0.25">
      <c r="B571" s="219" t="s">
        <v>557</v>
      </c>
    </row>
    <row r="572" spans="2:2" ht="18.75" x14ac:dyDescent="0.25">
      <c r="B572" s="220" t="s">
        <v>558</v>
      </c>
    </row>
    <row r="573" spans="2:2" ht="18.75" x14ac:dyDescent="0.25">
      <c r="B573" s="219" t="s">
        <v>559</v>
      </c>
    </row>
    <row r="574" spans="2:2" ht="18.75" x14ac:dyDescent="0.25">
      <c r="B574" s="220" t="s">
        <v>560</v>
      </c>
    </row>
    <row r="575" spans="2:2" ht="18.75" x14ac:dyDescent="0.25">
      <c r="B575" s="219" t="s">
        <v>561</v>
      </c>
    </row>
    <row r="576" spans="2:2" ht="18.75" x14ac:dyDescent="0.25">
      <c r="B576" s="218">
        <v>301</v>
      </c>
    </row>
    <row r="577" spans="2:2" ht="18.75" x14ac:dyDescent="0.25">
      <c r="B577" s="219" t="s">
        <v>562</v>
      </c>
    </row>
    <row r="578" spans="2:2" ht="18.75" x14ac:dyDescent="0.25">
      <c r="B578" s="218">
        <v>302</v>
      </c>
    </row>
    <row r="579" spans="2:2" ht="18.75" x14ac:dyDescent="0.25">
      <c r="B579" s="217">
        <v>303</v>
      </c>
    </row>
    <row r="580" spans="2:2" ht="18.75" x14ac:dyDescent="0.25">
      <c r="B580" s="218">
        <v>304</v>
      </c>
    </row>
    <row r="581" spans="2:2" ht="18.75" x14ac:dyDescent="0.25">
      <c r="B581" s="219" t="s">
        <v>563</v>
      </c>
    </row>
    <row r="582" spans="2:2" ht="18.75" x14ac:dyDescent="0.25">
      <c r="B582" s="220" t="s">
        <v>564</v>
      </c>
    </row>
    <row r="583" spans="2:2" ht="18.75" x14ac:dyDescent="0.25">
      <c r="B583" s="217">
        <v>305</v>
      </c>
    </row>
    <row r="584" spans="2:2" ht="18.75" x14ac:dyDescent="0.25">
      <c r="B584" s="218">
        <v>306</v>
      </c>
    </row>
    <row r="585" spans="2:2" ht="18.75" x14ac:dyDescent="0.25">
      <c r="B585" s="219" t="s">
        <v>565</v>
      </c>
    </row>
    <row r="586" spans="2:2" ht="18.75" x14ac:dyDescent="0.25">
      <c r="B586" s="220" t="s">
        <v>566</v>
      </c>
    </row>
    <row r="587" spans="2:2" ht="18.75" x14ac:dyDescent="0.25">
      <c r="B587" s="219" t="s">
        <v>567</v>
      </c>
    </row>
    <row r="588" spans="2:2" ht="18.75" x14ac:dyDescent="0.25">
      <c r="B588" s="220" t="s">
        <v>568</v>
      </c>
    </row>
    <row r="589" spans="2:2" ht="18.75" x14ac:dyDescent="0.25">
      <c r="B589" s="219" t="s">
        <v>569</v>
      </c>
    </row>
    <row r="590" spans="2:2" ht="18.75" x14ac:dyDescent="0.25">
      <c r="B590" s="218">
        <v>309</v>
      </c>
    </row>
    <row r="591" spans="2:2" ht="18.75" x14ac:dyDescent="0.25">
      <c r="B591" s="219" t="s">
        <v>570</v>
      </c>
    </row>
    <row r="592" spans="2:2" ht="18.75" x14ac:dyDescent="0.25">
      <c r="B592" s="220" t="s">
        <v>571</v>
      </c>
    </row>
    <row r="593" spans="2:2" ht="18.75" x14ac:dyDescent="0.25">
      <c r="B593" s="219" t="s">
        <v>572</v>
      </c>
    </row>
    <row r="594" spans="2:2" ht="18.75" x14ac:dyDescent="0.25">
      <c r="B594" s="218">
        <v>307</v>
      </c>
    </row>
    <row r="595" spans="2:2" ht="18.75" x14ac:dyDescent="0.25">
      <c r="B595" s="219" t="s">
        <v>573</v>
      </c>
    </row>
    <row r="596" spans="2:2" ht="18.75" x14ac:dyDescent="0.25">
      <c r="B596" s="218">
        <v>310</v>
      </c>
    </row>
    <row r="597" spans="2:2" ht="18.75" x14ac:dyDescent="0.25">
      <c r="B597" s="217">
        <v>312</v>
      </c>
    </row>
    <row r="598" spans="2:2" ht="18.75" x14ac:dyDescent="0.25">
      <c r="B598" s="220" t="s">
        <v>574</v>
      </c>
    </row>
    <row r="599" spans="2:2" ht="18.75" x14ac:dyDescent="0.25">
      <c r="B599" s="217">
        <v>311</v>
      </c>
    </row>
    <row r="600" spans="2:2" ht="18.75" x14ac:dyDescent="0.25">
      <c r="B600" s="220" t="s">
        <v>575</v>
      </c>
    </row>
    <row r="601" spans="2:2" ht="18.75" x14ac:dyDescent="0.25">
      <c r="B601" s="219" t="s">
        <v>576</v>
      </c>
    </row>
    <row r="602" spans="2:2" ht="18.75" x14ac:dyDescent="0.25">
      <c r="B602" s="220" t="s">
        <v>577</v>
      </c>
    </row>
    <row r="603" spans="2:2" ht="18.75" x14ac:dyDescent="0.25">
      <c r="B603" s="219" t="s">
        <v>578</v>
      </c>
    </row>
    <row r="604" spans="2:2" ht="18.75" x14ac:dyDescent="0.25">
      <c r="B604" s="220" t="s">
        <v>579</v>
      </c>
    </row>
    <row r="605" spans="2:2" ht="18.75" x14ac:dyDescent="0.25">
      <c r="B605" s="219" t="s">
        <v>580</v>
      </c>
    </row>
    <row r="606" spans="2:2" ht="18.75" x14ac:dyDescent="0.25">
      <c r="B606" s="220" t="s">
        <v>581</v>
      </c>
    </row>
    <row r="607" spans="2:2" ht="18.75" x14ac:dyDescent="0.25">
      <c r="B607" s="219" t="s">
        <v>582</v>
      </c>
    </row>
    <row r="608" spans="2:2" ht="18.75" x14ac:dyDescent="0.25">
      <c r="B608" s="218">
        <v>313</v>
      </c>
    </row>
    <row r="609" spans="2:2" ht="18.75" x14ac:dyDescent="0.25">
      <c r="B609" s="217">
        <v>317</v>
      </c>
    </row>
    <row r="610" spans="2:2" ht="18.75" x14ac:dyDescent="0.25">
      <c r="B610" s="218">
        <v>308</v>
      </c>
    </row>
    <row r="611" spans="2:2" ht="18.75" x14ac:dyDescent="0.25">
      <c r="B611" s="217">
        <v>315</v>
      </c>
    </row>
    <row r="612" spans="2:2" ht="18.75" x14ac:dyDescent="0.25">
      <c r="B612" s="218">
        <v>316</v>
      </c>
    </row>
    <row r="613" spans="2:2" ht="18.75" x14ac:dyDescent="0.25">
      <c r="B613" s="217">
        <v>319</v>
      </c>
    </row>
    <row r="614" spans="2:2" ht="18.75" x14ac:dyDescent="0.25">
      <c r="B614" s="218">
        <v>320</v>
      </c>
    </row>
    <row r="615" spans="2:2" ht="18.75" x14ac:dyDescent="0.25">
      <c r="B615" s="219" t="s">
        <v>583</v>
      </c>
    </row>
    <row r="616" spans="2:2" ht="18.75" x14ac:dyDescent="0.25">
      <c r="B616" s="220" t="s">
        <v>584</v>
      </c>
    </row>
    <row r="617" spans="2:2" ht="18.75" x14ac:dyDescent="0.25">
      <c r="B617" s="217">
        <v>318</v>
      </c>
    </row>
    <row r="618" spans="2:2" ht="18.75" x14ac:dyDescent="0.25">
      <c r="B618" s="220" t="s">
        <v>585</v>
      </c>
    </row>
    <row r="619" spans="2:2" ht="18.75" x14ac:dyDescent="0.25">
      <c r="B619" s="219" t="s">
        <v>586</v>
      </c>
    </row>
    <row r="620" spans="2:2" ht="18.75" x14ac:dyDescent="0.25">
      <c r="B620" s="220" t="s">
        <v>587</v>
      </c>
    </row>
    <row r="621" spans="2:2" ht="18.75" x14ac:dyDescent="0.25">
      <c r="B621" s="217">
        <v>323</v>
      </c>
    </row>
    <row r="622" spans="2:2" ht="18.75" x14ac:dyDescent="0.25">
      <c r="B622" s="218">
        <v>324</v>
      </c>
    </row>
    <row r="623" spans="2:2" ht="18.75" x14ac:dyDescent="0.25">
      <c r="B623" s="219" t="s">
        <v>588</v>
      </c>
    </row>
    <row r="624" spans="2:2" ht="18.75" x14ac:dyDescent="0.25">
      <c r="B624" s="218">
        <v>325</v>
      </c>
    </row>
    <row r="625" spans="2:2" ht="18.75" x14ac:dyDescent="0.25">
      <c r="B625" s="219" t="s">
        <v>589</v>
      </c>
    </row>
    <row r="626" spans="2:2" ht="18.75" x14ac:dyDescent="0.25">
      <c r="B626" s="218">
        <v>321</v>
      </c>
    </row>
    <row r="627" spans="2:2" ht="18.75" x14ac:dyDescent="0.25">
      <c r="B627" s="219" t="s">
        <v>590</v>
      </c>
    </row>
    <row r="628" spans="2:2" ht="18.75" x14ac:dyDescent="0.25">
      <c r="B628" s="220" t="s">
        <v>591</v>
      </c>
    </row>
    <row r="629" spans="2:2" ht="18.75" x14ac:dyDescent="0.25">
      <c r="B629" s="217">
        <v>326</v>
      </c>
    </row>
    <row r="630" spans="2:2" ht="18.75" x14ac:dyDescent="0.25">
      <c r="B630" s="218">
        <v>327</v>
      </c>
    </row>
    <row r="631" spans="2:2" ht="18.75" x14ac:dyDescent="0.25">
      <c r="B631" s="217">
        <v>314</v>
      </c>
    </row>
    <row r="632" spans="2:2" ht="18.75" x14ac:dyDescent="0.25">
      <c r="B632" s="218">
        <v>329</v>
      </c>
    </row>
    <row r="633" spans="2:2" ht="18.75" x14ac:dyDescent="0.25">
      <c r="B633" s="217">
        <v>328</v>
      </c>
    </row>
    <row r="634" spans="2:2" ht="18.75" x14ac:dyDescent="0.25">
      <c r="B634" s="218">
        <v>330</v>
      </c>
    </row>
    <row r="635" spans="2:2" ht="18.75" x14ac:dyDescent="0.25">
      <c r="B635" s="217">
        <v>331</v>
      </c>
    </row>
    <row r="636" spans="2:2" ht="18.75" x14ac:dyDescent="0.25">
      <c r="B636" s="218">
        <v>333</v>
      </c>
    </row>
    <row r="637" spans="2:2" ht="18.75" x14ac:dyDescent="0.25">
      <c r="B637" s="219" t="s">
        <v>592</v>
      </c>
    </row>
    <row r="638" spans="2:2" ht="18.75" x14ac:dyDescent="0.25">
      <c r="B638" s="218">
        <v>334</v>
      </c>
    </row>
    <row r="639" spans="2:2" ht="18.75" x14ac:dyDescent="0.25">
      <c r="B639" s="217">
        <v>322</v>
      </c>
    </row>
    <row r="640" spans="2:2" ht="18.75" x14ac:dyDescent="0.25">
      <c r="B640" s="218">
        <v>335</v>
      </c>
    </row>
    <row r="641" spans="2:2" ht="18.75" x14ac:dyDescent="0.25">
      <c r="B641" s="217">
        <v>336</v>
      </c>
    </row>
    <row r="642" spans="2:2" ht="18.75" x14ac:dyDescent="0.25">
      <c r="B642" s="218">
        <v>337</v>
      </c>
    </row>
    <row r="643" spans="2:2" ht="18.75" x14ac:dyDescent="0.25">
      <c r="B643" s="217">
        <v>338</v>
      </c>
    </row>
    <row r="644" spans="2:2" ht="18.75" x14ac:dyDescent="0.25">
      <c r="B644" s="220" t="s">
        <v>593</v>
      </c>
    </row>
    <row r="645" spans="2:2" ht="18.75" x14ac:dyDescent="0.25">
      <c r="B645" s="219" t="s">
        <v>594</v>
      </c>
    </row>
    <row r="646" spans="2:2" ht="18.75" x14ac:dyDescent="0.25">
      <c r="B646" s="218">
        <v>339</v>
      </c>
    </row>
    <row r="647" spans="2:2" ht="18.75" x14ac:dyDescent="0.25">
      <c r="B647" s="217">
        <v>341</v>
      </c>
    </row>
    <row r="648" spans="2:2" ht="18.75" x14ac:dyDescent="0.25">
      <c r="B648" s="220" t="s">
        <v>595</v>
      </c>
    </row>
    <row r="649" spans="2:2" ht="18.75" x14ac:dyDescent="0.25">
      <c r="B649" s="217">
        <v>343</v>
      </c>
    </row>
    <row r="650" spans="2:2" ht="18.75" x14ac:dyDescent="0.25">
      <c r="B650" s="218">
        <v>332</v>
      </c>
    </row>
    <row r="651" spans="2:2" ht="18.75" x14ac:dyDescent="0.25">
      <c r="B651" s="217">
        <v>345</v>
      </c>
    </row>
    <row r="652" spans="2:2" ht="18.75" x14ac:dyDescent="0.25">
      <c r="B652" s="218">
        <v>346</v>
      </c>
    </row>
    <row r="653" spans="2:2" ht="18.75" x14ac:dyDescent="0.25">
      <c r="B653" s="219" t="s">
        <v>596</v>
      </c>
    </row>
    <row r="654" spans="2:2" ht="18.75" x14ac:dyDescent="0.25">
      <c r="B654" s="218">
        <v>349</v>
      </c>
    </row>
    <row r="655" spans="2:2" ht="18.75" x14ac:dyDescent="0.25">
      <c r="B655" s="217">
        <v>350</v>
      </c>
    </row>
    <row r="656" spans="2:2" ht="18.75" x14ac:dyDescent="0.25">
      <c r="B656" s="218">
        <v>347</v>
      </c>
    </row>
    <row r="657" spans="2:2" ht="18.75" x14ac:dyDescent="0.25">
      <c r="B657" s="217">
        <v>348</v>
      </c>
    </row>
    <row r="658" spans="2:2" ht="18.75" x14ac:dyDescent="0.25">
      <c r="B658" s="220" t="s">
        <v>597</v>
      </c>
    </row>
    <row r="659" spans="2:2" ht="18.75" x14ac:dyDescent="0.25">
      <c r="B659" s="217">
        <v>344</v>
      </c>
    </row>
    <row r="660" spans="2:2" ht="18.75" x14ac:dyDescent="0.25">
      <c r="B660" s="218">
        <v>342</v>
      </c>
    </row>
    <row r="661" spans="2:2" ht="18.75" x14ac:dyDescent="0.25">
      <c r="B661" s="217">
        <v>356</v>
      </c>
    </row>
    <row r="662" spans="2:2" ht="18.75" x14ac:dyDescent="0.25">
      <c r="B662" s="220" t="s">
        <v>598</v>
      </c>
    </row>
    <row r="663" spans="2:2" ht="18.75" x14ac:dyDescent="0.25">
      <c r="B663" s="217">
        <v>340</v>
      </c>
    </row>
    <row r="664" spans="2:2" ht="18.75" x14ac:dyDescent="0.25">
      <c r="B664" s="220" t="s">
        <v>599</v>
      </c>
    </row>
    <row r="665" spans="2:2" ht="18.75" x14ac:dyDescent="0.25">
      <c r="B665" s="217">
        <v>359</v>
      </c>
    </row>
    <row r="666" spans="2:2" ht="18.75" x14ac:dyDescent="0.25">
      <c r="B666" s="218">
        <v>364</v>
      </c>
    </row>
    <row r="667" spans="2:2" ht="18.75" x14ac:dyDescent="0.25">
      <c r="B667" s="217">
        <v>362</v>
      </c>
    </row>
    <row r="668" spans="2:2" ht="18.75" x14ac:dyDescent="0.25">
      <c r="B668" s="218">
        <v>365</v>
      </c>
    </row>
    <row r="669" spans="2:2" ht="18.75" x14ac:dyDescent="0.25">
      <c r="B669" s="217">
        <v>358</v>
      </c>
    </row>
    <row r="670" spans="2:2" ht="18.75" x14ac:dyDescent="0.25">
      <c r="B670" s="218">
        <v>363</v>
      </c>
    </row>
    <row r="671" spans="2:2" ht="18.75" x14ac:dyDescent="0.25">
      <c r="B671" s="217">
        <v>357</v>
      </c>
    </row>
    <row r="672" spans="2:2" ht="18.75" x14ac:dyDescent="0.25">
      <c r="B672" s="218">
        <v>360</v>
      </c>
    </row>
    <row r="673" spans="2:2" ht="18.75" x14ac:dyDescent="0.25">
      <c r="B673" s="217">
        <v>361</v>
      </c>
    </row>
    <row r="674" spans="2:2" ht="18.75" x14ac:dyDescent="0.25">
      <c r="B674" s="218">
        <v>409</v>
      </c>
    </row>
    <row r="675" spans="2:2" ht="18.75" x14ac:dyDescent="0.25">
      <c r="B675" s="217">
        <v>367</v>
      </c>
    </row>
    <row r="676" spans="2:2" ht="18.75" x14ac:dyDescent="0.25">
      <c r="B676" s="218">
        <v>354</v>
      </c>
    </row>
    <row r="677" spans="2:2" ht="18.75" x14ac:dyDescent="0.25">
      <c r="B677" s="217">
        <v>351</v>
      </c>
    </row>
    <row r="678" spans="2:2" ht="18.75" x14ac:dyDescent="0.25">
      <c r="B678" s="218">
        <v>352</v>
      </c>
    </row>
    <row r="679" spans="2:2" ht="18.75" x14ac:dyDescent="0.25">
      <c r="B679" s="217">
        <v>353</v>
      </c>
    </row>
    <row r="680" spans="2:2" ht="18.75" x14ac:dyDescent="0.25">
      <c r="B680" s="218">
        <v>355</v>
      </c>
    </row>
    <row r="681" spans="2:2" ht="18.75" x14ac:dyDescent="0.25">
      <c r="B681" s="217">
        <v>368</v>
      </c>
    </row>
    <row r="682" spans="2:2" ht="18.75" x14ac:dyDescent="0.25">
      <c r="B682" s="218">
        <v>369</v>
      </c>
    </row>
    <row r="683" spans="2:2" ht="18.75" x14ac:dyDescent="0.25">
      <c r="B683" s="217">
        <v>370</v>
      </c>
    </row>
    <row r="684" spans="2:2" ht="18.75" x14ac:dyDescent="0.25">
      <c r="B684" s="218">
        <v>371</v>
      </c>
    </row>
    <row r="685" spans="2:2" ht="18.75" x14ac:dyDescent="0.25">
      <c r="B685" s="217">
        <v>381</v>
      </c>
    </row>
    <row r="686" spans="2:2" ht="18.75" x14ac:dyDescent="0.25">
      <c r="B686" s="218">
        <v>366</v>
      </c>
    </row>
    <row r="687" spans="2:2" ht="18.75" x14ac:dyDescent="0.25">
      <c r="B687" s="219" t="s">
        <v>600</v>
      </c>
    </row>
    <row r="688" spans="2:2" ht="18.75" x14ac:dyDescent="0.25">
      <c r="B688" s="218">
        <v>372</v>
      </c>
    </row>
    <row r="689" spans="2:2" ht="18.75" x14ac:dyDescent="0.25">
      <c r="B689" s="217">
        <v>373</v>
      </c>
    </row>
    <row r="690" spans="2:2" ht="18.75" x14ac:dyDescent="0.25">
      <c r="B690" s="218">
        <v>374</v>
      </c>
    </row>
    <row r="691" spans="2:2" ht="18.75" x14ac:dyDescent="0.25">
      <c r="B691" s="217">
        <v>375</v>
      </c>
    </row>
    <row r="692" spans="2:2" ht="18.75" x14ac:dyDescent="0.25">
      <c r="B692" s="218">
        <v>376</v>
      </c>
    </row>
    <row r="693" spans="2:2" ht="18.75" x14ac:dyDescent="0.25">
      <c r="B693" s="217">
        <v>377</v>
      </c>
    </row>
    <row r="694" spans="2:2" ht="18.75" x14ac:dyDescent="0.25">
      <c r="B694" s="218">
        <v>378</v>
      </c>
    </row>
    <row r="695" spans="2:2" ht="18.75" x14ac:dyDescent="0.25">
      <c r="B695" s="217">
        <v>379</v>
      </c>
    </row>
    <row r="696" spans="2:2" ht="18.75" x14ac:dyDescent="0.25">
      <c r="B696" s="218">
        <v>380</v>
      </c>
    </row>
    <row r="697" spans="2:2" ht="18.75" x14ac:dyDescent="0.25">
      <c r="B697" s="219" t="s">
        <v>601</v>
      </c>
    </row>
    <row r="698" spans="2:2" ht="18.75" x14ac:dyDescent="0.25">
      <c r="B698" s="218">
        <v>382</v>
      </c>
    </row>
    <row r="699" spans="2:2" ht="18.75" x14ac:dyDescent="0.25">
      <c r="B699" s="217">
        <v>383</v>
      </c>
    </row>
    <row r="700" spans="2:2" ht="18.75" x14ac:dyDescent="0.25">
      <c r="B700" s="218">
        <v>384</v>
      </c>
    </row>
    <row r="701" spans="2:2" ht="18.75" x14ac:dyDescent="0.25">
      <c r="B701" s="217">
        <v>385</v>
      </c>
    </row>
    <row r="702" spans="2:2" ht="18.75" x14ac:dyDescent="0.25">
      <c r="B702" s="218">
        <v>386</v>
      </c>
    </row>
    <row r="703" spans="2:2" ht="18.75" x14ac:dyDescent="0.25">
      <c r="B703" s="217">
        <v>387</v>
      </c>
    </row>
    <row r="704" spans="2:2" ht="18.75" x14ac:dyDescent="0.25">
      <c r="B704" s="218">
        <v>389</v>
      </c>
    </row>
    <row r="705" spans="2:2" ht="18.75" x14ac:dyDescent="0.25">
      <c r="B705" s="217">
        <v>390</v>
      </c>
    </row>
    <row r="706" spans="2:2" ht="18.75" x14ac:dyDescent="0.25">
      <c r="B706" s="218">
        <v>388</v>
      </c>
    </row>
    <row r="707" spans="2:2" ht="18.75" x14ac:dyDescent="0.25">
      <c r="B707" s="217">
        <v>392</v>
      </c>
    </row>
    <row r="708" spans="2:2" ht="18.75" x14ac:dyDescent="0.25">
      <c r="B708" s="218">
        <v>393</v>
      </c>
    </row>
    <row r="709" spans="2:2" ht="18.75" x14ac:dyDescent="0.25">
      <c r="B709" s="217">
        <v>394</v>
      </c>
    </row>
    <row r="710" spans="2:2" ht="18.75" x14ac:dyDescent="0.25">
      <c r="B710" s="218">
        <v>395</v>
      </c>
    </row>
    <row r="711" spans="2:2" ht="18.75" x14ac:dyDescent="0.25">
      <c r="B711" s="217">
        <v>396</v>
      </c>
    </row>
    <row r="712" spans="2:2" ht="18.75" x14ac:dyDescent="0.25">
      <c r="B712" s="218">
        <v>397</v>
      </c>
    </row>
    <row r="713" spans="2:2" ht="18.75" x14ac:dyDescent="0.25">
      <c r="B713" s="217">
        <v>398</v>
      </c>
    </row>
    <row r="714" spans="2:2" ht="18.75" x14ac:dyDescent="0.25">
      <c r="B714" s="218">
        <v>399</v>
      </c>
    </row>
    <row r="715" spans="2:2" ht="18.75" x14ac:dyDescent="0.25">
      <c r="B715" s="217">
        <v>400</v>
      </c>
    </row>
    <row r="716" spans="2:2" ht="18.75" x14ac:dyDescent="0.25">
      <c r="B716" s="218">
        <v>391</v>
      </c>
    </row>
    <row r="717" spans="2:2" ht="18.75" x14ac:dyDescent="0.25">
      <c r="B717" s="217">
        <v>401</v>
      </c>
    </row>
    <row r="718" spans="2:2" ht="18.75" x14ac:dyDescent="0.25">
      <c r="B718" s="218">
        <v>402</v>
      </c>
    </row>
    <row r="719" spans="2:2" ht="18.75" x14ac:dyDescent="0.25">
      <c r="B719" s="217">
        <v>403</v>
      </c>
    </row>
    <row r="720" spans="2:2" ht="18.75" x14ac:dyDescent="0.25">
      <c r="B720" s="218">
        <v>404</v>
      </c>
    </row>
    <row r="721" spans="2:2" ht="18.75" x14ac:dyDescent="0.25">
      <c r="B721" s="217">
        <v>405</v>
      </c>
    </row>
    <row r="722" spans="2:2" ht="18.75" x14ac:dyDescent="0.25">
      <c r="B722" s="218">
        <v>406</v>
      </c>
    </row>
    <row r="723" spans="2:2" ht="18.75" x14ac:dyDescent="0.25">
      <c r="B723" s="217">
        <v>407</v>
      </c>
    </row>
    <row r="724" spans="2:2" ht="18.75" x14ac:dyDescent="0.25">
      <c r="B724" s="218">
        <v>408</v>
      </c>
    </row>
    <row r="725" spans="2:2" ht="18.75" x14ac:dyDescent="0.25">
      <c r="B725" s="217">
        <v>410</v>
      </c>
    </row>
    <row r="726" spans="2:2" ht="18.75" x14ac:dyDescent="0.25">
      <c r="B726" s="218">
        <v>411</v>
      </c>
    </row>
    <row r="727" spans="2:2" ht="18.75" x14ac:dyDescent="0.25">
      <c r="B727" s="217">
        <v>412</v>
      </c>
    </row>
    <row r="728" spans="2:2" ht="18.75" x14ac:dyDescent="0.25">
      <c r="B728" s="218">
        <v>413</v>
      </c>
    </row>
    <row r="729" spans="2:2" ht="18.75" x14ac:dyDescent="0.25">
      <c r="B729" s="217">
        <v>414</v>
      </c>
    </row>
    <row r="730" spans="2:2" ht="18.75" x14ac:dyDescent="0.25">
      <c r="B730" s="218">
        <v>415</v>
      </c>
    </row>
    <row r="731" spans="2:2" ht="18.75" x14ac:dyDescent="0.25">
      <c r="B731" s="217" t="s">
        <v>602</v>
      </c>
    </row>
    <row r="732" spans="2:2" ht="18.75" x14ac:dyDescent="0.25">
      <c r="B732" s="218" t="s">
        <v>603</v>
      </c>
    </row>
    <row r="733" spans="2:2" ht="18.75" x14ac:dyDescent="0.25">
      <c r="B733" s="217">
        <v>416</v>
      </c>
    </row>
    <row r="734" spans="2:2" ht="18.75" x14ac:dyDescent="0.25">
      <c r="B734" s="218">
        <v>417</v>
      </c>
    </row>
    <row r="735" spans="2:2" ht="18.75" x14ac:dyDescent="0.25">
      <c r="B735" s="217">
        <v>418</v>
      </c>
    </row>
    <row r="736" spans="2:2" ht="18.75" x14ac:dyDescent="0.25">
      <c r="B736" s="218">
        <v>419</v>
      </c>
    </row>
    <row r="737" spans="2:2" ht="18.75" x14ac:dyDescent="0.25">
      <c r="B737" s="217" t="s">
        <v>604</v>
      </c>
    </row>
    <row r="738" spans="2:2" ht="18.75" x14ac:dyDescent="0.25">
      <c r="B738" s="218">
        <v>420</v>
      </c>
    </row>
    <row r="739" spans="2:2" ht="18.75" x14ac:dyDescent="0.25">
      <c r="B739" s="217">
        <v>421</v>
      </c>
    </row>
    <row r="740" spans="2:2" ht="18.75" x14ac:dyDescent="0.25">
      <c r="B740" s="218">
        <v>422</v>
      </c>
    </row>
    <row r="741" spans="2:2" ht="18.75" x14ac:dyDescent="0.25">
      <c r="B741" s="217">
        <v>423</v>
      </c>
    </row>
    <row r="742" spans="2:2" ht="18.75" x14ac:dyDescent="0.25">
      <c r="B742" s="218">
        <v>424</v>
      </c>
    </row>
    <row r="743" spans="2:2" ht="18.75" x14ac:dyDescent="0.25">
      <c r="B743" s="217">
        <v>425</v>
      </c>
    </row>
    <row r="744" spans="2:2" ht="18.75" x14ac:dyDescent="0.25">
      <c r="B744" s="218">
        <v>426</v>
      </c>
    </row>
    <row r="745" spans="2:2" ht="18.75" x14ac:dyDescent="0.25">
      <c r="B745" s="217">
        <v>427</v>
      </c>
    </row>
    <row r="746" spans="2:2" ht="18.75" x14ac:dyDescent="0.25">
      <c r="B746" s="220" t="s">
        <v>605</v>
      </c>
    </row>
    <row r="747" spans="2:2" ht="18.75" x14ac:dyDescent="0.25">
      <c r="B747" s="219" t="s">
        <v>606</v>
      </c>
    </row>
    <row r="748" spans="2:2" ht="18.75" x14ac:dyDescent="0.25">
      <c r="B748" s="218">
        <v>434</v>
      </c>
    </row>
    <row r="749" spans="2:2" ht="18.75" x14ac:dyDescent="0.25">
      <c r="B749" s="217">
        <v>428</v>
      </c>
    </row>
    <row r="750" spans="2:2" ht="18.75" x14ac:dyDescent="0.25">
      <c r="B750" s="218">
        <v>429</v>
      </c>
    </row>
    <row r="751" spans="2:2" ht="18.75" x14ac:dyDescent="0.25">
      <c r="B751" s="217">
        <v>430</v>
      </c>
    </row>
    <row r="752" spans="2:2" ht="18.75" x14ac:dyDescent="0.25">
      <c r="B752" s="218">
        <v>431</v>
      </c>
    </row>
    <row r="753" spans="2:2" ht="18.75" x14ac:dyDescent="0.25">
      <c r="B753" s="217">
        <v>432</v>
      </c>
    </row>
    <row r="754" spans="2:2" ht="18.75" x14ac:dyDescent="0.25">
      <c r="B754" s="218">
        <v>433</v>
      </c>
    </row>
    <row r="755" spans="2:2" ht="18.75" x14ac:dyDescent="0.25">
      <c r="B755" s="217">
        <v>435</v>
      </c>
    </row>
    <row r="756" spans="2:2" ht="18.75" x14ac:dyDescent="0.25">
      <c r="B756" s="218">
        <v>436</v>
      </c>
    </row>
    <row r="757" spans="2:2" ht="18.75" x14ac:dyDescent="0.25">
      <c r="B757" s="217">
        <v>437</v>
      </c>
    </row>
    <row r="758" spans="2:2" ht="18.75" x14ac:dyDescent="0.25">
      <c r="B758" s="218">
        <v>438</v>
      </c>
    </row>
    <row r="759" spans="2:2" ht="18.75" x14ac:dyDescent="0.25">
      <c r="B759" s="217">
        <v>439</v>
      </c>
    </row>
    <row r="760" spans="2:2" ht="18.75" x14ac:dyDescent="0.25">
      <c r="B760" s="218">
        <v>440</v>
      </c>
    </row>
    <row r="761" spans="2:2" ht="18.75" x14ac:dyDescent="0.25">
      <c r="B761" s="217">
        <v>441</v>
      </c>
    </row>
    <row r="762" spans="2:2" ht="18.75" x14ac:dyDescent="0.25">
      <c r="B762" s="218">
        <v>442</v>
      </c>
    </row>
    <row r="763" spans="2:2" ht="18.75" x14ac:dyDescent="0.25">
      <c r="B763" s="217">
        <v>443</v>
      </c>
    </row>
    <row r="764" spans="2:2" ht="18.75" x14ac:dyDescent="0.25">
      <c r="B764" s="220" t="s">
        <v>607</v>
      </c>
    </row>
    <row r="765" spans="2:2" ht="18.75" x14ac:dyDescent="0.25">
      <c r="B765" s="219" t="s">
        <v>608</v>
      </c>
    </row>
    <row r="766" spans="2:2" ht="18.75" x14ac:dyDescent="0.25">
      <c r="B766" s="220" t="s">
        <v>609</v>
      </c>
    </row>
    <row r="767" spans="2:2" ht="18.75" x14ac:dyDescent="0.25">
      <c r="B767" s="219" t="s">
        <v>610</v>
      </c>
    </row>
    <row r="768" spans="2:2" ht="18.75" x14ac:dyDescent="0.25">
      <c r="B768" s="220" t="s">
        <v>611</v>
      </c>
    </row>
    <row r="769" spans="2:2" ht="18.75" x14ac:dyDescent="0.25">
      <c r="B769" s="217">
        <v>444</v>
      </c>
    </row>
    <row r="770" spans="2:2" ht="18.75" x14ac:dyDescent="0.25">
      <c r="B770" s="218">
        <v>445</v>
      </c>
    </row>
    <row r="771" spans="2:2" ht="18.75" x14ac:dyDescent="0.25">
      <c r="B771" s="217">
        <v>446</v>
      </c>
    </row>
    <row r="772" spans="2:2" ht="18.75" x14ac:dyDescent="0.25">
      <c r="B772" s="218">
        <v>447</v>
      </c>
    </row>
    <row r="773" spans="2:2" ht="18.75" x14ac:dyDescent="0.25">
      <c r="B773" s="217">
        <v>448</v>
      </c>
    </row>
    <row r="774" spans="2:2" ht="18.75" x14ac:dyDescent="0.25">
      <c r="B774" s="218">
        <v>449</v>
      </c>
    </row>
    <row r="775" spans="2:2" ht="18.75" x14ac:dyDescent="0.25">
      <c r="B775" s="217">
        <v>450</v>
      </c>
    </row>
    <row r="776" spans="2:2" ht="18.75" x14ac:dyDescent="0.25">
      <c r="B776" s="220" t="s">
        <v>612</v>
      </c>
    </row>
    <row r="777" spans="2:2" ht="18.75" x14ac:dyDescent="0.25">
      <c r="B777" s="219" t="s">
        <v>613</v>
      </c>
    </row>
    <row r="778" spans="2:2" ht="18.75" x14ac:dyDescent="0.25">
      <c r="B778" s="218">
        <v>451</v>
      </c>
    </row>
    <row r="779" spans="2:2" ht="18.75" x14ac:dyDescent="0.25">
      <c r="B779" s="217">
        <v>452</v>
      </c>
    </row>
    <row r="780" spans="2:2" ht="18.75" x14ac:dyDescent="0.25">
      <c r="B780" s="218">
        <v>453</v>
      </c>
    </row>
    <row r="781" spans="2:2" ht="18.75" x14ac:dyDescent="0.25">
      <c r="B781" s="217">
        <v>454</v>
      </c>
    </row>
    <row r="782" spans="2:2" ht="18.75" x14ac:dyDescent="0.25">
      <c r="B782" s="218">
        <v>455</v>
      </c>
    </row>
    <row r="783" spans="2:2" ht="18.75" x14ac:dyDescent="0.25">
      <c r="B783" s="217">
        <v>456</v>
      </c>
    </row>
    <row r="784" spans="2:2" ht="18.75" x14ac:dyDescent="0.25">
      <c r="B784" s="218">
        <v>457</v>
      </c>
    </row>
    <row r="785" spans="2:2" ht="18.75" x14ac:dyDescent="0.25">
      <c r="B785" s="217">
        <v>458</v>
      </c>
    </row>
    <row r="786" spans="2:2" ht="18.75" x14ac:dyDescent="0.25">
      <c r="B786" s="218">
        <v>459</v>
      </c>
    </row>
    <row r="787" spans="2:2" ht="18.75" x14ac:dyDescent="0.25">
      <c r="B787" s="217">
        <v>460</v>
      </c>
    </row>
    <row r="788" spans="2:2" ht="18.75" x14ac:dyDescent="0.25">
      <c r="B788" s="218">
        <v>461</v>
      </c>
    </row>
    <row r="789" spans="2:2" ht="18.75" x14ac:dyDescent="0.25">
      <c r="B789" s="217">
        <v>462</v>
      </c>
    </row>
    <row r="790" spans="2:2" ht="18.75" x14ac:dyDescent="0.25">
      <c r="B790" s="218">
        <v>463</v>
      </c>
    </row>
    <row r="791" spans="2:2" ht="18.75" x14ac:dyDescent="0.25">
      <c r="B791" s="219" t="s">
        <v>614</v>
      </c>
    </row>
    <row r="792" spans="2:2" ht="18.75" x14ac:dyDescent="0.25">
      <c r="B792" s="220" t="s">
        <v>615</v>
      </c>
    </row>
    <row r="793" spans="2:2" ht="18.75" x14ac:dyDescent="0.25">
      <c r="B793" s="219" t="s">
        <v>616</v>
      </c>
    </row>
    <row r="794" spans="2:2" ht="18.75" x14ac:dyDescent="0.25">
      <c r="B794" s="220" t="s">
        <v>617</v>
      </c>
    </row>
    <row r="795" spans="2:2" ht="18.75" x14ac:dyDescent="0.25">
      <c r="B795" s="219" t="s">
        <v>618</v>
      </c>
    </row>
    <row r="796" spans="2:2" ht="18.75" x14ac:dyDescent="0.25">
      <c r="B796" s="220" t="s">
        <v>619</v>
      </c>
    </row>
    <row r="797" spans="2:2" ht="18.75" x14ac:dyDescent="0.25">
      <c r="B797" s="219" t="s">
        <v>620</v>
      </c>
    </row>
    <row r="798" spans="2:2" ht="18.75" x14ac:dyDescent="0.25">
      <c r="B798" s="220" t="s">
        <v>621</v>
      </c>
    </row>
    <row r="799" spans="2:2" ht="18.75" x14ac:dyDescent="0.25">
      <c r="B799" s="219" t="s">
        <v>622</v>
      </c>
    </row>
    <row r="800" spans="2:2" ht="18.75" x14ac:dyDescent="0.25">
      <c r="B800" s="220" t="s">
        <v>623</v>
      </c>
    </row>
    <row r="801" spans="2:2" ht="18.75" x14ac:dyDescent="0.25">
      <c r="B801" s="217">
        <v>464</v>
      </c>
    </row>
    <row r="802" spans="2:2" ht="18.75" x14ac:dyDescent="0.25">
      <c r="B802" s="218">
        <v>465</v>
      </c>
    </row>
    <row r="803" spans="2:2" ht="18.75" x14ac:dyDescent="0.25">
      <c r="B803" s="217">
        <v>466</v>
      </c>
    </row>
    <row r="804" spans="2:2" ht="18.75" x14ac:dyDescent="0.25">
      <c r="B804" s="218">
        <v>467</v>
      </c>
    </row>
    <row r="805" spans="2:2" ht="18.75" x14ac:dyDescent="0.25">
      <c r="B805" s="217">
        <v>468</v>
      </c>
    </row>
    <row r="806" spans="2:2" ht="18.75" x14ac:dyDescent="0.25">
      <c r="B806" s="218">
        <v>469</v>
      </c>
    </row>
    <row r="807" spans="2:2" ht="18.75" x14ac:dyDescent="0.25">
      <c r="B807" s="217">
        <v>618</v>
      </c>
    </row>
    <row r="808" spans="2:2" ht="18.75" x14ac:dyDescent="0.25">
      <c r="B808" s="218">
        <v>612</v>
      </c>
    </row>
    <row r="809" spans="2:2" ht="18.75" x14ac:dyDescent="0.25">
      <c r="B809" s="217">
        <v>620</v>
      </c>
    </row>
    <row r="810" spans="2:2" ht="18.75" x14ac:dyDescent="0.25">
      <c r="B810" s="218">
        <v>619</v>
      </c>
    </row>
    <row r="811" spans="2:2" ht="18.75" x14ac:dyDescent="0.25">
      <c r="B811" s="217">
        <v>617</v>
      </c>
    </row>
    <row r="812" spans="2:2" ht="18.75" x14ac:dyDescent="0.25">
      <c r="B812" s="218">
        <v>616</v>
      </c>
    </row>
    <row r="813" spans="2:2" ht="18.75" x14ac:dyDescent="0.25">
      <c r="B813" s="217">
        <v>613</v>
      </c>
    </row>
    <row r="814" spans="2:2" ht="18.75" x14ac:dyDescent="0.25">
      <c r="B814" s="218">
        <v>614</v>
      </c>
    </row>
    <row r="815" spans="2:2" ht="18.75" x14ac:dyDescent="0.25">
      <c r="B815" s="217" t="s">
        <v>624</v>
      </c>
    </row>
    <row r="816" spans="2:2" ht="18.75" x14ac:dyDescent="0.25">
      <c r="B816" s="220" t="s">
        <v>625</v>
      </c>
    </row>
    <row r="817" spans="2:2" ht="18.75" x14ac:dyDescent="0.25">
      <c r="B817" s="217" t="s">
        <v>626</v>
      </c>
    </row>
    <row r="818" spans="2:2" ht="18.75" x14ac:dyDescent="0.25">
      <c r="B818" s="218">
        <v>625</v>
      </c>
    </row>
    <row r="819" spans="2:2" ht="18.75" x14ac:dyDescent="0.25">
      <c r="B819" s="217">
        <v>627</v>
      </c>
    </row>
    <row r="820" spans="2:2" ht="18.75" x14ac:dyDescent="0.25">
      <c r="B820" s="218">
        <v>633</v>
      </c>
    </row>
    <row r="821" spans="2:2" ht="18.75" x14ac:dyDescent="0.25">
      <c r="B821" s="217">
        <v>624</v>
      </c>
    </row>
    <row r="822" spans="2:2" ht="18.75" x14ac:dyDescent="0.25">
      <c r="B822" s="218">
        <v>635</v>
      </c>
    </row>
    <row r="823" spans="2:2" ht="18.75" x14ac:dyDescent="0.25">
      <c r="B823" s="217">
        <v>632</v>
      </c>
    </row>
    <row r="824" spans="2:2" ht="18.75" x14ac:dyDescent="0.25">
      <c r="B824" s="218">
        <v>643</v>
      </c>
    </row>
    <row r="825" spans="2:2" ht="18.75" x14ac:dyDescent="0.25">
      <c r="B825" s="217">
        <v>630</v>
      </c>
    </row>
    <row r="826" spans="2:2" ht="18.75" x14ac:dyDescent="0.25">
      <c r="B826" s="218">
        <v>634</v>
      </c>
    </row>
    <row r="827" spans="2:2" ht="18.75" x14ac:dyDescent="0.25">
      <c r="B827" s="217">
        <v>642</v>
      </c>
    </row>
    <row r="828" spans="2:2" ht="18.75" x14ac:dyDescent="0.25">
      <c r="B828" s="218">
        <v>631</v>
      </c>
    </row>
    <row r="829" spans="2:2" ht="18.75" x14ac:dyDescent="0.25">
      <c r="B829" s="217" t="s">
        <v>627</v>
      </c>
    </row>
    <row r="830" spans="2:2" ht="18.75" x14ac:dyDescent="0.25">
      <c r="B830" s="218" t="s">
        <v>628</v>
      </c>
    </row>
    <row r="831" spans="2:2" ht="18.75" x14ac:dyDescent="0.25">
      <c r="B831" s="217">
        <v>652</v>
      </c>
    </row>
    <row r="832" spans="2:2" ht="18.75" x14ac:dyDescent="0.25">
      <c r="B832" s="218">
        <v>657</v>
      </c>
    </row>
    <row r="833" spans="2:2" ht="18.75" x14ac:dyDescent="0.25">
      <c r="B833" s="217" t="s">
        <v>629</v>
      </c>
    </row>
    <row r="834" spans="2:2" ht="18.75" x14ac:dyDescent="0.25">
      <c r="B834" s="218" t="s">
        <v>630</v>
      </c>
    </row>
    <row r="835" spans="2:2" ht="18.75" x14ac:dyDescent="0.25">
      <c r="B835" s="217" t="s">
        <v>631</v>
      </c>
    </row>
    <row r="836" spans="2:2" ht="18.75" x14ac:dyDescent="0.25">
      <c r="B836" s="218" t="s">
        <v>632</v>
      </c>
    </row>
    <row r="837" spans="2:2" ht="18.75" x14ac:dyDescent="0.25">
      <c r="B837" s="217">
        <v>670</v>
      </c>
    </row>
    <row r="838" spans="2:2" ht="18.75" x14ac:dyDescent="0.25">
      <c r="B838" s="218">
        <v>673</v>
      </c>
    </row>
    <row r="839" spans="2:2" ht="18.75" x14ac:dyDescent="0.25">
      <c r="B839" s="217">
        <v>659</v>
      </c>
    </row>
    <row r="840" spans="2:2" ht="18.75" x14ac:dyDescent="0.25">
      <c r="B840" s="218" t="s">
        <v>633</v>
      </c>
    </row>
    <row r="841" spans="2:2" ht="18.75" x14ac:dyDescent="0.25">
      <c r="B841" s="217" t="s">
        <v>634</v>
      </c>
    </row>
    <row r="842" spans="2:2" ht="18.75" x14ac:dyDescent="0.25">
      <c r="B842" s="218" t="s">
        <v>635</v>
      </c>
    </row>
    <row r="843" spans="2:2" ht="18.75" x14ac:dyDescent="0.25">
      <c r="B843" s="217" t="s">
        <v>636</v>
      </c>
    </row>
    <row r="844" spans="2:2" ht="18.75" x14ac:dyDescent="0.25">
      <c r="B844" s="218" t="s">
        <v>637</v>
      </c>
    </row>
    <row r="845" spans="2:2" ht="18.75" x14ac:dyDescent="0.25">
      <c r="B845" s="217" t="s">
        <v>638</v>
      </c>
    </row>
    <row r="846" spans="2:2" ht="18.75" x14ac:dyDescent="0.25">
      <c r="B846" s="218">
        <v>653</v>
      </c>
    </row>
    <row r="847" spans="2:2" ht="18.75" x14ac:dyDescent="0.25">
      <c r="B847" s="217">
        <v>669</v>
      </c>
    </row>
    <row r="848" spans="2:2" ht="18.75" x14ac:dyDescent="0.25">
      <c r="B848" s="218">
        <v>601</v>
      </c>
    </row>
    <row r="849" spans="2:2" ht="18.75" x14ac:dyDescent="0.25">
      <c r="B849" s="217" t="s">
        <v>639</v>
      </c>
    </row>
    <row r="850" spans="2:2" ht="18.75" x14ac:dyDescent="0.25">
      <c r="B850" s="218" t="s">
        <v>640</v>
      </c>
    </row>
    <row r="851" spans="2:2" ht="18.75" x14ac:dyDescent="0.25">
      <c r="B851" s="217">
        <v>638</v>
      </c>
    </row>
    <row r="852" spans="2:2" ht="18.75" x14ac:dyDescent="0.25">
      <c r="B852" s="218">
        <v>676</v>
      </c>
    </row>
    <row r="853" spans="2:2" ht="18.75" x14ac:dyDescent="0.25">
      <c r="B853" s="217">
        <v>681</v>
      </c>
    </row>
    <row r="854" spans="2:2" ht="18.75" x14ac:dyDescent="0.25">
      <c r="B854" s="218">
        <v>608</v>
      </c>
    </row>
    <row r="855" spans="2:2" ht="18.75" x14ac:dyDescent="0.25">
      <c r="B855" s="217">
        <v>679</v>
      </c>
    </row>
    <row r="856" spans="2:2" ht="18.75" x14ac:dyDescent="0.25">
      <c r="B856" s="218" t="s">
        <v>641</v>
      </c>
    </row>
    <row r="857" spans="2:2" ht="18.75" x14ac:dyDescent="0.25">
      <c r="B857" s="217">
        <v>668</v>
      </c>
    </row>
    <row r="858" spans="2:2" ht="18.75" x14ac:dyDescent="0.25">
      <c r="B858" s="218">
        <v>689</v>
      </c>
    </row>
    <row r="859" spans="2:2" ht="18.75" x14ac:dyDescent="0.25">
      <c r="B859" s="217">
        <v>691</v>
      </c>
    </row>
    <row r="860" spans="2:2" ht="18.75" x14ac:dyDescent="0.25">
      <c r="B860" s="218">
        <v>699</v>
      </c>
    </row>
    <row r="861" spans="2:2" ht="18.75" x14ac:dyDescent="0.25">
      <c r="B861" s="217" t="s">
        <v>642</v>
      </c>
    </row>
    <row r="862" spans="2:2" ht="18.75" x14ac:dyDescent="0.25">
      <c r="B862" s="218" t="s">
        <v>643</v>
      </c>
    </row>
    <row r="863" spans="2:2" ht="18.75" x14ac:dyDescent="0.25">
      <c r="B863" s="217" t="s">
        <v>644</v>
      </c>
    </row>
    <row r="864" spans="2:2" ht="18.75" x14ac:dyDescent="0.25">
      <c r="B864" s="218">
        <v>658</v>
      </c>
    </row>
    <row r="865" spans="2:2" ht="18.75" x14ac:dyDescent="0.25">
      <c r="B865" s="217">
        <v>667</v>
      </c>
    </row>
    <row r="866" spans="2:2" ht="18.75" x14ac:dyDescent="0.25">
      <c r="B866" s="218">
        <v>671</v>
      </c>
    </row>
    <row r="867" spans="2:2" ht="18.75" x14ac:dyDescent="0.25">
      <c r="B867" s="217">
        <v>674</v>
      </c>
    </row>
    <row r="868" spans="2:2" ht="18.75" x14ac:dyDescent="0.25">
      <c r="B868" s="218">
        <v>705</v>
      </c>
    </row>
    <row r="869" spans="2:2" ht="18.75" x14ac:dyDescent="0.25">
      <c r="B869" s="217">
        <v>694</v>
      </c>
    </row>
    <row r="870" spans="2:2" ht="18.75" x14ac:dyDescent="0.25">
      <c r="B870" s="218">
        <v>660</v>
      </c>
    </row>
    <row r="871" spans="2:2" ht="18.75" x14ac:dyDescent="0.25">
      <c r="B871" s="217">
        <v>706</v>
      </c>
    </row>
    <row r="872" spans="2:2" ht="18.75" x14ac:dyDescent="0.25">
      <c r="B872" s="218">
        <v>700</v>
      </c>
    </row>
    <row r="873" spans="2:2" ht="18.75" x14ac:dyDescent="0.25">
      <c r="B873" s="217">
        <v>704</v>
      </c>
    </row>
    <row r="874" spans="2:2" ht="18.75" x14ac:dyDescent="0.25">
      <c r="B874" s="218" t="s">
        <v>645</v>
      </c>
    </row>
    <row r="875" spans="2:2" ht="18.75" x14ac:dyDescent="0.25">
      <c r="B875" s="217">
        <v>680</v>
      </c>
    </row>
    <row r="876" spans="2:2" ht="18.75" x14ac:dyDescent="0.25">
      <c r="B876" s="218">
        <v>683</v>
      </c>
    </row>
    <row r="877" spans="2:2" ht="18.75" x14ac:dyDescent="0.25">
      <c r="B877" s="217">
        <v>685</v>
      </c>
    </row>
    <row r="878" spans="2:2" ht="18.75" x14ac:dyDescent="0.25">
      <c r="B878" s="218">
        <v>686</v>
      </c>
    </row>
    <row r="879" spans="2:2" ht="18.75" x14ac:dyDescent="0.25">
      <c r="B879" s="217">
        <v>692</v>
      </c>
    </row>
    <row r="880" spans="2:2" ht="18.75" x14ac:dyDescent="0.25">
      <c r="B880" s="218">
        <v>701</v>
      </c>
    </row>
    <row r="881" spans="2:2" ht="18.75" x14ac:dyDescent="0.25">
      <c r="B881" s="217">
        <v>708</v>
      </c>
    </row>
    <row r="882" spans="2:2" ht="18.75" x14ac:dyDescent="0.25">
      <c r="B882" s="218">
        <v>707</v>
      </c>
    </row>
    <row r="883" spans="2:2" ht="18.75" x14ac:dyDescent="0.25">
      <c r="B883" s="217">
        <v>714</v>
      </c>
    </row>
    <row r="884" spans="2:2" ht="18.75" x14ac:dyDescent="0.25">
      <c r="B884" s="218">
        <v>718</v>
      </c>
    </row>
    <row r="885" spans="2:2" ht="18.75" x14ac:dyDescent="0.25">
      <c r="B885" s="217">
        <v>724</v>
      </c>
    </row>
    <row r="886" spans="2:2" ht="18.75" x14ac:dyDescent="0.25">
      <c r="B886" s="218">
        <v>723</v>
      </c>
    </row>
    <row r="887" spans="2:2" ht="18.75" x14ac:dyDescent="0.25">
      <c r="B887" s="217">
        <v>720</v>
      </c>
    </row>
    <row r="888" spans="2:2" ht="18.75" x14ac:dyDescent="0.25">
      <c r="B888" s="218">
        <v>711</v>
      </c>
    </row>
    <row r="889" spans="2:2" ht="18.75" x14ac:dyDescent="0.25">
      <c r="B889" s="217">
        <v>722</v>
      </c>
    </row>
    <row r="890" spans="2:2" ht="18.75" x14ac:dyDescent="0.25">
      <c r="B890" s="218">
        <v>721</v>
      </c>
    </row>
    <row r="891" spans="2:2" ht="18.75" x14ac:dyDescent="0.25">
      <c r="B891" s="217">
        <v>719</v>
      </c>
    </row>
    <row r="892" spans="2:2" ht="18.75" x14ac:dyDescent="0.25">
      <c r="B892" s="218" t="s">
        <v>646</v>
      </c>
    </row>
    <row r="893" spans="2:2" ht="18.75" x14ac:dyDescent="0.25">
      <c r="B893" s="217" t="s">
        <v>647</v>
      </c>
    </row>
    <row r="894" spans="2:2" ht="18.75" x14ac:dyDescent="0.25">
      <c r="B894" s="218" t="s">
        <v>648</v>
      </c>
    </row>
    <row r="895" spans="2:2" ht="18.75" x14ac:dyDescent="0.25">
      <c r="B895" s="217" t="s">
        <v>649</v>
      </c>
    </row>
    <row r="896" spans="2:2" ht="18.75" x14ac:dyDescent="0.25">
      <c r="B896" s="218">
        <v>716</v>
      </c>
    </row>
    <row r="897" spans="2:2" ht="18.75" x14ac:dyDescent="0.25">
      <c r="B897" s="217">
        <v>693</v>
      </c>
    </row>
    <row r="898" spans="2:2" ht="18.75" x14ac:dyDescent="0.25">
      <c r="B898" s="218" t="s">
        <v>650</v>
      </c>
    </row>
    <row r="899" spans="2:2" ht="18.75" x14ac:dyDescent="0.25">
      <c r="B899" s="217">
        <v>735</v>
      </c>
    </row>
    <row r="900" spans="2:2" ht="18.75" x14ac:dyDescent="0.25">
      <c r="B900" s="218" t="s">
        <v>651</v>
      </c>
    </row>
    <row r="901" spans="2:2" ht="18.75" x14ac:dyDescent="0.25">
      <c r="B901" s="217" t="s">
        <v>652</v>
      </c>
    </row>
    <row r="902" spans="2:2" ht="18.75" x14ac:dyDescent="0.25">
      <c r="B902" s="218" t="s">
        <v>653</v>
      </c>
    </row>
    <row r="903" spans="2:2" ht="18.75" x14ac:dyDescent="0.25">
      <c r="B903" s="217">
        <v>734</v>
      </c>
    </row>
    <row r="904" spans="2:2" ht="18.75" x14ac:dyDescent="0.25">
      <c r="B904" s="218">
        <v>730</v>
      </c>
    </row>
    <row r="905" spans="2:2" ht="18.75" x14ac:dyDescent="0.25">
      <c r="B905" s="217">
        <v>729</v>
      </c>
    </row>
    <row r="906" spans="2:2" ht="18.75" x14ac:dyDescent="0.25">
      <c r="B906" s="218">
        <v>732</v>
      </c>
    </row>
    <row r="907" spans="2:2" ht="18.75" x14ac:dyDescent="0.25">
      <c r="B907" s="217">
        <v>740</v>
      </c>
    </row>
    <row r="908" spans="2:2" ht="18.75" x14ac:dyDescent="0.25">
      <c r="B908" s="218">
        <v>731</v>
      </c>
    </row>
    <row r="909" spans="2:2" ht="18.75" x14ac:dyDescent="0.25">
      <c r="B909" s="217">
        <v>753</v>
      </c>
    </row>
    <row r="910" spans="2:2" ht="18.75" x14ac:dyDescent="0.25">
      <c r="B910" s="218">
        <v>744</v>
      </c>
    </row>
    <row r="911" spans="2:2" ht="18.75" x14ac:dyDescent="0.25">
      <c r="B911" s="217">
        <v>743</v>
      </c>
    </row>
    <row r="912" spans="2:2" ht="18.75" x14ac:dyDescent="0.25">
      <c r="B912" s="218" t="s">
        <v>654</v>
      </c>
    </row>
    <row r="913" spans="2:2" ht="18.75" x14ac:dyDescent="0.25">
      <c r="B913" s="217">
        <v>758</v>
      </c>
    </row>
    <row r="914" spans="2:2" ht="18.75" x14ac:dyDescent="0.25">
      <c r="B914" s="218">
        <v>759</v>
      </c>
    </row>
    <row r="915" spans="2:2" ht="18.75" x14ac:dyDescent="0.25">
      <c r="B915" s="217">
        <v>733</v>
      </c>
    </row>
    <row r="916" spans="2:2" ht="18.75" x14ac:dyDescent="0.25">
      <c r="B916" s="218">
        <v>757</v>
      </c>
    </row>
    <row r="917" spans="2:2" ht="18.75" x14ac:dyDescent="0.25">
      <c r="B917" s="217">
        <v>760</v>
      </c>
    </row>
    <row r="918" spans="2:2" ht="18.75" x14ac:dyDescent="0.25">
      <c r="B918" s="218">
        <v>755</v>
      </c>
    </row>
    <row r="919" spans="2:2" ht="18.75" x14ac:dyDescent="0.25">
      <c r="B919" s="217">
        <v>767</v>
      </c>
    </row>
    <row r="920" spans="2:2" ht="18.75" x14ac:dyDescent="0.25">
      <c r="B920" s="218">
        <v>742</v>
      </c>
    </row>
    <row r="921" spans="2:2" ht="18.75" x14ac:dyDescent="0.25">
      <c r="B921" s="217">
        <v>772</v>
      </c>
    </row>
    <row r="922" spans="2:2" ht="18.75" x14ac:dyDescent="0.25">
      <c r="B922" s="218">
        <v>761</v>
      </c>
    </row>
    <row r="923" spans="2:2" ht="18.75" x14ac:dyDescent="0.25">
      <c r="B923" s="217" t="s">
        <v>655</v>
      </c>
    </row>
    <row r="924" spans="2:2" ht="18.75" x14ac:dyDescent="0.25">
      <c r="B924" s="218" t="s">
        <v>656</v>
      </c>
    </row>
    <row r="925" spans="2:2" ht="18.75" x14ac:dyDescent="0.25">
      <c r="B925" s="217">
        <v>678</v>
      </c>
    </row>
    <row r="926" spans="2:2" ht="18.75" x14ac:dyDescent="0.25">
      <c r="B926" s="218" t="s">
        <v>657</v>
      </c>
    </row>
    <row r="927" spans="2:2" ht="18.75" x14ac:dyDescent="0.25">
      <c r="B927" s="217">
        <v>766</v>
      </c>
    </row>
    <row r="928" spans="2:2" ht="18.75" x14ac:dyDescent="0.25">
      <c r="B928" s="218" t="s">
        <v>658</v>
      </c>
    </row>
    <row r="929" spans="2:2" ht="18.75" x14ac:dyDescent="0.25">
      <c r="B929" s="217">
        <v>773</v>
      </c>
    </row>
    <row r="930" spans="2:2" ht="18.75" x14ac:dyDescent="0.25">
      <c r="B930" s="218">
        <v>774</v>
      </c>
    </row>
    <row r="931" spans="2:2" ht="18.75" x14ac:dyDescent="0.25">
      <c r="B931" s="217">
        <v>781</v>
      </c>
    </row>
    <row r="932" spans="2:2" ht="18.75" x14ac:dyDescent="0.25">
      <c r="B932" s="218">
        <v>769</v>
      </c>
    </row>
    <row r="933" spans="2:2" ht="18.75" x14ac:dyDescent="0.25">
      <c r="B933" s="217">
        <v>770</v>
      </c>
    </row>
    <row r="934" spans="2:2" ht="18.75" x14ac:dyDescent="0.25">
      <c r="B934" s="218">
        <v>768</v>
      </c>
    </row>
    <row r="935" spans="2:2" ht="18.75" x14ac:dyDescent="0.25">
      <c r="B935" s="217">
        <v>788</v>
      </c>
    </row>
    <row r="936" spans="2:2" ht="18.75" x14ac:dyDescent="0.25">
      <c r="B936" s="218">
        <v>771</v>
      </c>
    </row>
    <row r="937" spans="2:2" ht="18.75" x14ac:dyDescent="0.25">
      <c r="B937" s="217">
        <v>780</v>
      </c>
    </row>
    <row r="938" spans="2:2" ht="18.75" x14ac:dyDescent="0.25">
      <c r="B938" s="218">
        <v>779</v>
      </c>
    </row>
    <row r="939" spans="2:2" ht="18.75" x14ac:dyDescent="0.25">
      <c r="B939" s="217">
        <v>777</v>
      </c>
    </row>
    <row r="940" spans="2:2" ht="18.75" x14ac:dyDescent="0.25">
      <c r="B940" s="218">
        <v>784</v>
      </c>
    </row>
    <row r="941" spans="2:2" ht="18.75" x14ac:dyDescent="0.25">
      <c r="B941" s="217">
        <v>783</v>
      </c>
    </row>
    <row r="942" spans="2:2" ht="18.75" x14ac:dyDescent="0.25">
      <c r="B942" s="218" t="s">
        <v>659</v>
      </c>
    </row>
    <row r="943" spans="2:2" ht="18.75" x14ac:dyDescent="0.25">
      <c r="B943" s="217">
        <v>791</v>
      </c>
    </row>
    <row r="944" spans="2:2" ht="18.75" x14ac:dyDescent="0.25">
      <c r="B944" s="218">
        <v>792</v>
      </c>
    </row>
    <row r="945" spans="2:2" ht="18.75" x14ac:dyDescent="0.25">
      <c r="B945" s="217">
        <v>794</v>
      </c>
    </row>
    <row r="946" spans="2:2" ht="18.75" x14ac:dyDescent="0.25">
      <c r="B946" s="218" t="s">
        <v>660</v>
      </c>
    </row>
    <row r="947" spans="2:2" ht="18.75" x14ac:dyDescent="0.25">
      <c r="B947" s="217">
        <v>795</v>
      </c>
    </row>
    <row r="948" spans="2:2" ht="18.75" x14ac:dyDescent="0.25">
      <c r="B948" s="218">
        <v>750</v>
      </c>
    </row>
    <row r="949" spans="2:2" ht="18.75" x14ac:dyDescent="0.25">
      <c r="B949" s="217" t="s">
        <v>661</v>
      </c>
    </row>
    <row r="950" spans="2:2" ht="18.75" x14ac:dyDescent="0.25">
      <c r="B950" s="218">
        <v>752</v>
      </c>
    </row>
    <row r="951" spans="2:2" ht="18.75" x14ac:dyDescent="0.25">
      <c r="B951" s="217">
        <v>736</v>
      </c>
    </row>
    <row r="952" spans="2:2" ht="18.75" x14ac:dyDescent="0.25">
      <c r="B952" s="218">
        <v>737</v>
      </c>
    </row>
    <row r="953" spans="2:2" ht="18.75" x14ac:dyDescent="0.25">
      <c r="B953" s="217">
        <v>799</v>
      </c>
    </row>
    <row r="954" spans="2:2" ht="18.75" x14ac:dyDescent="0.25">
      <c r="B954" s="218">
        <v>785</v>
      </c>
    </row>
    <row r="955" spans="2:2" ht="18.75" x14ac:dyDescent="0.25">
      <c r="B955" s="217">
        <v>775</v>
      </c>
    </row>
    <row r="956" spans="2:2" ht="18.75" x14ac:dyDescent="0.25">
      <c r="B956" s="218">
        <v>898</v>
      </c>
    </row>
    <row r="957" spans="2:2" ht="18.75" x14ac:dyDescent="0.25">
      <c r="B957" s="217">
        <v>796</v>
      </c>
    </row>
    <row r="958" spans="2:2" ht="18.75" x14ac:dyDescent="0.25">
      <c r="B958" s="218">
        <v>787</v>
      </c>
    </row>
    <row r="959" spans="2:2" ht="18.75" x14ac:dyDescent="0.25">
      <c r="B959" s="217" t="s">
        <v>662</v>
      </c>
    </row>
    <row r="960" spans="2:2" ht="18.75" x14ac:dyDescent="0.25">
      <c r="B960" s="218">
        <v>805</v>
      </c>
    </row>
    <row r="961" spans="2:2" ht="18.75" x14ac:dyDescent="0.25">
      <c r="B961" s="217" t="s">
        <v>663</v>
      </c>
    </row>
    <row r="962" spans="2:2" ht="18.75" x14ac:dyDescent="0.25">
      <c r="B962" s="218">
        <v>803</v>
      </c>
    </row>
    <row r="963" spans="2:2" ht="18.75" x14ac:dyDescent="0.25">
      <c r="B963" s="217">
        <v>801</v>
      </c>
    </row>
    <row r="964" spans="2:2" ht="18.75" x14ac:dyDescent="0.25">
      <c r="B964" s="218">
        <v>786</v>
      </c>
    </row>
    <row r="965" spans="2:2" ht="18.75" x14ac:dyDescent="0.25">
      <c r="B965" s="217">
        <v>797</v>
      </c>
    </row>
    <row r="966" spans="2:2" ht="18.75" x14ac:dyDescent="0.25">
      <c r="B966" s="218">
        <v>802</v>
      </c>
    </row>
    <row r="967" spans="2:2" ht="18.75" x14ac:dyDescent="0.25">
      <c r="B967" s="217">
        <v>804</v>
      </c>
    </row>
    <row r="968" spans="2:2" ht="18.75" x14ac:dyDescent="0.25">
      <c r="B968" s="218">
        <v>806</v>
      </c>
    </row>
    <row r="969" spans="2:2" ht="18.75" x14ac:dyDescent="0.25">
      <c r="B969" s="217">
        <v>807</v>
      </c>
    </row>
    <row r="970" spans="2:2" ht="18.75" x14ac:dyDescent="0.25">
      <c r="B970" s="218">
        <v>782</v>
      </c>
    </row>
    <row r="971" spans="2:2" ht="18.75" x14ac:dyDescent="0.25">
      <c r="B971" s="217">
        <v>811</v>
      </c>
    </row>
    <row r="972" spans="2:2" ht="18.75" x14ac:dyDescent="0.25">
      <c r="B972" s="218">
        <v>812</v>
      </c>
    </row>
    <row r="973" spans="2:2" ht="18.75" x14ac:dyDescent="0.25">
      <c r="B973" s="217">
        <v>817</v>
      </c>
    </row>
    <row r="974" spans="2:2" ht="18.75" x14ac:dyDescent="0.25">
      <c r="B974" s="218">
        <v>815</v>
      </c>
    </row>
    <row r="975" spans="2:2" ht="18.75" x14ac:dyDescent="0.25">
      <c r="B975" s="217">
        <v>813</v>
      </c>
    </row>
    <row r="976" spans="2:2" ht="18.75" x14ac:dyDescent="0.25">
      <c r="B976" s="218">
        <v>778</v>
      </c>
    </row>
    <row r="977" spans="2:2" ht="18.75" x14ac:dyDescent="0.25">
      <c r="B977" s="217">
        <v>824</v>
      </c>
    </row>
    <row r="978" spans="2:2" ht="18.75" x14ac:dyDescent="0.25">
      <c r="B978" s="218">
        <v>821</v>
      </c>
    </row>
    <row r="979" spans="2:2" ht="18.75" x14ac:dyDescent="0.25">
      <c r="B979" s="217">
        <v>819</v>
      </c>
    </row>
    <row r="980" spans="2:2" ht="18.75" x14ac:dyDescent="0.25">
      <c r="B980" s="218">
        <v>900</v>
      </c>
    </row>
    <row r="981" spans="2:2" ht="18.75" x14ac:dyDescent="0.25">
      <c r="B981" s="217">
        <v>901</v>
      </c>
    </row>
    <row r="982" spans="2:2" ht="18.75" x14ac:dyDescent="0.25">
      <c r="B982" s="218">
        <v>902</v>
      </c>
    </row>
    <row r="983" spans="2:2" ht="18.75" x14ac:dyDescent="0.25">
      <c r="B983" s="217">
        <v>903</v>
      </c>
    </row>
    <row r="984" spans="2:2" ht="18.75" x14ac:dyDescent="0.25">
      <c r="B984" s="218">
        <v>904</v>
      </c>
    </row>
    <row r="985" spans="2:2" ht="18.75" x14ac:dyDescent="0.25">
      <c r="B985" s="217">
        <v>905</v>
      </c>
    </row>
    <row r="986" spans="2:2" ht="18.75" x14ac:dyDescent="0.25">
      <c r="B986" s="218" t="s">
        <v>664</v>
      </c>
    </row>
    <row r="987" spans="2:2" ht="18.75" x14ac:dyDescent="0.25">
      <c r="B987" s="217">
        <v>818</v>
      </c>
    </row>
    <row r="988" spans="2:2" ht="18.75" x14ac:dyDescent="0.25">
      <c r="B988" s="218">
        <v>725</v>
      </c>
    </row>
    <row r="989" spans="2:2" ht="18.75" x14ac:dyDescent="0.25">
      <c r="B989" s="217">
        <v>816</v>
      </c>
    </row>
    <row r="990" spans="2:2" ht="18.75" x14ac:dyDescent="0.25">
      <c r="B990" s="218" t="s">
        <v>665</v>
      </c>
    </row>
    <row r="991" spans="2:2" ht="18.75" x14ac:dyDescent="0.25">
      <c r="B991" s="217">
        <v>825</v>
      </c>
    </row>
    <row r="992" spans="2:2" ht="18.75" x14ac:dyDescent="0.25">
      <c r="B992" s="218">
        <v>822</v>
      </c>
    </row>
    <row r="993" spans="2:2" ht="18.75" x14ac:dyDescent="0.25">
      <c r="B993" s="217">
        <v>826</v>
      </c>
    </row>
    <row r="994" spans="2:2" ht="18.75" x14ac:dyDescent="0.25">
      <c r="B994" s="218">
        <v>827</v>
      </c>
    </row>
    <row r="995" spans="2:2" ht="18.75" x14ac:dyDescent="0.25">
      <c r="B995" s="217" t="s">
        <v>666</v>
      </c>
    </row>
    <row r="996" spans="2:2" ht="18.75" x14ac:dyDescent="0.25">
      <c r="B996" s="220" t="s">
        <v>667</v>
      </c>
    </row>
    <row r="997" spans="2:2" ht="18.75" x14ac:dyDescent="0.25">
      <c r="B997" s="217">
        <v>831</v>
      </c>
    </row>
    <row r="998" spans="2:2" ht="18.75" x14ac:dyDescent="0.25">
      <c r="B998" s="218">
        <v>835</v>
      </c>
    </row>
    <row r="999" spans="2:2" ht="18.75" x14ac:dyDescent="0.25">
      <c r="B999" s="217">
        <v>838</v>
      </c>
    </row>
    <row r="1000" spans="2:2" ht="18.75" x14ac:dyDescent="0.25">
      <c r="B1000" s="218">
        <v>832</v>
      </c>
    </row>
    <row r="1001" spans="2:2" ht="18.75" x14ac:dyDescent="0.25">
      <c r="B1001" s="217">
        <v>837</v>
      </c>
    </row>
    <row r="1002" spans="2:2" ht="18.75" x14ac:dyDescent="0.25">
      <c r="B1002" s="218">
        <v>836</v>
      </c>
    </row>
    <row r="1003" spans="2:2" ht="18.75" x14ac:dyDescent="0.25">
      <c r="B1003" s="217" t="s">
        <v>668</v>
      </c>
    </row>
    <row r="1004" spans="2:2" ht="18.75" x14ac:dyDescent="0.25">
      <c r="B1004" s="218">
        <v>830</v>
      </c>
    </row>
    <row r="1005" spans="2:2" ht="18.75" x14ac:dyDescent="0.25">
      <c r="B1005" s="217">
        <v>843</v>
      </c>
    </row>
    <row r="1006" spans="2:2" ht="18.75" x14ac:dyDescent="0.25">
      <c r="B1006" s="218">
        <v>839</v>
      </c>
    </row>
    <row r="1007" spans="2:2" ht="18.75" x14ac:dyDescent="0.25">
      <c r="B1007" s="217">
        <v>841</v>
      </c>
    </row>
    <row r="1008" spans="2:2" ht="18.75" x14ac:dyDescent="0.25">
      <c r="B1008" s="218" t="s">
        <v>669</v>
      </c>
    </row>
    <row r="1009" spans="2:2" ht="18.75" x14ac:dyDescent="0.25">
      <c r="B1009" s="217">
        <v>828</v>
      </c>
    </row>
    <row r="1010" spans="2:2" ht="18.75" x14ac:dyDescent="0.25">
      <c r="B1010" s="218">
        <v>848</v>
      </c>
    </row>
    <row r="1011" spans="2:2" ht="18.75" x14ac:dyDescent="0.25">
      <c r="B1011" s="217">
        <v>842</v>
      </c>
    </row>
    <row r="1012" spans="2:2" ht="18.75" x14ac:dyDescent="0.25">
      <c r="B1012" s="218">
        <v>849</v>
      </c>
    </row>
    <row r="1013" spans="2:2" ht="18.75" x14ac:dyDescent="0.25">
      <c r="B1013" s="217">
        <v>854</v>
      </c>
    </row>
    <row r="1014" spans="2:2" ht="18.75" x14ac:dyDescent="0.25">
      <c r="B1014" s="220" t="s">
        <v>670</v>
      </c>
    </row>
    <row r="1015" spans="2:2" ht="18.75" x14ac:dyDescent="0.25">
      <c r="B1015" s="217">
        <v>853</v>
      </c>
    </row>
    <row r="1016" spans="2:2" ht="18.75" x14ac:dyDescent="0.25">
      <c r="B1016" s="218">
        <v>850</v>
      </c>
    </row>
    <row r="1017" spans="2:2" ht="18.75" x14ac:dyDescent="0.25">
      <c r="B1017" s="217">
        <v>851</v>
      </c>
    </row>
    <row r="1018" spans="2:2" ht="18.75" x14ac:dyDescent="0.25">
      <c r="B1018" s="218">
        <v>852</v>
      </c>
    </row>
    <row r="1019" spans="2:2" ht="18.75" x14ac:dyDescent="0.25">
      <c r="B1019" s="217">
        <v>861</v>
      </c>
    </row>
    <row r="1020" spans="2:2" ht="18.75" x14ac:dyDescent="0.25">
      <c r="B1020" s="218">
        <v>860</v>
      </c>
    </row>
    <row r="1021" spans="2:2" ht="18.75" x14ac:dyDescent="0.25">
      <c r="B1021" s="217">
        <v>862</v>
      </c>
    </row>
    <row r="1022" spans="2:2" ht="18.75" x14ac:dyDescent="0.25">
      <c r="B1022" s="218">
        <v>859</v>
      </c>
    </row>
    <row r="1023" spans="2:2" ht="18.75" x14ac:dyDescent="0.25">
      <c r="B1023" s="217">
        <v>857</v>
      </c>
    </row>
    <row r="1024" spans="2:2" ht="18.75" x14ac:dyDescent="0.25">
      <c r="B1024" s="218">
        <v>864</v>
      </c>
    </row>
    <row r="1025" spans="2:2" ht="18.75" x14ac:dyDescent="0.25">
      <c r="B1025" s="217">
        <v>855</v>
      </c>
    </row>
    <row r="1026" spans="2:2" ht="18.75" x14ac:dyDescent="0.25">
      <c r="B1026" s="218">
        <v>845</v>
      </c>
    </row>
    <row r="1027" spans="2:2" ht="18.75" x14ac:dyDescent="0.25">
      <c r="B1027" s="217" t="s">
        <v>671</v>
      </c>
    </row>
    <row r="1028" spans="2:2" ht="18.75" x14ac:dyDescent="0.25">
      <c r="B1028" s="218">
        <v>844</v>
      </c>
    </row>
    <row r="1029" spans="2:2" ht="18.75" x14ac:dyDescent="0.25">
      <c r="B1029" s="217">
        <v>856</v>
      </c>
    </row>
    <row r="1030" spans="2:2" ht="18.75" x14ac:dyDescent="0.25">
      <c r="B1030" s="218">
        <v>865</v>
      </c>
    </row>
    <row r="1031" spans="2:2" ht="18.75" x14ac:dyDescent="0.25">
      <c r="B1031" s="217">
        <v>847</v>
      </c>
    </row>
    <row r="1032" spans="2:2" ht="18.75" x14ac:dyDescent="0.25">
      <c r="B1032" s="218">
        <v>869</v>
      </c>
    </row>
    <row r="1033" spans="2:2" ht="18.75" x14ac:dyDescent="0.25">
      <c r="B1033" s="217">
        <v>868</v>
      </c>
    </row>
    <row r="1034" spans="2:2" ht="18.75" x14ac:dyDescent="0.25">
      <c r="B1034" s="218">
        <v>866</v>
      </c>
    </row>
    <row r="1035" spans="2:2" ht="18.75" x14ac:dyDescent="0.25">
      <c r="B1035" s="217">
        <v>872</v>
      </c>
    </row>
    <row r="1036" spans="2:2" ht="18.75" x14ac:dyDescent="0.25">
      <c r="B1036" s="218">
        <v>870</v>
      </c>
    </row>
    <row r="1037" spans="2:2" ht="18.75" x14ac:dyDescent="0.25">
      <c r="B1037" s="217">
        <v>871</v>
      </c>
    </row>
    <row r="1038" spans="2:2" ht="18.75" x14ac:dyDescent="0.25">
      <c r="B1038" s="218">
        <v>874</v>
      </c>
    </row>
    <row r="1039" spans="2:2" ht="18.75" x14ac:dyDescent="0.25">
      <c r="B1039" s="217">
        <v>873</v>
      </c>
    </row>
    <row r="1040" spans="2:2" ht="18.75" x14ac:dyDescent="0.25">
      <c r="B1040" s="218">
        <v>867</v>
      </c>
    </row>
    <row r="1041" spans="2:2" ht="18.75" x14ac:dyDescent="0.25">
      <c r="B1041" s="217">
        <v>882</v>
      </c>
    </row>
    <row r="1042" spans="2:2" ht="18.75" x14ac:dyDescent="0.25">
      <c r="B1042" s="218">
        <v>878</v>
      </c>
    </row>
    <row r="1043" spans="2:2" ht="18.75" x14ac:dyDescent="0.25">
      <c r="B1043" s="219" t="s">
        <v>672</v>
      </c>
    </row>
    <row r="1044" spans="2:2" ht="18.75" x14ac:dyDescent="0.25">
      <c r="B1044" s="218">
        <v>881</v>
      </c>
    </row>
    <row r="1045" spans="2:2" ht="18.75" x14ac:dyDescent="0.25">
      <c r="B1045" s="217">
        <v>883</v>
      </c>
    </row>
    <row r="1046" spans="2:2" ht="18.75" x14ac:dyDescent="0.25">
      <c r="B1046" s="218">
        <v>879</v>
      </c>
    </row>
    <row r="1047" spans="2:2" ht="18.75" x14ac:dyDescent="0.25">
      <c r="B1047" s="217">
        <v>877</v>
      </c>
    </row>
    <row r="1048" spans="2:2" ht="18.75" x14ac:dyDescent="0.25">
      <c r="B1048" s="218">
        <v>863</v>
      </c>
    </row>
    <row r="1049" spans="2:2" ht="18.75" x14ac:dyDescent="0.25">
      <c r="B1049" s="217">
        <v>888</v>
      </c>
    </row>
    <row r="1050" spans="2:2" ht="18.75" x14ac:dyDescent="0.25">
      <c r="B1050" s="218">
        <v>890</v>
      </c>
    </row>
    <row r="1051" spans="2:2" ht="18.75" x14ac:dyDescent="0.25">
      <c r="B1051" s="217">
        <v>885</v>
      </c>
    </row>
    <row r="1052" spans="2:2" ht="18.75" x14ac:dyDescent="0.25">
      <c r="B1052" s="218">
        <v>840</v>
      </c>
    </row>
    <row r="1053" spans="2:2" ht="18.75" x14ac:dyDescent="0.25">
      <c r="B1053" s="217">
        <v>887</v>
      </c>
    </row>
    <row r="1054" spans="2:2" ht="18.75" x14ac:dyDescent="0.25">
      <c r="B1054" s="218">
        <v>896</v>
      </c>
    </row>
    <row r="1055" spans="2:2" ht="18.75" x14ac:dyDescent="0.25">
      <c r="B1055" s="217">
        <v>895</v>
      </c>
    </row>
    <row r="1056" spans="2:2" ht="18.75" x14ac:dyDescent="0.25">
      <c r="B1056" s="218">
        <v>897</v>
      </c>
    </row>
    <row r="1057" spans="2:2" ht="18.75" x14ac:dyDescent="0.25">
      <c r="B1057" s="217">
        <v>875</v>
      </c>
    </row>
    <row r="1058" spans="2:2" ht="18.75" x14ac:dyDescent="0.25">
      <c r="B1058" s="218">
        <v>876</v>
      </c>
    </row>
    <row r="1059" spans="2:2" ht="18.75" x14ac:dyDescent="0.25">
      <c r="B1059" s="217">
        <v>894</v>
      </c>
    </row>
    <row r="1060" spans="2:2" ht="18.75" x14ac:dyDescent="0.25">
      <c r="B1060" s="218">
        <v>858</v>
      </c>
    </row>
    <row r="1061" spans="2:2" ht="18.75" x14ac:dyDescent="0.25">
      <c r="B1061" s="217">
        <v>892</v>
      </c>
    </row>
    <row r="1062" spans="2:2" ht="18.75" x14ac:dyDescent="0.25">
      <c r="B1062" s="218">
        <v>886</v>
      </c>
    </row>
    <row r="1063" spans="2:2" ht="18.75" x14ac:dyDescent="0.25">
      <c r="B1063" s="217">
        <v>899</v>
      </c>
    </row>
    <row r="1064" spans="2:2" ht="18.75" x14ac:dyDescent="0.25">
      <c r="B1064" s="218">
        <v>950</v>
      </c>
    </row>
    <row r="1065" spans="2:2" ht="18.75" x14ac:dyDescent="0.25">
      <c r="B1065" s="217">
        <v>953</v>
      </c>
    </row>
    <row r="1066" spans="2:2" ht="18.75" x14ac:dyDescent="0.25">
      <c r="B1066" s="218">
        <v>909</v>
      </c>
    </row>
    <row r="1067" spans="2:2" ht="18.75" x14ac:dyDescent="0.25">
      <c r="B1067" s="217">
        <v>893</v>
      </c>
    </row>
    <row r="1068" spans="2:2" ht="18.75" x14ac:dyDescent="0.25">
      <c r="B1068" s="218">
        <v>954</v>
      </c>
    </row>
    <row r="1069" spans="2:2" ht="18.75" x14ac:dyDescent="0.25">
      <c r="B1069" s="217">
        <v>636</v>
      </c>
    </row>
    <row r="1070" spans="2:2" ht="18.75" x14ac:dyDescent="0.25">
      <c r="B1070" s="218">
        <v>911</v>
      </c>
    </row>
    <row r="1071" spans="2:2" ht="18.75" x14ac:dyDescent="0.25">
      <c r="B1071" s="217">
        <v>908</v>
      </c>
    </row>
    <row r="1072" spans="2:2" ht="18.75" x14ac:dyDescent="0.25">
      <c r="B1072" s="218">
        <v>884</v>
      </c>
    </row>
    <row r="1073" spans="2:2" ht="18.75" x14ac:dyDescent="0.25">
      <c r="B1073" s="217">
        <v>891</v>
      </c>
    </row>
    <row r="1074" spans="2:2" ht="18.75" x14ac:dyDescent="0.25">
      <c r="B1074" s="218">
        <v>907</v>
      </c>
    </row>
    <row r="1075" spans="2:2" ht="18.75" x14ac:dyDescent="0.25">
      <c r="B1075" s="217">
        <v>948</v>
      </c>
    </row>
    <row r="1076" spans="2:2" ht="18.75" x14ac:dyDescent="0.25">
      <c r="B1076" s="218">
        <v>910</v>
      </c>
    </row>
    <row r="1077" spans="2:2" ht="18.75" x14ac:dyDescent="0.25">
      <c r="B1077" s="217">
        <v>919</v>
      </c>
    </row>
    <row r="1078" spans="2:2" ht="18.75" x14ac:dyDescent="0.25">
      <c r="B1078" s="218">
        <v>913</v>
      </c>
    </row>
    <row r="1079" spans="2:2" ht="18.75" x14ac:dyDescent="0.25">
      <c r="B1079" s="217">
        <v>918</v>
      </c>
    </row>
    <row r="1080" spans="2:2" ht="18.75" x14ac:dyDescent="0.25">
      <c r="B1080" s="218">
        <v>912</v>
      </c>
    </row>
    <row r="1081" spans="2:2" ht="18.75" x14ac:dyDescent="0.25">
      <c r="B1081" s="217">
        <v>914</v>
      </c>
    </row>
    <row r="1082" spans="2:2" ht="18.75" x14ac:dyDescent="0.25">
      <c r="B1082" s="218">
        <v>916</v>
      </c>
    </row>
    <row r="1083" spans="2:2" ht="18.75" x14ac:dyDescent="0.25">
      <c r="B1083" s="217">
        <v>925</v>
      </c>
    </row>
    <row r="1084" spans="2:2" ht="18.75" x14ac:dyDescent="0.25">
      <c r="B1084" s="218">
        <v>922</v>
      </c>
    </row>
    <row r="1085" spans="2:2" ht="18.75" x14ac:dyDescent="0.25">
      <c r="B1085" s="217">
        <v>930</v>
      </c>
    </row>
    <row r="1086" spans="2:2" ht="18.75" x14ac:dyDescent="0.25">
      <c r="B1086" s="218">
        <v>927</v>
      </c>
    </row>
    <row r="1087" spans="2:2" ht="18.75" x14ac:dyDescent="0.25">
      <c r="B1087" s="217">
        <v>923</v>
      </c>
    </row>
    <row r="1088" spans="2:2" ht="18.75" x14ac:dyDescent="0.25">
      <c r="B1088" s="218">
        <v>941</v>
      </c>
    </row>
    <row r="1089" spans="2:2" ht="18.75" x14ac:dyDescent="0.25">
      <c r="B1089" s="217">
        <v>929</v>
      </c>
    </row>
    <row r="1090" spans="2:2" ht="18.75" x14ac:dyDescent="0.25">
      <c r="B1090" s="218">
        <v>938</v>
      </c>
    </row>
    <row r="1091" spans="2:2" ht="18.75" x14ac:dyDescent="0.25">
      <c r="B1091" s="217">
        <v>939</v>
      </c>
    </row>
    <row r="1092" spans="2:2" ht="18.75" x14ac:dyDescent="0.25">
      <c r="B1092" s="218">
        <v>917</v>
      </c>
    </row>
    <row r="1093" spans="2:2" ht="18.75" x14ac:dyDescent="0.25">
      <c r="B1093" s="217">
        <v>943</v>
      </c>
    </row>
    <row r="1094" spans="2:2" ht="18.75" x14ac:dyDescent="0.25">
      <c r="B1094" s="218" t="s">
        <v>673</v>
      </c>
    </row>
    <row r="1095" spans="2:2" ht="18.75" x14ac:dyDescent="0.25">
      <c r="B1095" s="217">
        <v>940</v>
      </c>
    </row>
    <row r="1096" spans="2:2" ht="18.75" x14ac:dyDescent="0.25">
      <c r="B1096" s="218">
        <v>926</v>
      </c>
    </row>
    <row r="1097" spans="2:2" ht="18.75" x14ac:dyDescent="0.25">
      <c r="B1097" s="217">
        <v>932</v>
      </c>
    </row>
    <row r="1098" spans="2:2" ht="18.75" x14ac:dyDescent="0.25">
      <c r="B1098" s="218">
        <v>944</v>
      </c>
    </row>
    <row r="1099" spans="2:2" ht="18.75" x14ac:dyDescent="0.25">
      <c r="B1099" s="217">
        <v>960</v>
      </c>
    </row>
    <row r="1100" spans="2:2" ht="18.75" x14ac:dyDescent="0.25">
      <c r="B1100" s="218">
        <v>958</v>
      </c>
    </row>
    <row r="1101" spans="2:2" ht="18.75" x14ac:dyDescent="0.25">
      <c r="B1101" s="217">
        <v>957</v>
      </c>
    </row>
    <row r="1102" spans="2:2" ht="18.75" x14ac:dyDescent="0.25">
      <c r="B1102" s="218">
        <v>956</v>
      </c>
    </row>
    <row r="1103" spans="2:2" ht="18.75" x14ac:dyDescent="0.25">
      <c r="B1103" s="217">
        <v>955</v>
      </c>
    </row>
    <row r="1104" spans="2:2" ht="18.75" x14ac:dyDescent="0.25">
      <c r="B1104" s="218" t="s">
        <v>674</v>
      </c>
    </row>
    <row r="1105" spans="2:2" ht="18.75" x14ac:dyDescent="0.25">
      <c r="B1105" s="217">
        <v>889</v>
      </c>
    </row>
    <row r="1106" spans="2:2" ht="18.75" x14ac:dyDescent="0.25">
      <c r="B1106" s="218">
        <v>964</v>
      </c>
    </row>
    <row r="1107" spans="2:2" ht="18.75" x14ac:dyDescent="0.25">
      <c r="B1107" s="217">
        <v>961</v>
      </c>
    </row>
    <row r="1108" spans="2:2" ht="18.75" x14ac:dyDescent="0.25">
      <c r="B1108" s="218">
        <v>962</v>
      </c>
    </row>
    <row r="1109" spans="2:2" ht="18.75" x14ac:dyDescent="0.25">
      <c r="B1109" s="217">
        <v>963</v>
      </c>
    </row>
    <row r="1110" spans="2:2" ht="18.75" x14ac:dyDescent="0.25">
      <c r="B1110" s="218">
        <v>942</v>
      </c>
    </row>
    <row r="1111" spans="2:2" ht="18.75" x14ac:dyDescent="0.25">
      <c r="B1111" s="217" t="s">
        <v>675</v>
      </c>
    </row>
    <row r="1112" spans="2:2" ht="18.75" x14ac:dyDescent="0.25">
      <c r="B1112" s="218">
        <v>945</v>
      </c>
    </row>
    <row r="1113" spans="2:2" ht="18.75" x14ac:dyDescent="0.25">
      <c r="B1113" s="217">
        <v>966</v>
      </c>
    </row>
    <row r="1114" spans="2:2" ht="18.75" x14ac:dyDescent="0.25">
      <c r="B1114" s="218">
        <v>967</v>
      </c>
    </row>
    <row r="1115" spans="2:2" ht="18.75" x14ac:dyDescent="0.25">
      <c r="B1115" s="217">
        <v>969</v>
      </c>
    </row>
    <row r="1116" spans="2:2" ht="18.75" x14ac:dyDescent="0.25">
      <c r="B1116" s="218">
        <v>970</v>
      </c>
    </row>
    <row r="1117" spans="2:2" ht="18.75" x14ac:dyDescent="0.25">
      <c r="B1117" s="217">
        <v>971</v>
      </c>
    </row>
    <row r="1118" spans="2:2" ht="18.75" x14ac:dyDescent="0.25">
      <c r="B1118" s="218">
        <v>972</v>
      </c>
    </row>
    <row r="1119" spans="2:2" ht="18.75" x14ac:dyDescent="0.25">
      <c r="B1119" s="217">
        <v>976</v>
      </c>
    </row>
    <row r="1120" spans="2:2" ht="18.75" x14ac:dyDescent="0.25">
      <c r="B1120" s="218">
        <v>975</v>
      </c>
    </row>
    <row r="1121" spans="2:2" ht="18.75" x14ac:dyDescent="0.25">
      <c r="B1121" s="217">
        <v>981</v>
      </c>
    </row>
    <row r="1122" spans="2:2" ht="18.75" x14ac:dyDescent="0.25">
      <c r="B1122" s="218">
        <v>979</v>
      </c>
    </row>
    <row r="1123" spans="2:2" ht="18.75" x14ac:dyDescent="0.25">
      <c r="B1123" s="217">
        <v>978</v>
      </c>
    </row>
    <row r="1124" spans="2:2" ht="18.75" x14ac:dyDescent="0.25">
      <c r="B1124" s="218">
        <v>980</v>
      </c>
    </row>
    <row r="1125" spans="2:2" ht="18.75" x14ac:dyDescent="0.25">
      <c r="B1125" s="217">
        <v>982</v>
      </c>
    </row>
    <row r="1126" spans="2:2" ht="18.75" x14ac:dyDescent="0.25">
      <c r="B1126" s="218">
        <v>986</v>
      </c>
    </row>
    <row r="1127" spans="2:2" ht="18.75" x14ac:dyDescent="0.25">
      <c r="B1127" s="217">
        <v>984</v>
      </c>
    </row>
    <row r="1128" spans="2:2" ht="18.75" x14ac:dyDescent="0.25">
      <c r="B1128" s="218">
        <v>992</v>
      </c>
    </row>
    <row r="1129" spans="2:2" ht="18.75" x14ac:dyDescent="0.25">
      <c r="B1129" s="217">
        <v>989</v>
      </c>
    </row>
    <row r="1130" spans="2:2" ht="18.75" x14ac:dyDescent="0.25">
      <c r="B1130" s="218">
        <v>987</v>
      </c>
    </row>
    <row r="1131" spans="2:2" ht="18.75" x14ac:dyDescent="0.25">
      <c r="B1131" s="217">
        <v>993</v>
      </c>
    </row>
    <row r="1132" spans="2:2" ht="18.75" x14ac:dyDescent="0.25">
      <c r="B1132" s="218">
        <v>998</v>
      </c>
    </row>
    <row r="1133" spans="2:2" ht="18.75" x14ac:dyDescent="0.25">
      <c r="B1133" s="217">
        <v>985</v>
      </c>
    </row>
    <row r="1134" spans="2:2" ht="18.75" x14ac:dyDescent="0.25">
      <c r="B1134" s="218">
        <v>999</v>
      </c>
    </row>
    <row r="1135" spans="2:2" ht="18.75" x14ac:dyDescent="0.25">
      <c r="B1135" s="217">
        <v>1000</v>
      </c>
    </row>
    <row r="1136" spans="2:2" ht="18.75" x14ac:dyDescent="0.25">
      <c r="B1136" s="218">
        <v>1002</v>
      </c>
    </row>
    <row r="1137" spans="2:2" ht="18.75" x14ac:dyDescent="0.25">
      <c r="B1137" s="217">
        <v>997</v>
      </c>
    </row>
    <row r="1138" spans="2:2" ht="18.75" x14ac:dyDescent="0.25">
      <c r="B1138" s="218">
        <v>990</v>
      </c>
    </row>
    <row r="1139" spans="2:2" ht="18.75" x14ac:dyDescent="0.25">
      <c r="B1139" s="217">
        <v>1001</v>
      </c>
    </row>
    <row r="1140" spans="2:2" ht="18.75" x14ac:dyDescent="0.25">
      <c r="B1140" s="218">
        <v>996</v>
      </c>
    </row>
    <row r="1141" spans="2:2" ht="18.75" x14ac:dyDescent="0.25">
      <c r="B1141" s="217">
        <v>1009</v>
      </c>
    </row>
    <row r="1142" spans="2:2" ht="18.75" x14ac:dyDescent="0.25">
      <c r="B1142" s="218">
        <v>1005</v>
      </c>
    </row>
    <row r="1143" spans="2:2" ht="18.75" x14ac:dyDescent="0.25">
      <c r="B1143" s="217" t="s">
        <v>676</v>
      </c>
    </row>
    <row r="1144" spans="2:2" ht="18.75" x14ac:dyDescent="0.25">
      <c r="B1144" s="218">
        <v>1007</v>
      </c>
    </row>
    <row r="1145" spans="2:2" ht="18.75" x14ac:dyDescent="0.25">
      <c r="B1145" s="217">
        <v>1006</v>
      </c>
    </row>
    <row r="1146" spans="2:2" ht="18.75" x14ac:dyDescent="0.25">
      <c r="B1146" s="218">
        <v>1008</v>
      </c>
    </row>
    <row r="1147" spans="2:2" ht="18.75" x14ac:dyDescent="0.25">
      <c r="B1147" s="217">
        <v>1010</v>
      </c>
    </row>
    <row r="1148" spans="2:2" ht="18.75" x14ac:dyDescent="0.25">
      <c r="B1148" s="218">
        <v>1015</v>
      </c>
    </row>
    <row r="1149" spans="2:2" ht="18.75" x14ac:dyDescent="0.25">
      <c r="B1149" s="217">
        <v>1016</v>
      </c>
    </row>
    <row r="1150" spans="2:2" ht="18.75" x14ac:dyDescent="0.25">
      <c r="B1150" s="218">
        <v>1018</v>
      </c>
    </row>
    <row r="1151" spans="2:2" ht="18.75" x14ac:dyDescent="0.25">
      <c r="B1151" s="217">
        <v>1019</v>
      </c>
    </row>
    <row r="1152" spans="2:2" ht="18.75" x14ac:dyDescent="0.25">
      <c r="B1152" s="218">
        <v>1021</v>
      </c>
    </row>
    <row r="1153" spans="2:2" ht="18.75" x14ac:dyDescent="0.25">
      <c r="B1153" s="217">
        <v>1025</v>
      </c>
    </row>
    <row r="1154" spans="2:2" ht="18.75" x14ac:dyDescent="0.25">
      <c r="B1154" s="218">
        <v>1024</v>
      </c>
    </row>
    <row r="1155" spans="2:2" ht="18.75" x14ac:dyDescent="0.25">
      <c r="B1155" s="217">
        <v>1020</v>
      </c>
    </row>
    <row r="1156" spans="2:2" ht="18.75" x14ac:dyDescent="0.25">
      <c r="B1156" s="218">
        <v>1022</v>
      </c>
    </row>
    <row r="1157" spans="2:2" ht="18.75" x14ac:dyDescent="0.25">
      <c r="B1157" s="217">
        <v>1023</v>
      </c>
    </row>
    <row r="1158" spans="2:2" ht="18.75" x14ac:dyDescent="0.25">
      <c r="B1158" s="218">
        <v>1028</v>
      </c>
    </row>
    <row r="1159" spans="2:2" ht="18.75" x14ac:dyDescent="0.25">
      <c r="B1159" s="217">
        <v>1027</v>
      </c>
    </row>
    <row r="1160" spans="2:2" ht="18.75" x14ac:dyDescent="0.25">
      <c r="B1160" s="218">
        <v>1029</v>
      </c>
    </row>
    <row r="1161" spans="2:2" ht="18.75" x14ac:dyDescent="0.25">
      <c r="B1161" s="217">
        <v>1033</v>
      </c>
    </row>
    <row r="1162" spans="2:2" ht="18.75" x14ac:dyDescent="0.25">
      <c r="B1162" s="218">
        <v>1031</v>
      </c>
    </row>
    <row r="1163" spans="2:2" ht="18.75" x14ac:dyDescent="0.25">
      <c r="B1163" s="217">
        <v>1035</v>
      </c>
    </row>
    <row r="1164" spans="2:2" ht="18.75" x14ac:dyDescent="0.25">
      <c r="B1164" s="218">
        <v>1030</v>
      </c>
    </row>
    <row r="1165" spans="2:2" ht="18.75" x14ac:dyDescent="0.25">
      <c r="B1165" s="217">
        <v>1038</v>
      </c>
    </row>
    <row r="1166" spans="2:2" ht="18.75" x14ac:dyDescent="0.25">
      <c r="B1166" s="218">
        <v>1040</v>
      </c>
    </row>
    <row r="1167" spans="2:2" ht="18.75" x14ac:dyDescent="0.25">
      <c r="B1167" s="217">
        <v>1042</v>
      </c>
    </row>
    <row r="1168" spans="2:2" ht="18.75" x14ac:dyDescent="0.25">
      <c r="B1168" s="218">
        <v>1041</v>
      </c>
    </row>
    <row r="1169" spans="2:2" ht="18.75" x14ac:dyDescent="0.25">
      <c r="B1169" s="217" t="s">
        <v>677</v>
      </c>
    </row>
    <row r="1170" spans="2:2" ht="18.75" x14ac:dyDescent="0.25">
      <c r="B1170" s="218">
        <v>1044</v>
      </c>
    </row>
    <row r="1171" spans="2:2" ht="18.75" x14ac:dyDescent="0.25">
      <c r="B1171" s="217">
        <v>1045</v>
      </c>
    </row>
    <row r="1172" spans="2:2" ht="18.75" x14ac:dyDescent="0.25">
      <c r="B1172" s="218">
        <v>1043</v>
      </c>
    </row>
    <row r="1173" spans="2:2" ht="18.75" x14ac:dyDescent="0.25">
      <c r="B1173" s="217">
        <v>1055</v>
      </c>
    </row>
    <row r="1174" spans="2:2" ht="18.75" x14ac:dyDescent="0.25">
      <c r="B1174" s="218">
        <v>1054</v>
      </c>
    </row>
    <row r="1175" spans="2:2" ht="18.75" x14ac:dyDescent="0.25">
      <c r="B1175" s="217">
        <v>1052</v>
      </c>
    </row>
    <row r="1176" spans="2:2" ht="18.75" x14ac:dyDescent="0.25">
      <c r="B1176" s="218">
        <v>1050</v>
      </c>
    </row>
    <row r="1177" spans="2:2" ht="18.75" x14ac:dyDescent="0.25">
      <c r="B1177" s="217">
        <v>1011</v>
      </c>
    </row>
    <row r="1178" spans="2:2" ht="18.75" x14ac:dyDescent="0.25">
      <c r="B1178" s="218">
        <v>1049</v>
      </c>
    </row>
    <row r="1179" spans="2:2" ht="18.75" x14ac:dyDescent="0.25">
      <c r="B1179" s="217">
        <v>1047</v>
      </c>
    </row>
    <row r="1180" spans="2:2" ht="18.75" x14ac:dyDescent="0.25">
      <c r="B1180" s="218">
        <v>1048</v>
      </c>
    </row>
    <row r="1181" spans="2:2" ht="18.75" x14ac:dyDescent="0.25">
      <c r="B1181" s="217">
        <v>1053</v>
      </c>
    </row>
    <row r="1182" spans="2:2" ht="18.75" x14ac:dyDescent="0.25">
      <c r="B1182" s="218">
        <v>1058</v>
      </c>
    </row>
    <row r="1183" spans="2:2" ht="18.75" x14ac:dyDescent="0.25">
      <c r="B1183" s="217">
        <v>1057</v>
      </c>
    </row>
    <row r="1184" spans="2:2" ht="18.75" x14ac:dyDescent="0.25">
      <c r="B1184" s="218">
        <v>1059</v>
      </c>
    </row>
    <row r="1185" spans="2:2" ht="18.75" x14ac:dyDescent="0.25">
      <c r="B1185" s="217">
        <v>1062</v>
      </c>
    </row>
    <row r="1186" spans="2:2" ht="18.75" x14ac:dyDescent="0.25">
      <c r="B1186" s="218">
        <v>1051</v>
      </c>
    </row>
    <row r="1187" spans="2:2" ht="18.75" x14ac:dyDescent="0.25">
      <c r="B1187" s="217">
        <v>1061</v>
      </c>
    </row>
    <row r="1188" spans="2:2" ht="18.75" x14ac:dyDescent="0.25">
      <c r="B1188" s="218">
        <v>1065</v>
      </c>
    </row>
    <row r="1189" spans="2:2" ht="18.75" x14ac:dyDescent="0.25">
      <c r="B1189" s="217">
        <v>1060</v>
      </c>
    </row>
    <row r="1190" spans="2:2" ht="18.75" x14ac:dyDescent="0.25">
      <c r="B1190" s="218">
        <v>1063</v>
      </c>
    </row>
    <row r="1191" spans="2:2" ht="18.75" x14ac:dyDescent="0.25">
      <c r="B1191" s="217">
        <v>1068</v>
      </c>
    </row>
    <row r="1192" spans="2:2" ht="18.75" x14ac:dyDescent="0.25">
      <c r="B1192" s="218">
        <v>1066</v>
      </c>
    </row>
    <row r="1193" spans="2:2" ht="18.75" x14ac:dyDescent="0.25">
      <c r="B1193" s="217">
        <v>1067</v>
      </c>
    </row>
    <row r="1194" spans="2:2" ht="18.75" x14ac:dyDescent="0.25">
      <c r="B1194" s="218">
        <v>1071</v>
      </c>
    </row>
    <row r="1195" spans="2:2" ht="18.75" x14ac:dyDescent="0.25">
      <c r="B1195" s="217">
        <v>1079</v>
      </c>
    </row>
    <row r="1196" spans="2:2" ht="18.75" x14ac:dyDescent="0.25">
      <c r="B1196" s="218">
        <v>1077</v>
      </c>
    </row>
    <row r="1197" spans="2:2" ht="18.75" x14ac:dyDescent="0.25">
      <c r="B1197" s="217">
        <v>1072</v>
      </c>
    </row>
    <row r="1198" spans="2:2" ht="18.75" x14ac:dyDescent="0.25">
      <c r="B1198" s="218">
        <v>1083</v>
      </c>
    </row>
    <row r="1199" spans="2:2" ht="18.75" x14ac:dyDescent="0.25">
      <c r="B1199" s="217">
        <v>1075</v>
      </c>
    </row>
    <row r="1200" spans="2:2" ht="18.75" x14ac:dyDescent="0.25">
      <c r="B1200" s="218">
        <v>1076</v>
      </c>
    </row>
    <row r="1201" spans="2:2" ht="18.75" x14ac:dyDescent="0.25">
      <c r="B1201" s="217">
        <v>1080</v>
      </c>
    </row>
    <row r="1202" spans="2:2" ht="18.75" x14ac:dyDescent="0.25">
      <c r="B1202" s="218">
        <v>1084</v>
      </c>
    </row>
    <row r="1203" spans="2:2" ht="18.75" x14ac:dyDescent="0.25">
      <c r="B1203" s="217">
        <v>1082</v>
      </c>
    </row>
    <row r="1204" spans="2:2" ht="18.75" x14ac:dyDescent="0.25">
      <c r="B1204" s="218">
        <v>1085</v>
      </c>
    </row>
    <row r="1205" spans="2:2" ht="18.75" x14ac:dyDescent="0.25">
      <c r="B1205" s="217">
        <v>1087</v>
      </c>
    </row>
    <row r="1206" spans="2:2" ht="18.75" x14ac:dyDescent="0.25">
      <c r="B1206" s="218">
        <v>1074</v>
      </c>
    </row>
    <row r="1207" spans="2:2" ht="18.75" x14ac:dyDescent="0.25">
      <c r="B1207" s="217">
        <v>1090</v>
      </c>
    </row>
    <row r="1208" spans="2:2" ht="18.75" x14ac:dyDescent="0.25">
      <c r="B1208" s="218">
        <v>1094</v>
      </c>
    </row>
    <row r="1209" spans="2:2" ht="18.75" x14ac:dyDescent="0.25">
      <c r="B1209" s="217">
        <v>1095</v>
      </c>
    </row>
    <row r="1210" spans="2:2" ht="18.75" x14ac:dyDescent="0.25">
      <c r="B1210" s="218">
        <v>1056</v>
      </c>
    </row>
    <row r="1211" spans="2:2" ht="18.75" x14ac:dyDescent="0.25">
      <c r="B1211" s="217">
        <v>1103</v>
      </c>
    </row>
    <row r="1212" spans="2:2" ht="18.75" x14ac:dyDescent="0.25">
      <c r="B1212" s="218">
        <v>1105</v>
      </c>
    </row>
    <row r="1213" spans="2:2" ht="18.75" x14ac:dyDescent="0.25">
      <c r="B1213" s="217" t="s">
        <v>678</v>
      </c>
    </row>
    <row r="1214" spans="2:2" ht="18.75" x14ac:dyDescent="0.25">
      <c r="B1214" s="218">
        <v>1096</v>
      </c>
    </row>
    <row r="1215" spans="2:2" ht="18.75" x14ac:dyDescent="0.25">
      <c r="B1215" s="217">
        <v>1081</v>
      </c>
    </row>
    <row r="1216" spans="2:2" ht="18.75" x14ac:dyDescent="0.25">
      <c r="B1216" s="218">
        <v>1064</v>
      </c>
    </row>
    <row r="1217" spans="2:2" ht="18.75" x14ac:dyDescent="0.25">
      <c r="B1217" s="217">
        <v>1104</v>
      </c>
    </row>
    <row r="1218" spans="2:2" ht="18.75" x14ac:dyDescent="0.25">
      <c r="B1218" s="218">
        <v>1093</v>
      </c>
    </row>
    <row r="1219" spans="2:2" ht="18.75" x14ac:dyDescent="0.25">
      <c r="B1219" s="217">
        <v>1111</v>
      </c>
    </row>
    <row r="1220" spans="2:2" ht="18.75" x14ac:dyDescent="0.25">
      <c r="B1220" s="218">
        <v>1117</v>
      </c>
    </row>
    <row r="1221" spans="2:2" ht="18.75" x14ac:dyDescent="0.25">
      <c r="B1221" s="217">
        <v>1110</v>
      </c>
    </row>
    <row r="1222" spans="2:2" ht="18.75" x14ac:dyDescent="0.25">
      <c r="B1222" s="218">
        <v>1113</v>
      </c>
    </row>
    <row r="1223" spans="2:2" ht="18.75" x14ac:dyDescent="0.25">
      <c r="B1223" s="217">
        <v>1118</v>
      </c>
    </row>
    <row r="1224" spans="2:2" ht="18.75" x14ac:dyDescent="0.25">
      <c r="B1224" s="218">
        <v>1102</v>
      </c>
    </row>
    <row r="1225" spans="2:2" ht="18.75" x14ac:dyDescent="0.25">
      <c r="B1225" s="217">
        <v>1115</v>
      </c>
    </row>
    <row r="1226" spans="2:2" ht="18.75" x14ac:dyDescent="0.25">
      <c r="B1226" s="218">
        <v>1116</v>
      </c>
    </row>
    <row r="1227" spans="2:2" ht="18.75" x14ac:dyDescent="0.25">
      <c r="B1227" s="217">
        <v>1114</v>
      </c>
    </row>
    <row r="1228" spans="2:2" ht="18.75" x14ac:dyDescent="0.25">
      <c r="B1228" s="218">
        <v>1078</v>
      </c>
    </row>
    <row r="1229" spans="2:2" ht="18.75" x14ac:dyDescent="0.25">
      <c r="B1229" s="217">
        <v>1112</v>
      </c>
    </row>
    <row r="1230" spans="2:2" ht="18.75" x14ac:dyDescent="0.25">
      <c r="B1230" s="218">
        <v>1125</v>
      </c>
    </row>
    <row r="1231" spans="2:2" ht="18.75" x14ac:dyDescent="0.25">
      <c r="B1231" s="217">
        <v>1108</v>
      </c>
    </row>
    <row r="1232" spans="2:2" ht="18.75" x14ac:dyDescent="0.25">
      <c r="B1232" s="218">
        <v>1126</v>
      </c>
    </row>
    <row r="1233" spans="2:2" ht="18.75" x14ac:dyDescent="0.25">
      <c r="B1233" s="217">
        <v>1127</v>
      </c>
    </row>
    <row r="1234" spans="2:2" ht="18.75" x14ac:dyDescent="0.25">
      <c r="B1234" s="218">
        <v>1122</v>
      </c>
    </row>
    <row r="1235" spans="2:2" ht="18.75" x14ac:dyDescent="0.25">
      <c r="B1235" s="217">
        <v>1128</v>
      </c>
    </row>
    <row r="1236" spans="2:2" ht="18.75" x14ac:dyDescent="0.25">
      <c r="B1236" s="218">
        <v>1134</v>
      </c>
    </row>
    <row r="1237" spans="2:2" ht="18.75" x14ac:dyDescent="0.25">
      <c r="B1237" s="217">
        <v>1132</v>
      </c>
    </row>
    <row r="1238" spans="2:2" ht="18.75" x14ac:dyDescent="0.25">
      <c r="B1238" s="218">
        <v>1141</v>
      </c>
    </row>
    <row r="1239" spans="2:2" ht="18.75" x14ac:dyDescent="0.25">
      <c r="B1239" s="217">
        <v>1138</v>
      </c>
    </row>
    <row r="1240" spans="2:2" ht="18.75" x14ac:dyDescent="0.25">
      <c r="B1240" s="218">
        <v>1120</v>
      </c>
    </row>
    <row r="1241" spans="2:2" ht="18.75" x14ac:dyDescent="0.25">
      <c r="B1241" s="217">
        <v>1109</v>
      </c>
    </row>
    <row r="1242" spans="2:2" ht="18.75" x14ac:dyDescent="0.25">
      <c r="B1242" s="218">
        <v>1139</v>
      </c>
    </row>
    <row r="1243" spans="2:2" ht="18.75" x14ac:dyDescent="0.25">
      <c r="B1243" s="217">
        <v>1144</v>
      </c>
    </row>
    <row r="1244" spans="2:2" ht="18.75" x14ac:dyDescent="0.25">
      <c r="B1244" s="218">
        <v>1133</v>
      </c>
    </row>
    <row r="1245" spans="2:2" ht="18.75" x14ac:dyDescent="0.25">
      <c r="B1245" s="217">
        <v>1142</v>
      </c>
    </row>
    <row r="1246" spans="2:2" ht="18.75" x14ac:dyDescent="0.25">
      <c r="B1246" s="218" t="s">
        <v>679</v>
      </c>
    </row>
    <row r="1247" spans="2:2" ht="18.75" x14ac:dyDescent="0.25">
      <c r="B1247" s="217">
        <v>1148</v>
      </c>
    </row>
    <row r="1248" spans="2:2" ht="18.75" x14ac:dyDescent="0.25">
      <c r="B1248" s="218">
        <v>1091</v>
      </c>
    </row>
    <row r="1249" spans="2:2" ht="18.75" x14ac:dyDescent="0.25">
      <c r="B1249" s="217">
        <v>1121</v>
      </c>
    </row>
    <row r="1250" spans="2:2" ht="18.75" x14ac:dyDescent="0.25">
      <c r="B1250" s="218">
        <v>1101</v>
      </c>
    </row>
    <row r="1251" spans="2:2" ht="18.75" x14ac:dyDescent="0.25">
      <c r="B1251" s="217">
        <v>1147</v>
      </c>
    </row>
    <row r="1252" spans="2:2" ht="18.75" x14ac:dyDescent="0.25">
      <c r="B1252" s="218">
        <v>1150</v>
      </c>
    </row>
    <row r="1253" spans="2:2" ht="18.75" x14ac:dyDescent="0.25">
      <c r="B1253" s="217">
        <v>1146</v>
      </c>
    </row>
    <row r="1254" spans="2:2" ht="18.75" x14ac:dyDescent="0.25">
      <c r="B1254" s="218">
        <v>1169</v>
      </c>
    </row>
    <row r="1255" spans="2:2" ht="18.75" x14ac:dyDescent="0.25">
      <c r="B1255" s="217">
        <v>1166</v>
      </c>
    </row>
    <row r="1256" spans="2:2" ht="18.75" x14ac:dyDescent="0.25">
      <c r="B1256" s="218">
        <v>1167</v>
      </c>
    </row>
    <row r="1257" spans="2:2" ht="18.75" x14ac:dyDescent="0.25">
      <c r="B1257" s="217">
        <v>1172</v>
      </c>
    </row>
    <row r="1258" spans="2:2" ht="18.75" x14ac:dyDescent="0.25">
      <c r="B1258" s="218">
        <v>1171</v>
      </c>
    </row>
    <row r="1259" spans="2:2" ht="18.75" x14ac:dyDescent="0.25">
      <c r="B1259" s="217">
        <v>1168</v>
      </c>
    </row>
    <row r="1260" spans="2:2" ht="18.75" x14ac:dyDescent="0.25">
      <c r="B1260" s="218">
        <v>1173</v>
      </c>
    </row>
    <row r="1261" spans="2:2" ht="18.75" x14ac:dyDescent="0.25">
      <c r="B1261" s="217">
        <v>1189</v>
      </c>
    </row>
    <row r="1262" spans="2:2" ht="18.75" x14ac:dyDescent="0.25">
      <c r="B1262" s="218">
        <v>1188</v>
      </c>
    </row>
    <row r="1263" spans="2:2" ht="18.75" x14ac:dyDescent="0.25">
      <c r="B1263" s="217">
        <v>1186</v>
      </c>
    </row>
    <row r="1264" spans="2:2" ht="18.75" x14ac:dyDescent="0.25">
      <c r="B1264" s="218">
        <v>1185</v>
      </c>
    </row>
    <row r="1265" spans="2:2" ht="18.75" x14ac:dyDescent="0.25">
      <c r="B1265" s="217">
        <v>1184</v>
      </c>
    </row>
    <row r="1266" spans="2:2" ht="18.75" x14ac:dyDescent="0.25">
      <c r="B1266" s="218">
        <v>1193</v>
      </c>
    </row>
    <row r="1267" spans="2:2" ht="18.75" x14ac:dyDescent="0.25">
      <c r="B1267" s="217">
        <v>1192</v>
      </c>
    </row>
    <row r="1268" spans="2:2" ht="18.75" x14ac:dyDescent="0.25">
      <c r="B1268" s="218">
        <v>1191</v>
      </c>
    </row>
    <row r="1269" spans="2:2" ht="18.75" x14ac:dyDescent="0.25">
      <c r="B1269" s="217">
        <v>1194</v>
      </c>
    </row>
    <row r="1270" spans="2:2" ht="18.75" x14ac:dyDescent="0.25">
      <c r="B1270" s="218">
        <v>1197</v>
      </c>
    </row>
    <row r="1271" spans="2:2" ht="18.75" x14ac:dyDescent="0.25">
      <c r="B1271" s="217">
        <v>1199</v>
      </c>
    </row>
    <row r="1272" spans="2:2" ht="18.75" x14ac:dyDescent="0.25">
      <c r="B1272" s="218">
        <v>1200</v>
      </c>
    </row>
    <row r="1273" spans="2:2" ht="18.75" x14ac:dyDescent="0.25">
      <c r="B1273" s="217">
        <v>1201</v>
      </c>
    </row>
    <row r="1274" spans="2:2" ht="18.75" x14ac:dyDescent="0.25">
      <c r="B1274" s="218">
        <v>1202</v>
      </c>
    </row>
    <row r="1275" spans="2:2" ht="18.75" x14ac:dyDescent="0.25">
      <c r="B1275" s="217">
        <v>1208</v>
      </c>
    </row>
    <row r="1276" spans="2:2" ht="18.75" x14ac:dyDescent="0.25">
      <c r="B1276" s="218">
        <v>1210</v>
      </c>
    </row>
    <row r="1277" spans="2:2" ht="18.75" x14ac:dyDescent="0.25">
      <c r="B1277" s="217">
        <v>1212</v>
      </c>
    </row>
    <row r="1278" spans="2:2" ht="18.75" x14ac:dyDescent="0.25">
      <c r="B1278" s="218">
        <v>1209</v>
      </c>
    </row>
    <row r="1279" spans="2:2" ht="18.75" x14ac:dyDescent="0.25">
      <c r="B1279" s="217">
        <v>1216</v>
      </c>
    </row>
    <row r="1280" spans="2:2" ht="18.75" x14ac:dyDescent="0.25">
      <c r="B1280" s="218">
        <v>1213</v>
      </c>
    </row>
    <row r="1281" spans="2:2" ht="18.75" x14ac:dyDescent="0.25">
      <c r="B1281" s="217">
        <v>1214</v>
      </c>
    </row>
    <row r="1282" spans="2:2" ht="18.75" x14ac:dyDescent="0.25">
      <c r="B1282" s="218">
        <v>1218</v>
      </c>
    </row>
    <row r="1283" spans="2:2" ht="18.75" x14ac:dyDescent="0.25">
      <c r="B1283" s="217">
        <v>1220</v>
      </c>
    </row>
    <row r="1284" spans="2:2" ht="18.75" x14ac:dyDescent="0.25">
      <c r="B1284" s="218" t="s">
        <v>680</v>
      </c>
    </row>
    <row r="1285" spans="2:2" ht="18.75" x14ac:dyDescent="0.25">
      <c r="B1285" s="217">
        <v>1223</v>
      </c>
    </row>
    <row r="1286" spans="2:2" ht="18.75" x14ac:dyDescent="0.25">
      <c r="B1286" s="218">
        <v>1226</v>
      </c>
    </row>
    <row r="1287" spans="2:2" ht="18.75" x14ac:dyDescent="0.25">
      <c r="B1287" s="217">
        <v>1225</v>
      </c>
    </row>
    <row r="1288" spans="2:2" ht="18.75" x14ac:dyDescent="0.25">
      <c r="B1288" s="218">
        <v>1224</v>
      </c>
    </row>
    <row r="1289" spans="2:2" ht="18.75" x14ac:dyDescent="0.25">
      <c r="B1289" s="217">
        <v>1233</v>
      </c>
    </row>
    <row r="1290" spans="2:2" ht="18.75" x14ac:dyDescent="0.25">
      <c r="B1290" s="218">
        <v>1234</v>
      </c>
    </row>
    <row r="1291" spans="2:2" ht="18.75" x14ac:dyDescent="0.25">
      <c r="B1291" s="217">
        <v>1235</v>
      </c>
    </row>
    <row r="1292" spans="2:2" ht="18.75" x14ac:dyDescent="0.25">
      <c r="B1292" s="218">
        <v>1164</v>
      </c>
    </row>
    <row r="1293" spans="2:2" ht="18.75" x14ac:dyDescent="0.25">
      <c r="B1293" s="217">
        <v>1227</v>
      </c>
    </row>
    <row r="1294" spans="2:2" ht="18.75" x14ac:dyDescent="0.25">
      <c r="B1294" s="218">
        <v>1211</v>
      </c>
    </row>
    <row r="1295" spans="2:2" ht="18.75" x14ac:dyDescent="0.25">
      <c r="B1295" s="217">
        <v>1215</v>
      </c>
    </row>
    <row r="1296" spans="2:2" ht="18.75" x14ac:dyDescent="0.25">
      <c r="B1296" s="218">
        <v>1228</v>
      </c>
    </row>
  </sheetData>
  <sheetProtection algorithmName="SHA-512" hashValue="8NkOawN4BHXvvQZZ1trj4gbUfCc6ax9gMiHPjcRLtwDhE+DYCTR+DVTHpUIhVrW1Z0tc/DgMjuPpxIhGNp3PKg==" saltValue="4R+St6QF0Cehg1nqiVQzow==" spinCount="100000" sheet="1" objects="1" scenarios="1"/>
  <phoneticPr fontId="19" type="noConversion"/>
  <pageMargins left="0.7" right="0.7" top="0.75" bottom="0.75" header="0.3" footer="0.3"/>
  <pageSetup orientation="portrait" r:id="rId1"/>
  <headerFooter>
    <oddHeader>&amp;C&amp;K139119&amp;10&amp;"Calibri"&amp;BPublic - عام&amp;B</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33CB-6C03-4DFF-ACF6-C1E746F101E6}">
  <sheetPr codeName="Sheet4"/>
  <dimension ref="A4:J46"/>
  <sheetViews>
    <sheetView showGridLines="0" rightToLeft="1" tabSelected="1" zoomScale="60" zoomScaleNormal="70" workbookViewId="0">
      <selection activeCell="A5" sqref="A5:B5"/>
    </sheetView>
  </sheetViews>
  <sheetFormatPr defaultColWidth="27.5703125" defaultRowHeight="15" x14ac:dyDescent="0.25"/>
  <cols>
    <col min="1" max="1" width="31.28515625" style="30" customWidth="1"/>
    <col min="2" max="3" width="27.5703125" style="30" customWidth="1"/>
    <col min="4" max="4" width="25.28515625" style="30" customWidth="1"/>
    <col min="5" max="5" width="3.7109375" style="30" customWidth="1"/>
    <col min="6" max="9" width="27.5703125" style="30"/>
    <col min="10" max="10" width="6" style="30" customWidth="1"/>
    <col min="11" max="16384" width="27.5703125" style="30"/>
  </cols>
  <sheetData>
    <row r="4" spans="1:10" ht="15.75" thickBot="1" x14ac:dyDescent="0.3"/>
    <row r="5" spans="1:10" ht="23.25" thickTop="1" thickBot="1" x14ac:dyDescent="0.35">
      <c r="A5" s="178" t="s">
        <v>62</v>
      </c>
      <c r="B5" s="179"/>
      <c r="C5" s="176"/>
      <c r="D5" s="177"/>
      <c r="E5" s="46"/>
      <c r="F5" s="46"/>
      <c r="G5" s="46"/>
      <c r="H5" s="46"/>
      <c r="I5" s="46"/>
      <c r="J5" s="46"/>
    </row>
    <row r="6" spans="1:10" ht="20.25" thickTop="1" thickBot="1" x14ac:dyDescent="0.35">
      <c r="A6" s="46"/>
      <c r="B6" s="46"/>
      <c r="C6" s="46"/>
      <c r="D6" s="46"/>
      <c r="E6" s="46"/>
      <c r="F6" s="46"/>
      <c r="G6" s="46"/>
      <c r="H6" s="46"/>
      <c r="I6" s="46"/>
      <c r="J6" s="46"/>
    </row>
    <row r="7" spans="1:10" ht="22.5" thickTop="1" x14ac:dyDescent="0.3">
      <c r="A7" s="170" t="s">
        <v>38</v>
      </c>
      <c r="B7" s="171"/>
      <c r="C7" s="171"/>
      <c r="D7" s="172"/>
      <c r="E7" s="46"/>
      <c r="F7" s="170" t="s">
        <v>39</v>
      </c>
      <c r="G7" s="171"/>
      <c r="H7" s="171"/>
      <c r="I7" s="172"/>
      <c r="J7" s="46"/>
    </row>
    <row r="8" spans="1:10" ht="22.5" thickBot="1" x14ac:dyDescent="0.35">
      <c r="A8" s="45" t="s">
        <v>25</v>
      </c>
      <c r="B8" s="45" t="s">
        <v>24</v>
      </c>
      <c r="C8" s="45" t="s">
        <v>26</v>
      </c>
      <c r="D8" s="45" t="s">
        <v>151</v>
      </c>
      <c r="E8" s="46"/>
      <c r="F8" s="45" t="s">
        <v>25</v>
      </c>
      <c r="G8" s="45" t="s">
        <v>24</v>
      </c>
      <c r="H8" s="45" t="s">
        <v>26</v>
      </c>
      <c r="I8" s="45" t="s">
        <v>151</v>
      </c>
      <c r="J8" s="46"/>
    </row>
    <row r="9" spans="1:10" ht="23.25" thickTop="1" thickBot="1" x14ac:dyDescent="0.35">
      <c r="A9" s="41" t="s">
        <v>33</v>
      </c>
      <c r="B9" s="123"/>
      <c r="C9" s="40" t="s">
        <v>27</v>
      </c>
      <c r="D9" s="123"/>
      <c r="E9" s="46"/>
      <c r="F9" s="41" t="s">
        <v>33</v>
      </c>
      <c r="G9" s="123"/>
      <c r="H9" s="40" t="s">
        <v>27</v>
      </c>
      <c r="I9" s="123"/>
      <c r="J9" s="46"/>
    </row>
    <row r="10" spans="1:10" ht="45" thickTop="1" thickBot="1" x14ac:dyDescent="0.35">
      <c r="A10" s="41" t="s">
        <v>201</v>
      </c>
      <c r="B10" s="123"/>
      <c r="C10" s="40" t="s">
        <v>28</v>
      </c>
      <c r="D10" s="123"/>
      <c r="E10" s="46"/>
      <c r="F10" s="41" t="s">
        <v>202</v>
      </c>
      <c r="G10" s="123"/>
      <c r="H10" s="40" t="s">
        <v>28</v>
      </c>
      <c r="I10" s="123"/>
      <c r="J10" s="46"/>
    </row>
    <row r="11" spans="1:10" ht="23.25" thickTop="1" thickBot="1" x14ac:dyDescent="0.35">
      <c r="A11" s="41" t="s">
        <v>34</v>
      </c>
      <c r="B11" s="123"/>
      <c r="C11" s="40" t="s">
        <v>29</v>
      </c>
      <c r="D11" s="123"/>
      <c r="E11" s="46"/>
      <c r="F11" s="41" t="s">
        <v>34</v>
      </c>
      <c r="G11" s="123"/>
      <c r="H11" s="40" t="s">
        <v>29</v>
      </c>
      <c r="I11" s="123"/>
      <c r="J11" s="46"/>
    </row>
    <row r="12" spans="1:10" ht="23.25" thickTop="1" thickBot="1" x14ac:dyDescent="0.35">
      <c r="A12" s="41" t="s">
        <v>35</v>
      </c>
      <c r="B12" s="123"/>
      <c r="C12" s="40" t="s">
        <v>30</v>
      </c>
      <c r="D12" s="123"/>
      <c r="E12" s="46"/>
      <c r="F12" s="41" t="s">
        <v>35</v>
      </c>
      <c r="G12" s="123"/>
      <c r="H12" s="40" t="s">
        <v>30</v>
      </c>
      <c r="I12" s="123"/>
      <c r="J12" s="46"/>
    </row>
    <row r="13" spans="1:10" ht="23.25" thickTop="1" thickBot="1" x14ac:dyDescent="0.35">
      <c r="A13" s="41" t="s">
        <v>36</v>
      </c>
      <c r="B13" s="123"/>
      <c r="C13" s="40" t="s">
        <v>31</v>
      </c>
      <c r="D13" s="123"/>
      <c r="E13" s="46"/>
      <c r="F13" s="41" t="s">
        <v>36</v>
      </c>
      <c r="G13" s="123"/>
      <c r="H13" s="40" t="s">
        <v>31</v>
      </c>
      <c r="I13" s="123"/>
      <c r="J13" s="46"/>
    </row>
    <row r="14" spans="1:10" ht="23.25" thickTop="1" thickBot="1" x14ac:dyDescent="0.35">
      <c r="A14" s="41" t="s">
        <v>31</v>
      </c>
      <c r="B14" s="123"/>
      <c r="C14" s="75" t="s">
        <v>213</v>
      </c>
      <c r="D14" s="123"/>
      <c r="E14" s="46"/>
      <c r="F14" s="41" t="s">
        <v>31</v>
      </c>
      <c r="G14" s="123"/>
      <c r="H14" s="75" t="s">
        <v>213</v>
      </c>
      <c r="I14" s="123"/>
      <c r="J14" s="46"/>
    </row>
    <row r="15" spans="1:10" ht="23.25" thickTop="1" thickBot="1" x14ac:dyDescent="0.35">
      <c r="A15" s="47" t="s">
        <v>37</v>
      </c>
      <c r="B15" s="80">
        <f t="shared" ref="B15" si="0">SUM(B9:B14)</f>
        <v>0</v>
      </c>
      <c r="C15" s="75" t="s">
        <v>32</v>
      </c>
      <c r="D15" s="80">
        <f t="shared" ref="D15" si="1">SUM(D9:D14)</f>
        <v>0</v>
      </c>
      <c r="E15" s="46"/>
      <c r="F15" s="47" t="s">
        <v>37</v>
      </c>
      <c r="G15" s="80">
        <f>SUM(G9:G14)</f>
        <v>0</v>
      </c>
      <c r="H15" s="75" t="s">
        <v>32</v>
      </c>
      <c r="I15" s="80">
        <f>SUM(I9:I14)</f>
        <v>0</v>
      </c>
      <c r="J15" s="46"/>
    </row>
    <row r="16" spans="1:10" ht="23.25" thickTop="1" thickBot="1" x14ac:dyDescent="0.35">
      <c r="A16" s="49"/>
      <c r="B16" s="50"/>
      <c r="C16" s="49"/>
      <c r="D16" s="50"/>
      <c r="E16" s="46"/>
      <c r="F16" s="46"/>
      <c r="G16" s="46"/>
      <c r="H16" s="46"/>
      <c r="I16" s="46"/>
      <c r="J16" s="46"/>
    </row>
    <row r="17" spans="1:10" ht="22.5" thickTop="1" x14ac:dyDescent="0.3">
      <c r="A17" s="180" t="s">
        <v>79</v>
      </c>
      <c r="B17" s="181"/>
      <c r="C17" s="181"/>
      <c r="D17" s="182"/>
      <c r="E17" s="46"/>
      <c r="F17" s="170" t="s">
        <v>98</v>
      </c>
      <c r="G17" s="171"/>
      <c r="H17" s="171"/>
      <c r="I17" s="172"/>
      <c r="J17" s="46"/>
    </row>
    <row r="18" spans="1:10" ht="22.5" thickBot="1" x14ac:dyDescent="0.35">
      <c r="A18" s="77" t="s">
        <v>40</v>
      </c>
      <c r="B18" s="81">
        <f>C5</f>
        <v>0</v>
      </c>
      <c r="C18" s="78" t="s">
        <v>41</v>
      </c>
      <c r="D18" s="82">
        <f>B18+I15-G15</f>
        <v>0</v>
      </c>
      <c r="E18" s="46"/>
      <c r="F18" s="45" t="s">
        <v>25</v>
      </c>
      <c r="G18" s="45" t="s">
        <v>24</v>
      </c>
      <c r="H18" s="45" t="s">
        <v>26</v>
      </c>
      <c r="I18" s="45" t="s">
        <v>151</v>
      </c>
      <c r="J18" s="46"/>
    </row>
    <row r="19" spans="1:10" ht="23.25" thickTop="1" thickBot="1" x14ac:dyDescent="0.35">
      <c r="E19" s="46"/>
      <c r="F19" s="41" t="s">
        <v>33</v>
      </c>
      <c r="G19" s="123"/>
      <c r="H19" s="40" t="s">
        <v>27</v>
      </c>
      <c r="I19" s="123"/>
      <c r="J19" s="46"/>
    </row>
    <row r="20" spans="1:10" ht="23.25" thickTop="1" thickBot="1" x14ac:dyDescent="0.35">
      <c r="B20" s="175" t="s">
        <v>195</v>
      </c>
      <c r="C20" s="175"/>
      <c r="E20" s="46"/>
      <c r="F20" s="41" t="s">
        <v>34</v>
      </c>
      <c r="G20" s="123"/>
      <c r="H20" s="40" t="s">
        <v>28</v>
      </c>
      <c r="I20" s="123"/>
      <c r="J20" s="46"/>
    </row>
    <row r="21" spans="1:10" ht="23.25" thickTop="1" thickBot="1" x14ac:dyDescent="0.35">
      <c r="B21" s="122" t="s">
        <v>7</v>
      </c>
      <c r="C21" s="122" t="s">
        <v>197</v>
      </c>
      <c r="E21" s="46"/>
      <c r="F21" s="41" t="s">
        <v>35</v>
      </c>
      <c r="G21" s="123"/>
      <c r="H21" s="40" t="s">
        <v>29</v>
      </c>
      <c r="I21" s="123"/>
      <c r="J21" s="46"/>
    </row>
    <row r="22" spans="1:10" ht="23.25" thickTop="1" thickBot="1" x14ac:dyDescent="0.35">
      <c r="B22" s="122" t="s">
        <v>196</v>
      </c>
      <c r="C22" s="124"/>
      <c r="E22" s="46"/>
      <c r="F22" s="41" t="s">
        <v>36</v>
      </c>
      <c r="G22" s="123"/>
      <c r="H22" s="40" t="s">
        <v>30</v>
      </c>
      <c r="I22" s="123"/>
      <c r="J22" s="46"/>
    </row>
    <row r="23" spans="1:10" ht="45" thickTop="1" thickBot="1" x14ac:dyDescent="0.35">
      <c r="B23" s="122" t="s">
        <v>199</v>
      </c>
      <c r="C23" s="132">
        <f>C22-C24</f>
        <v>0</v>
      </c>
      <c r="E23" s="46"/>
      <c r="F23" s="41" t="s">
        <v>31</v>
      </c>
      <c r="G23" s="123"/>
      <c r="H23" s="40" t="s">
        <v>31</v>
      </c>
      <c r="I23" s="123"/>
      <c r="J23" s="46"/>
    </row>
    <row r="24" spans="1:10" ht="23.25" thickTop="1" thickBot="1" x14ac:dyDescent="0.35">
      <c r="B24" s="122" t="s">
        <v>198</v>
      </c>
      <c r="C24" s="132">
        <f>B10</f>
        <v>0</v>
      </c>
      <c r="E24" s="46"/>
      <c r="F24" s="47" t="s">
        <v>37</v>
      </c>
      <c r="G24" s="80">
        <f>SUM(G19:G23)</f>
        <v>0</v>
      </c>
      <c r="H24" s="48" t="s">
        <v>32</v>
      </c>
      <c r="I24" s="80">
        <f t="shared" ref="I24" si="2">SUM(I19:I23)</f>
        <v>0</v>
      </c>
      <c r="J24" s="46"/>
    </row>
    <row r="25" spans="1:10" ht="20.25" thickTop="1" thickBot="1" x14ac:dyDescent="0.35">
      <c r="E25" s="46"/>
      <c r="J25" s="46"/>
    </row>
    <row r="26" spans="1:10" ht="22.5" thickTop="1" x14ac:dyDescent="0.3">
      <c r="A26" s="170" t="s">
        <v>127</v>
      </c>
      <c r="B26" s="171"/>
      <c r="C26" s="171"/>
      <c r="D26" s="171"/>
      <c r="E26" s="46"/>
      <c r="F26" s="170" t="s">
        <v>154</v>
      </c>
      <c r="G26" s="171"/>
      <c r="H26" s="171"/>
      <c r="I26" s="172"/>
      <c r="J26" s="46"/>
    </row>
    <row r="27" spans="1:10" ht="44.25" thickBot="1" x14ac:dyDescent="0.35">
      <c r="A27" s="38" t="s">
        <v>152</v>
      </c>
      <c r="B27" s="51" t="s">
        <v>24</v>
      </c>
      <c r="C27" s="52" t="s">
        <v>153</v>
      </c>
      <c r="D27" s="38" t="s">
        <v>24</v>
      </c>
      <c r="E27" s="46"/>
      <c r="F27" s="45" t="s">
        <v>25</v>
      </c>
      <c r="G27" s="45" t="s">
        <v>24</v>
      </c>
      <c r="H27" s="45" t="s">
        <v>26</v>
      </c>
      <c r="I27" s="45" t="s">
        <v>151</v>
      </c>
      <c r="J27" s="46"/>
    </row>
    <row r="28" spans="1:10" ht="45" thickTop="1" thickBot="1" x14ac:dyDescent="0.35">
      <c r="A28" s="47" t="s">
        <v>52</v>
      </c>
      <c r="B28" s="79" t="s">
        <v>56</v>
      </c>
      <c r="C28" s="53" t="s">
        <v>57</v>
      </c>
      <c r="D28" s="76" t="s">
        <v>60</v>
      </c>
      <c r="E28" s="46"/>
      <c r="F28" s="41" t="s">
        <v>33</v>
      </c>
      <c r="G28" s="123"/>
      <c r="H28" s="40" t="s">
        <v>27</v>
      </c>
      <c r="I28" s="123"/>
      <c r="J28" s="46"/>
    </row>
    <row r="29" spans="1:10" ht="36.75" customHeight="1" thickTop="1" thickBot="1" x14ac:dyDescent="0.35">
      <c r="A29" s="11" t="s">
        <v>55</v>
      </c>
      <c r="B29" s="83">
        <f>'(4) وحدات المشروع'!F51</f>
        <v>0</v>
      </c>
      <c r="C29" s="41" t="s">
        <v>58</v>
      </c>
      <c r="D29" s="83" t="e">
        <f>Sheet1!U8</f>
        <v>#VALUE!</v>
      </c>
      <c r="E29" s="46"/>
      <c r="F29" s="41" t="s">
        <v>192</v>
      </c>
      <c r="G29" s="123"/>
      <c r="H29" s="40" t="s">
        <v>28</v>
      </c>
      <c r="I29" s="123"/>
      <c r="J29" s="46"/>
    </row>
    <row r="30" spans="1:10" ht="45" thickTop="1" thickBot="1" x14ac:dyDescent="0.35">
      <c r="A30" s="11" t="s">
        <v>53</v>
      </c>
      <c r="B30" s="83">
        <f>B29*20%</f>
        <v>0</v>
      </c>
      <c r="C30" s="47" t="s">
        <v>59</v>
      </c>
      <c r="D30" s="80" t="e">
        <f>Sheet1!T8-'(3) العمليات المالية'!D29</f>
        <v>#VALUE!</v>
      </c>
      <c r="E30" s="46"/>
      <c r="F30" s="41" t="s">
        <v>34</v>
      </c>
      <c r="G30" s="123"/>
      <c r="H30" s="40" t="s">
        <v>29</v>
      </c>
      <c r="I30" s="123"/>
      <c r="J30" s="46"/>
    </row>
    <row r="31" spans="1:10" ht="45" thickTop="1" thickBot="1" x14ac:dyDescent="0.35">
      <c r="A31" s="11" t="s">
        <v>97</v>
      </c>
      <c r="B31" s="83">
        <f>B11</f>
        <v>0</v>
      </c>
      <c r="C31" s="46"/>
      <c r="D31" s="46"/>
      <c r="E31" s="46"/>
      <c r="F31" s="41" t="s">
        <v>35</v>
      </c>
      <c r="G31" s="123"/>
      <c r="H31" s="40" t="s">
        <v>30</v>
      </c>
      <c r="I31" s="123"/>
      <c r="J31" s="46"/>
    </row>
    <row r="32" spans="1:10" ht="23.25" thickTop="1" thickBot="1" x14ac:dyDescent="0.35">
      <c r="A32" s="11" t="s">
        <v>54</v>
      </c>
      <c r="B32" s="84">
        <f>B30-B31</f>
        <v>0</v>
      </c>
      <c r="C32" s="46"/>
      <c r="D32" s="46"/>
      <c r="E32" s="46"/>
      <c r="F32" s="41" t="s">
        <v>36</v>
      </c>
      <c r="G32" s="123"/>
      <c r="H32" s="40" t="s">
        <v>31</v>
      </c>
      <c r="I32" s="123"/>
      <c r="J32" s="46"/>
    </row>
    <row r="33" spans="1:10" ht="23.25" thickTop="1" thickBot="1" x14ac:dyDescent="0.35">
      <c r="E33" s="46"/>
      <c r="F33" s="41" t="s">
        <v>31</v>
      </c>
      <c r="G33" s="123"/>
      <c r="H33" s="75" t="s">
        <v>189</v>
      </c>
      <c r="I33" s="123" t="s">
        <v>189</v>
      </c>
      <c r="J33" s="46"/>
    </row>
    <row r="34" spans="1:10" ht="23.25" thickTop="1" thickBot="1" x14ac:dyDescent="0.35">
      <c r="E34" s="46"/>
      <c r="F34" s="47" t="s">
        <v>37</v>
      </c>
      <c r="G34" s="80">
        <f>SUM(G28:G33)</f>
        <v>0</v>
      </c>
      <c r="H34" s="75" t="s">
        <v>32</v>
      </c>
      <c r="I34" s="80">
        <f>SUM(I28:I33)</f>
        <v>0</v>
      </c>
      <c r="J34" s="46"/>
    </row>
    <row r="35" spans="1:10" ht="19.5" thickTop="1" x14ac:dyDescent="0.3">
      <c r="E35" s="46"/>
      <c r="J35" s="46"/>
    </row>
    <row r="36" spans="1:10" ht="18.75" x14ac:dyDescent="0.3">
      <c r="E36" s="46"/>
    </row>
    <row r="37" spans="1:10" ht="18.75" x14ac:dyDescent="0.3">
      <c r="E37" s="46"/>
    </row>
    <row r="38" spans="1:10" ht="18.75" x14ac:dyDescent="0.3">
      <c r="A38" s="46"/>
      <c r="B38" s="46"/>
      <c r="C38" s="46"/>
      <c r="D38" s="46"/>
      <c r="E38" s="46"/>
    </row>
    <row r="39" spans="1:10" ht="18.75" x14ac:dyDescent="0.3">
      <c r="E39" s="46"/>
    </row>
    <row r="40" spans="1:10" ht="18.75" x14ac:dyDescent="0.3">
      <c r="E40" s="46"/>
    </row>
    <row r="41" spans="1:10" ht="18.75" x14ac:dyDescent="0.3">
      <c r="E41" s="46"/>
      <c r="F41" s="46"/>
    </row>
    <row r="42" spans="1:10" ht="18.75" x14ac:dyDescent="0.3">
      <c r="E42" s="46"/>
      <c r="F42" s="46"/>
    </row>
    <row r="43" spans="1:10" ht="18.75" x14ac:dyDescent="0.3">
      <c r="E43" s="46"/>
      <c r="F43" s="46"/>
      <c r="G43" s="46"/>
      <c r="H43" s="46"/>
      <c r="I43" s="46"/>
      <c r="J43" s="46"/>
    </row>
    <row r="44" spans="1:10" ht="18.75" x14ac:dyDescent="0.3">
      <c r="E44" s="46"/>
      <c r="F44" s="46"/>
      <c r="G44" s="46"/>
      <c r="H44" s="46"/>
      <c r="I44" s="46"/>
      <c r="J44" s="46"/>
    </row>
    <row r="45" spans="1:10" ht="18.75" x14ac:dyDescent="0.3">
      <c r="E45" s="46"/>
      <c r="F45" s="46"/>
      <c r="G45" s="46"/>
      <c r="H45" s="46"/>
      <c r="I45" s="46"/>
      <c r="J45" s="46"/>
    </row>
    <row r="46" spans="1:10" ht="18.75" x14ac:dyDescent="0.3">
      <c r="E46" s="46"/>
      <c r="F46" s="46"/>
      <c r="G46" s="46"/>
      <c r="H46" s="46"/>
      <c r="I46" s="46"/>
      <c r="J46" s="46"/>
    </row>
  </sheetData>
  <sheetProtection algorithmName="SHA-512" hashValue="kTAZU3LqD02BzE4L0z0s2AJsnfZOYZ9Qig64UQ09uDZg2YyAOCAZX1FSy4Aepg9yTKSob3Jt6a8+XwjST5CG8Q==" saltValue="QixRq8RciaUGDGI18tUHzA==" spinCount="100000" sheet="1" objects="1" scenarios="1"/>
  <mergeCells count="9">
    <mergeCell ref="B20:C20"/>
    <mergeCell ref="A26:D26"/>
    <mergeCell ref="F26:I26"/>
    <mergeCell ref="C5:D5"/>
    <mergeCell ref="A5:B5"/>
    <mergeCell ref="A17:D17"/>
    <mergeCell ref="A7:D7"/>
    <mergeCell ref="F7:I7"/>
    <mergeCell ref="F17:I17"/>
  </mergeCells>
  <conditionalFormatting sqref="D30">
    <cfRule type="cellIs" dxfId="16" priority="1" operator="lessThan">
      <formula>0</formula>
    </cfRule>
    <cfRule type="cellIs" dxfId="15" priority="2" operator="equal">
      <formula>0</formula>
    </cfRule>
    <cfRule type="cellIs" dxfId="14" priority="3" operator="greaterThan">
      <formula>0</formula>
    </cfRule>
  </conditionalFormatting>
  <dataValidations count="2">
    <dataValidation type="custom" allowBlank="1" showInputMessage="1" showErrorMessage="1" error=" الخلية لا تقبل نص " prompt="ملاحظة: الادخال ارقام" sqref="B9:B14 G28:G31 G9:G14 I9:I13 G19:G23 I19:I23 I28:I32 G33 D9:D14" xr:uid="{3882BD4B-3522-4B16-B013-6CEF818D1F23}">
      <formula1>ISNUMBER(B9)</formula1>
    </dataValidation>
    <dataValidation type="custom" allowBlank="1" showInputMessage="1" showErrorMessage="1" prompt="ملاحظة: الادخال ارقام" sqref="C22:C23" xr:uid="{AFC742F9-0883-4053-B1C6-54D28A65AD7C}">
      <formula1>ISNUMBER(C22)</formula1>
    </dataValidation>
  </dataValidations>
  <pageMargins left="0.7" right="0.7" top="0.75" bottom="0.75" header="0.3" footer="0.3"/>
  <pageSetup scale="27" orientation="portrait" r:id="rId1"/>
  <headerFooter>
    <oddHeader>&amp;C&amp;K139119&amp;10&amp;"Calibri"&amp;BPublic - عام&amp;B</oddHeader>
  </headerFooter>
  <drawing r:id="rId2"/>
  <legacyDrawingHF r:id="rId3"/>
  <tableParts count="7">
    <tablePart r:id="rId4"/>
    <tablePart r:id="rId5"/>
    <tablePart r:id="rId6"/>
    <tablePart r:id="rId7"/>
    <tablePart r:id="rId8"/>
    <tablePart r:id="rId9"/>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119"/>
  <sheetViews>
    <sheetView showGridLines="0" rightToLeft="1" topLeftCell="A51" zoomScale="60" zoomScaleNormal="60" workbookViewId="0">
      <selection activeCell="A51" sqref="A51"/>
    </sheetView>
  </sheetViews>
  <sheetFormatPr defaultRowHeight="15" x14ac:dyDescent="0.25"/>
  <cols>
    <col min="1" max="1" width="29.5703125" style="60" customWidth="1"/>
    <col min="2" max="2" width="17.5703125" style="60" customWidth="1"/>
    <col min="3" max="3" width="18.85546875" style="60" customWidth="1"/>
    <col min="4" max="4" width="16.42578125" style="60" customWidth="1"/>
    <col min="5" max="5" width="29.7109375" style="60" customWidth="1"/>
    <col min="6" max="6" width="30.42578125" style="60" customWidth="1"/>
    <col min="7" max="7" width="33.28515625" style="60" customWidth="1"/>
    <col min="8" max="8" width="11.42578125" style="30" bestFit="1" customWidth="1"/>
    <col min="9" max="16384" width="9.140625" style="30"/>
  </cols>
  <sheetData>
    <row r="1" spans="1:7" s="46" customFormat="1" ht="22.5" thickBot="1" x14ac:dyDescent="0.35">
      <c r="A1" s="54" t="s">
        <v>42</v>
      </c>
      <c r="B1" s="85" t="s">
        <v>43</v>
      </c>
      <c r="C1" s="85" t="s">
        <v>44</v>
      </c>
      <c r="D1" s="85" t="s">
        <v>45</v>
      </c>
      <c r="E1" s="85" t="s">
        <v>46</v>
      </c>
      <c r="F1" s="85" t="s">
        <v>47</v>
      </c>
      <c r="G1" s="85" t="s">
        <v>61</v>
      </c>
    </row>
    <row r="2" spans="1:7" ht="23.25" thickTop="1" thickBot="1" x14ac:dyDescent="0.3">
      <c r="A2" s="189" t="s">
        <v>51</v>
      </c>
      <c r="B2" s="90" t="s">
        <v>10</v>
      </c>
      <c r="C2" s="137">
        <f>'(1) البيانات الاساسية'!C20</f>
        <v>0</v>
      </c>
      <c r="D2" s="91" t="e">
        <f>C2/$C$17</f>
        <v>#DIV/0!</v>
      </c>
      <c r="E2" s="102">
        <f>'(1) البيانات الاساسية'!D20</f>
        <v>0</v>
      </c>
      <c r="F2" s="102">
        <f>F36</f>
        <v>0</v>
      </c>
      <c r="G2" s="105">
        <f>E2-F2</f>
        <v>0</v>
      </c>
    </row>
    <row r="3" spans="1:7" ht="23.25" thickTop="1" thickBot="1" x14ac:dyDescent="0.3">
      <c r="A3" s="184"/>
      <c r="B3" s="92" t="s">
        <v>11</v>
      </c>
      <c r="C3" s="137">
        <f>'(1) البيانات الاساسية'!C21</f>
        <v>0</v>
      </c>
      <c r="D3" s="62" t="e">
        <f t="shared" ref="D3:D15" si="0">C3/$C$17</f>
        <v>#DIV/0!</v>
      </c>
      <c r="E3" s="103">
        <f>'(1) البيانات الاساسية'!D21</f>
        <v>0</v>
      </c>
      <c r="F3" s="103">
        <f>F37</f>
        <v>0</v>
      </c>
      <c r="G3" s="106">
        <f t="shared" ref="G3:G16" si="1">E3-F3</f>
        <v>0</v>
      </c>
    </row>
    <row r="4" spans="1:7" ht="23.25" thickTop="1" thickBot="1" x14ac:dyDescent="0.3">
      <c r="A4" s="184"/>
      <c r="B4" s="92" t="s">
        <v>134</v>
      </c>
      <c r="C4" s="61">
        <f>'(1) البيانات الاساسية'!C22</f>
        <v>0</v>
      </c>
      <c r="D4" s="62" t="e">
        <f t="shared" si="0"/>
        <v>#DIV/0!</v>
      </c>
      <c r="E4" s="103">
        <f>'(1) البيانات الاساسية'!D22</f>
        <v>0</v>
      </c>
      <c r="F4" s="103">
        <f t="shared" ref="F4:F15" si="2">F38</f>
        <v>0</v>
      </c>
      <c r="G4" s="106">
        <f t="shared" si="1"/>
        <v>0</v>
      </c>
    </row>
    <row r="5" spans="1:7" ht="23.25" thickTop="1" thickBot="1" x14ac:dyDescent="0.3">
      <c r="A5" s="184"/>
      <c r="B5" s="92" t="s">
        <v>135</v>
      </c>
      <c r="C5" s="61">
        <f>'(1) البيانات الاساسية'!C23</f>
        <v>0</v>
      </c>
      <c r="D5" s="62" t="e">
        <f t="shared" si="0"/>
        <v>#DIV/0!</v>
      </c>
      <c r="E5" s="103">
        <f>'(1) البيانات الاساسية'!D23</f>
        <v>0</v>
      </c>
      <c r="F5" s="103">
        <f t="shared" si="2"/>
        <v>0</v>
      </c>
      <c r="G5" s="106">
        <f t="shared" si="1"/>
        <v>0</v>
      </c>
    </row>
    <row r="6" spans="1:7" ht="23.25" thickTop="1" thickBot="1" x14ac:dyDescent="0.3">
      <c r="A6" s="184"/>
      <c r="B6" s="92" t="s">
        <v>136</v>
      </c>
      <c r="C6" s="61">
        <f>'(1) البيانات الاساسية'!C24</f>
        <v>0</v>
      </c>
      <c r="D6" s="62" t="e">
        <f t="shared" si="0"/>
        <v>#DIV/0!</v>
      </c>
      <c r="E6" s="103">
        <f>'(1) البيانات الاساسية'!D24</f>
        <v>0</v>
      </c>
      <c r="F6" s="103">
        <f t="shared" si="2"/>
        <v>0</v>
      </c>
      <c r="G6" s="106">
        <f t="shared" si="1"/>
        <v>0</v>
      </c>
    </row>
    <row r="7" spans="1:7" ht="23.25" thickTop="1" thickBot="1" x14ac:dyDescent="0.3">
      <c r="A7" s="184"/>
      <c r="B7" s="92" t="s">
        <v>15</v>
      </c>
      <c r="C7" s="61">
        <f>'(1) البيانات الاساسية'!C25</f>
        <v>0</v>
      </c>
      <c r="D7" s="62" t="e">
        <f t="shared" si="0"/>
        <v>#DIV/0!</v>
      </c>
      <c r="E7" s="103">
        <f>'(1) البيانات الاساسية'!D25</f>
        <v>0</v>
      </c>
      <c r="F7" s="103">
        <f t="shared" si="2"/>
        <v>0</v>
      </c>
      <c r="G7" s="106">
        <f t="shared" si="1"/>
        <v>0</v>
      </c>
    </row>
    <row r="8" spans="1:7" ht="23.25" thickTop="1" thickBot="1" x14ac:dyDescent="0.3">
      <c r="A8" s="184"/>
      <c r="B8" s="92" t="s">
        <v>137</v>
      </c>
      <c r="C8" s="61">
        <f>'(1) البيانات الاساسية'!C26</f>
        <v>0</v>
      </c>
      <c r="D8" s="62" t="e">
        <f t="shared" si="0"/>
        <v>#DIV/0!</v>
      </c>
      <c r="E8" s="103">
        <f>'(1) البيانات الاساسية'!D26</f>
        <v>0</v>
      </c>
      <c r="F8" s="103">
        <f t="shared" si="2"/>
        <v>0</v>
      </c>
      <c r="G8" s="106">
        <f t="shared" si="1"/>
        <v>0</v>
      </c>
    </row>
    <row r="9" spans="1:7" ht="23.25" thickTop="1" thickBot="1" x14ac:dyDescent="0.3">
      <c r="A9" s="184"/>
      <c r="B9" s="92" t="s">
        <v>138</v>
      </c>
      <c r="C9" s="61">
        <f>'(1) البيانات الاساسية'!C27</f>
        <v>0</v>
      </c>
      <c r="D9" s="62" t="e">
        <f>C9/$C$17</f>
        <v>#DIV/0!</v>
      </c>
      <c r="E9" s="103">
        <f>'(1) البيانات الاساسية'!D27</f>
        <v>0</v>
      </c>
      <c r="F9" s="103">
        <f t="shared" si="2"/>
        <v>0</v>
      </c>
      <c r="G9" s="106">
        <f t="shared" si="1"/>
        <v>0</v>
      </c>
    </row>
    <row r="10" spans="1:7" ht="23.25" thickTop="1" thickBot="1" x14ac:dyDescent="0.3">
      <c r="A10" s="184"/>
      <c r="B10" s="92" t="s">
        <v>139</v>
      </c>
      <c r="C10" s="61">
        <f>'(1) البيانات الاساسية'!C28</f>
        <v>0</v>
      </c>
      <c r="D10" s="62" t="e">
        <f t="shared" si="0"/>
        <v>#DIV/0!</v>
      </c>
      <c r="E10" s="103">
        <f>'(1) البيانات الاساسية'!D28</f>
        <v>0</v>
      </c>
      <c r="F10" s="103">
        <f t="shared" si="2"/>
        <v>0</v>
      </c>
      <c r="G10" s="106">
        <f t="shared" si="1"/>
        <v>0</v>
      </c>
    </row>
    <row r="11" spans="1:7" ht="23.25" thickTop="1" thickBot="1" x14ac:dyDescent="0.3">
      <c r="A11" s="184"/>
      <c r="B11" s="92" t="s">
        <v>14</v>
      </c>
      <c r="C11" s="61">
        <f>'(1) البيانات الاساسية'!C29</f>
        <v>0</v>
      </c>
      <c r="D11" s="62" t="e">
        <f>C11/$C$17</f>
        <v>#DIV/0!</v>
      </c>
      <c r="E11" s="103">
        <f>'(1) البيانات الاساسية'!D29</f>
        <v>0</v>
      </c>
      <c r="F11" s="103">
        <f t="shared" si="2"/>
        <v>0</v>
      </c>
      <c r="G11" s="106">
        <f t="shared" si="1"/>
        <v>0</v>
      </c>
    </row>
    <row r="12" spans="1:7" ht="23.25" thickTop="1" thickBot="1" x14ac:dyDescent="0.3">
      <c r="A12" s="184"/>
      <c r="B12" s="92" t="s">
        <v>140</v>
      </c>
      <c r="C12" s="61">
        <f>'(1) البيانات الاساسية'!C30</f>
        <v>0</v>
      </c>
      <c r="D12" s="62" t="e">
        <f t="shared" si="0"/>
        <v>#DIV/0!</v>
      </c>
      <c r="E12" s="103">
        <f>'(1) البيانات الاساسية'!D30</f>
        <v>0</v>
      </c>
      <c r="F12" s="103">
        <f t="shared" si="2"/>
        <v>0</v>
      </c>
      <c r="G12" s="106">
        <f t="shared" si="1"/>
        <v>0</v>
      </c>
    </row>
    <row r="13" spans="1:7" ht="23.25" thickTop="1" thickBot="1" x14ac:dyDescent="0.3">
      <c r="A13" s="184"/>
      <c r="B13" s="92" t="s">
        <v>14</v>
      </c>
      <c r="C13" s="61">
        <f>'(1) البيانات الاساسية'!C31</f>
        <v>0</v>
      </c>
      <c r="D13" s="62" t="e">
        <f t="shared" si="0"/>
        <v>#DIV/0!</v>
      </c>
      <c r="E13" s="103">
        <f>'(1) البيانات الاساسية'!D31</f>
        <v>0</v>
      </c>
      <c r="F13" s="103">
        <f t="shared" si="2"/>
        <v>0</v>
      </c>
      <c r="G13" s="106">
        <f t="shared" si="1"/>
        <v>0</v>
      </c>
    </row>
    <row r="14" spans="1:7" ht="23.25" thickTop="1" thickBot="1" x14ac:dyDescent="0.3">
      <c r="A14" s="184"/>
      <c r="B14" s="92" t="s">
        <v>141</v>
      </c>
      <c r="C14" s="61">
        <f>'(1) البيانات الاساسية'!C32</f>
        <v>0</v>
      </c>
      <c r="D14" s="62" t="e">
        <f t="shared" si="0"/>
        <v>#DIV/0!</v>
      </c>
      <c r="E14" s="103">
        <f>'(1) البيانات الاساسية'!D32</f>
        <v>0</v>
      </c>
      <c r="F14" s="103">
        <f t="shared" si="2"/>
        <v>0</v>
      </c>
      <c r="G14" s="106">
        <f t="shared" si="1"/>
        <v>0</v>
      </c>
    </row>
    <row r="15" spans="1:7" ht="23.25" customHeight="1" thickTop="1" thickBot="1" x14ac:dyDescent="0.3">
      <c r="A15" s="184"/>
      <c r="B15" s="92" t="s">
        <v>142</v>
      </c>
      <c r="C15" s="61">
        <f>'(1) البيانات الاساسية'!C33</f>
        <v>0</v>
      </c>
      <c r="D15" s="62" t="e">
        <f t="shared" si="0"/>
        <v>#DIV/0!</v>
      </c>
      <c r="E15" s="103">
        <f>'(1) البيانات الاساسية'!D33</f>
        <v>0</v>
      </c>
      <c r="F15" s="103">
        <f t="shared" si="2"/>
        <v>0</v>
      </c>
      <c r="G15" s="106">
        <f t="shared" si="1"/>
        <v>0</v>
      </c>
    </row>
    <row r="16" spans="1:7" ht="23.25" customHeight="1" thickTop="1" thickBot="1" x14ac:dyDescent="0.3">
      <c r="A16" s="184"/>
      <c r="B16" s="93" t="s">
        <v>143</v>
      </c>
      <c r="C16" s="94">
        <f>'(1) البيانات الاساسية'!C34</f>
        <v>0</v>
      </c>
      <c r="D16" s="95" t="e">
        <f>C16/$C$17</f>
        <v>#DIV/0!</v>
      </c>
      <c r="E16" s="104">
        <f>'(1) البيانات الاساسية'!D34</f>
        <v>0</v>
      </c>
      <c r="F16" s="104">
        <f>F50</f>
        <v>0</v>
      </c>
      <c r="G16" s="107">
        <f t="shared" si="1"/>
        <v>0</v>
      </c>
    </row>
    <row r="17" spans="1:7" ht="23.25" customHeight="1" thickTop="1" thickBot="1" x14ac:dyDescent="0.3">
      <c r="A17" s="12" t="s">
        <v>16</v>
      </c>
      <c r="B17" s="86"/>
      <c r="C17" s="87">
        <f>SUM(C2:C16)</f>
        <v>0</v>
      </c>
      <c r="D17" s="88" t="e">
        <f>SUBTOTAL(109,D2:D16)</f>
        <v>#DIV/0!</v>
      </c>
      <c r="E17" s="89">
        <f>SUM(E2:E16)</f>
        <v>0</v>
      </c>
      <c r="F17" s="89">
        <f>SUM(F2:F16)</f>
        <v>0</v>
      </c>
      <c r="G17" s="89">
        <f>SUM(G2:G16)</f>
        <v>0</v>
      </c>
    </row>
    <row r="18" spans="1:7" ht="27.75" customHeight="1" thickTop="1" thickBot="1" x14ac:dyDescent="0.3">
      <c r="A18" s="184" t="s">
        <v>48</v>
      </c>
      <c r="B18" s="85" t="s">
        <v>43</v>
      </c>
      <c r="C18" s="85" t="s">
        <v>44</v>
      </c>
      <c r="D18" s="85" t="s">
        <v>45</v>
      </c>
      <c r="E18" s="85" t="s">
        <v>46</v>
      </c>
      <c r="F18" s="85" t="s">
        <v>47</v>
      </c>
      <c r="G18" s="85" t="s">
        <v>61</v>
      </c>
    </row>
    <row r="19" spans="1:7" ht="23.25" customHeight="1" thickTop="1" thickBot="1" x14ac:dyDescent="0.3">
      <c r="A19" s="184"/>
      <c r="B19" s="11" t="s">
        <v>10</v>
      </c>
      <c r="C19" s="14"/>
      <c r="D19" s="96" t="e">
        <f>Table1921[[#This Row],[عدد]]/$C$34</f>
        <v>#DIV/0!</v>
      </c>
      <c r="E19" s="97"/>
      <c r="F19" s="97"/>
      <c r="G19" s="83">
        <f>E19-F19</f>
        <v>0</v>
      </c>
    </row>
    <row r="20" spans="1:7" ht="23.25" customHeight="1" thickTop="1" thickBot="1" x14ac:dyDescent="0.3">
      <c r="A20" s="184"/>
      <c r="B20" s="11" t="s">
        <v>11</v>
      </c>
      <c r="C20" s="14"/>
      <c r="D20" s="96" t="e">
        <f>Table1921[[#This Row],[عدد]]/$C$34</f>
        <v>#DIV/0!</v>
      </c>
      <c r="E20" s="97"/>
      <c r="F20" s="97"/>
      <c r="G20" s="83">
        <f t="shared" ref="G20:G33" si="3">E20-F20</f>
        <v>0</v>
      </c>
    </row>
    <row r="21" spans="1:7" ht="23.25" customHeight="1" thickTop="1" thickBot="1" x14ac:dyDescent="0.3">
      <c r="A21" s="184"/>
      <c r="B21" s="11" t="s">
        <v>134</v>
      </c>
      <c r="C21" s="14"/>
      <c r="D21" s="96" t="e">
        <f>Table1921[[#This Row],[عدد]]/$C$34</f>
        <v>#DIV/0!</v>
      </c>
      <c r="E21" s="97"/>
      <c r="F21" s="97"/>
      <c r="G21" s="83">
        <f t="shared" si="3"/>
        <v>0</v>
      </c>
    </row>
    <row r="22" spans="1:7" ht="23.25" customHeight="1" thickTop="1" thickBot="1" x14ac:dyDescent="0.3">
      <c r="A22" s="184"/>
      <c r="B22" s="11" t="s">
        <v>135</v>
      </c>
      <c r="C22" s="14"/>
      <c r="D22" s="96" t="e">
        <f>Table1921[[#This Row],[عدد]]/$C$34</f>
        <v>#DIV/0!</v>
      </c>
      <c r="E22" s="97"/>
      <c r="F22" s="97"/>
      <c r="G22" s="83">
        <f t="shared" si="3"/>
        <v>0</v>
      </c>
    </row>
    <row r="23" spans="1:7" ht="23.25" thickTop="1" thickBot="1" x14ac:dyDescent="0.3">
      <c r="A23" s="184"/>
      <c r="B23" s="11" t="s">
        <v>136</v>
      </c>
      <c r="C23" s="14"/>
      <c r="D23" s="96" t="e">
        <f>Table1921[[#This Row],[عدد]]/$C$34</f>
        <v>#DIV/0!</v>
      </c>
      <c r="E23" s="97"/>
      <c r="F23" s="97"/>
      <c r="G23" s="83">
        <f t="shared" si="3"/>
        <v>0</v>
      </c>
    </row>
    <row r="24" spans="1:7" ht="23.25" thickTop="1" thickBot="1" x14ac:dyDescent="0.3">
      <c r="A24" s="184"/>
      <c r="B24" s="11" t="s">
        <v>15</v>
      </c>
      <c r="C24" s="14"/>
      <c r="D24" s="96" t="e">
        <f>Table1921[[#This Row],[عدد]]/$C$34</f>
        <v>#DIV/0!</v>
      </c>
      <c r="E24" s="97"/>
      <c r="F24" s="97"/>
      <c r="G24" s="83">
        <f t="shared" si="3"/>
        <v>0</v>
      </c>
    </row>
    <row r="25" spans="1:7" ht="23.25" thickTop="1" thickBot="1" x14ac:dyDescent="0.3">
      <c r="A25" s="184"/>
      <c r="B25" s="11" t="s">
        <v>137</v>
      </c>
      <c r="C25" s="14"/>
      <c r="D25" s="96" t="e">
        <f>Table1921[[#This Row],[عدد]]/$C$34</f>
        <v>#DIV/0!</v>
      </c>
      <c r="E25" s="97"/>
      <c r="F25" s="97"/>
      <c r="G25" s="83">
        <f t="shared" si="3"/>
        <v>0</v>
      </c>
    </row>
    <row r="26" spans="1:7" ht="23.25" thickTop="1" thickBot="1" x14ac:dyDescent="0.3">
      <c r="A26" s="184"/>
      <c r="B26" s="11" t="s">
        <v>138</v>
      </c>
      <c r="C26" s="14"/>
      <c r="D26" s="96" t="e">
        <f>Table1921[[#This Row],[عدد]]/$C$34</f>
        <v>#DIV/0!</v>
      </c>
      <c r="E26" s="97"/>
      <c r="F26" s="97"/>
      <c r="G26" s="83">
        <f t="shared" si="3"/>
        <v>0</v>
      </c>
    </row>
    <row r="27" spans="1:7" ht="23.25" thickTop="1" thickBot="1" x14ac:dyDescent="0.3">
      <c r="A27" s="184"/>
      <c r="B27" s="11" t="s">
        <v>139</v>
      </c>
      <c r="C27" s="14"/>
      <c r="D27" s="96" t="e">
        <f>Table1921[[#This Row],[عدد]]/$C$34</f>
        <v>#DIV/0!</v>
      </c>
      <c r="E27" s="97"/>
      <c r="F27" s="97"/>
      <c r="G27" s="83">
        <f t="shared" si="3"/>
        <v>0</v>
      </c>
    </row>
    <row r="28" spans="1:7" ht="23.25" thickTop="1" thickBot="1" x14ac:dyDescent="0.3">
      <c r="A28" s="184"/>
      <c r="B28" s="11" t="s">
        <v>14</v>
      </c>
      <c r="C28" s="14"/>
      <c r="D28" s="96" t="e">
        <f>Table1921[[#This Row],[عدد]]/$C$34</f>
        <v>#DIV/0!</v>
      </c>
      <c r="E28" s="97"/>
      <c r="F28" s="97"/>
      <c r="G28" s="83">
        <f t="shared" si="3"/>
        <v>0</v>
      </c>
    </row>
    <row r="29" spans="1:7" ht="23.25" thickTop="1" thickBot="1" x14ac:dyDescent="0.3">
      <c r="A29" s="184"/>
      <c r="B29" s="11" t="s">
        <v>140</v>
      </c>
      <c r="C29" s="14"/>
      <c r="D29" s="96" t="e">
        <f>Table1921[[#This Row],[عدد]]/$C$34</f>
        <v>#DIV/0!</v>
      </c>
      <c r="E29" s="97"/>
      <c r="F29" s="97"/>
      <c r="G29" s="83">
        <f t="shared" si="3"/>
        <v>0</v>
      </c>
    </row>
    <row r="30" spans="1:7" ht="23.25" thickTop="1" thickBot="1" x14ac:dyDescent="0.3">
      <c r="A30" s="184"/>
      <c r="B30" s="11" t="s">
        <v>14</v>
      </c>
      <c r="C30" s="14"/>
      <c r="D30" s="96" t="e">
        <f>Table1921[[#This Row],[عدد]]/$C$34</f>
        <v>#DIV/0!</v>
      </c>
      <c r="E30" s="97"/>
      <c r="F30" s="97"/>
      <c r="G30" s="83">
        <f t="shared" si="3"/>
        <v>0</v>
      </c>
    </row>
    <row r="31" spans="1:7" ht="23.25" thickTop="1" thickBot="1" x14ac:dyDescent="0.3">
      <c r="A31" s="184"/>
      <c r="B31" s="11" t="s">
        <v>141</v>
      </c>
      <c r="C31" s="14"/>
      <c r="D31" s="96" t="e">
        <f>Table1921[[#This Row],[عدد]]/$C$34</f>
        <v>#DIV/0!</v>
      </c>
      <c r="E31" s="97"/>
      <c r="F31" s="97"/>
      <c r="G31" s="83">
        <f t="shared" si="3"/>
        <v>0</v>
      </c>
    </row>
    <row r="32" spans="1:7" ht="23.25" thickTop="1" thickBot="1" x14ac:dyDescent="0.3">
      <c r="A32" s="184"/>
      <c r="B32" s="11" t="s">
        <v>142</v>
      </c>
      <c r="C32" s="14"/>
      <c r="D32" s="96" t="e">
        <f>Table1921[[#This Row],[عدد]]/$C$34</f>
        <v>#DIV/0!</v>
      </c>
      <c r="E32" s="97"/>
      <c r="F32" s="97"/>
      <c r="G32" s="83">
        <f t="shared" si="3"/>
        <v>0</v>
      </c>
    </row>
    <row r="33" spans="1:7" ht="23.25" thickTop="1" thickBot="1" x14ac:dyDescent="0.3">
      <c r="A33" s="185"/>
      <c r="B33" s="11" t="s">
        <v>143</v>
      </c>
      <c r="C33" s="14"/>
      <c r="D33" s="96" t="e">
        <f>Table1921[[#This Row],[عدد]]/$C$34</f>
        <v>#DIV/0!</v>
      </c>
      <c r="E33" s="97"/>
      <c r="F33" s="97"/>
      <c r="G33" s="83">
        <f t="shared" si="3"/>
        <v>0</v>
      </c>
    </row>
    <row r="34" spans="1:7" ht="23.25" thickTop="1" thickBot="1" x14ac:dyDescent="0.3">
      <c r="A34" s="57" t="s">
        <v>16</v>
      </c>
      <c r="B34" s="98"/>
      <c r="C34" s="99">
        <f>SUM(C19:C33)</f>
        <v>0</v>
      </c>
      <c r="D34" s="100" t="e">
        <f>SUBTOTAL(109,D19:D33)</f>
        <v>#DIV/0!</v>
      </c>
      <c r="E34" s="101">
        <f t="shared" ref="E34" si="4">SUBTOTAL(109,E19:E33)</f>
        <v>0</v>
      </c>
      <c r="F34" s="101">
        <f>SUBTOTAL(109,F19:F33)</f>
        <v>0</v>
      </c>
      <c r="G34" s="84">
        <f>SUBTOTAL(109,G19:G33)</f>
        <v>0</v>
      </c>
    </row>
    <row r="35" spans="1:7" ht="30" customHeight="1" thickBot="1" x14ac:dyDescent="0.3">
      <c r="A35" s="183" t="s">
        <v>49</v>
      </c>
      <c r="B35" s="55" t="s">
        <v>43</v>
      </c>
      <c r="C35" s="55" t="s">
        <v>44</v>
      </c>
      <c r="D35" s="55" t="s">
        <v>45</v>
      </c>
      <c r="E35" s="55" t="s">
        <v>46</v>
      </c>
      <c r="F35" s="55" t="s">
        <v>47</v>
      </c>
      <c r="G35" s="55" t="s">
        <v>61</v>
      </c>
    </row>
    <row r="36" spans="1:7" ht="23.25" thickTop="1" thickBot="1" x14ac:dyDescent="0.3">
      <c r="A36" s="184"/>
      <c r="B36" s="41" t="s">
        <v>10</v>
      </c>
      <c r="C36" s="14"/>
      <c r="D36" s="62" t="e">
        <f>Table192122[[#This Row],[عدد]]/$C$51</f>
        <v>#DIV/0!</v>
      </c>
      <c r="E36" s="97"/>
      <c r="F36" s="97"/>
      <c r="G36" s="83">
        <f>E36-F36</f>
        <v>0</v>
      </c>
    </row>
    <row r="37" spans="1:7" ht="23.25" thickTop="1" thickBot="1" x14ac:dyDescent="0.3">
      <c r="A37" s="184"/>
      <c r="B37" s="41" t="s">
        <v>11</v>
      </c>
      <c r="C37" s="14"/>
      <c r="D37" s="62" t="e">
        <f>Table192122[[#This Row],[عدد]]/$C$51</f>
        <v>#DIV/0!</v>
      </c>
      <c r="E37" s="97"/>
      <c r="F37" s="97"/>
      <c r="G37" s="83">
        <f t="shared" ref="G37:G50" si="5">E37-F37</f>
        <v>0</v>
      </c>
    </row>
    <row r="38" spans="1:7" ht="23.25" thickTop="1" thickBot="1" x14ac:dyDescent="0.3">
      <c r="A38" s="184"/>
      <c r="B38" s="41" t="s">
        <v>134</v>
      </c>
      <c r="C38" s="14"/>
      <c r="D38" s="62" t="e">
        <f>Table192122[[#This Row],[عدد]]/$C$51</f>
        <v>#DIV/0!</v>
      </c>
      <c r="E38" s="97"/>
      <c r="F38" s="97"/>
      <c r="G38" s="83">
        <f t="shared" si="5"/>
        <v>0</v>
      </c>
    </row>
    <row r="39" spans="1:7" ht="23.25" thickTop="1" thickBot="1" x14ac:dyDescent="0.3">
      <c r="A39" s="184"/>
      <c r="B39" s="41" t="s">
        <v>135</v>
      </c>
      <c r="C39" s="14"/>
      <c r="D39" s="62" t="e">
        <f>Table192122[[#This Row],[عدد]]/$C$51</f>
        <v>#DIV/0!</v>
      </c>
      <c r="E39" s="97"/>
      <c r="F39" s="97"/>
      <c r="G39" s="83">
        <f t="shared" si="5"/>
        <v>0</v>
      </c>
    </row>
    <row r="40" spans="1:7" ht="23.25" thickTop="1" thickBot="1" x14ac:dyDescent="0.3">
      <c r="A40" s="184"/>
      <c r="B40" s="41" t="s">
        <v>136</v>
      </c>
      <c r="C40" s="14"/>
      <c r="D40" s="62" t="e">
        <f>Table192122[[#This Row],[عدد]]/$C$51</f>
        <v>#DIV/0!</v>
      </c>
      <c r="E40" s="97"/>
      <c r="F40" s="97"/>
      <c r="G40" s="83">
        <f t="shared" si="5"/>
        <v>0</v>
      </c>
    </row>
    <row r="41" spans="1:7" ht="23.25" thickTop="1" thickBot="1" x14ac:dyDescent="0.3">
      <c r="A41" s="184"/>
      <c r="B41" s="41" t="s">
        <v>15</v>
      </c>
      <c r="C41" s="14"/>
      <c r="D41" s="62" t="e">
        <f>Table192122[[#This Row],[عدد]]/$C$51</f>
        <v>#DIV/0!</v>
      </c>
      <c r="E41" s="97"/>
      <c r="F41" s="97"/>
      <c r="G41" s="83">
        <f t="shared" si="5"/>
        <v>0</v>
      </c>
    </row>
    <row r="42" spans="1:7" ht="23.25" thickTop="1" thickBot="1" x14ac:dyDescent="0.3">
      <c r="A42" s="184"/>
      <c r="B42" s="41" t="s">
        <v>137</v>
      </c>
      <c r="C42" s="14"/>
      <c r="D42" s="62" t="e">
        <f>Table192122[[#This Row],[عدد]]/$C$51</f>
        <v>#DIV/0!</v>
      </c>
      <c r="E42" s="97"/>
      <c r="F42" s="97"/>
      <c r="G42" s="83">
        <f t="shared" si="5"/>
        <v>0</v>
      </c>
    </row>
    <row r="43" spans="1:7" ht="23.25" thickTop="1" thickBot="1" x14ac:dyDescent="0.3">
      <c r="A43" s="184"/>
      <c r="B43" s="41" t="s">
        <v>138</v>
      </c>
      <c r="C43" s="14"/>
      <c r="D43" s="62" t="e">
        <f>Table192122[[#This Row],[عدد]]/$C$51</f>
        <v>#DIV/0!</v>
      </c>
      <c r="E43" s="97"/>
      <c r="F43" s="97"/>
      <c r="G43" s="83">
        <f t="shared" si="5"/>
        <v>0</v>
      </c>
    </row>
    <row r="44" spans="1:7" ht="23.25" thickTop="1" thickBot="1" x14ac:dyDescent="0.3">
      <c r="A44" s="184"/>
      <c r="B44" s="41" t="s">
        <v>139</v>
      </c>
      <c r="C44" s="14"/>
      <c r="D44" s="62" t="e">
        <f>Table192122[[#This Row],[عدد]]/$C$51</f>
        <v>#DIV/0!</v>
      </c>
      <c r="E44" s="97"/>
      <c r="F44" s="97"/>
      <c r="G44" s="83">
        <f t="shared" si="5"/>
        <v>0</v>
      </c>
    </row>
    <row r="45" spans="1:7" ht="23.25" thickTop="1" thickBot="1" x14ac:dyDescent="0.3">
      <c r="A45" s="184"/>
      <c r="B45" s="41" t="s">
        <v>14</v>
      </c>
      <c r="C45" s="14"/>
      <c r="D45" s="62" t="e">
        <f>Table192122[[#This Row],[عدد]]/$C$51</f>
        <v>#DIV/0!</v>
      </c>
      <c r="E45" s="97"/>
      <c r="F45" s="97"/>
      <c r="G45" s="83">
        <f t="shared" si="5"/>
        <v>0</v>
      </c>
    </row>
    <row r="46" spans="1:7" ht="23.25" thickTop="1" thickBot="1" x14ac:dyDescent="0.3">
      <c r="A46" s="184"/>
      <c r="B46" s="41" t="s">
        <v>140</v>
      </c>
      <c r="C46" s="14"/>
      <c r="D46" s="62" t="e">
        <f>Table192122[[#This Row],[عدد]]/$C$51</f>
        <v>#DIV/0!</v>
      </c>
      <c r="E46" s="97"/>
      <c r="F46" s="97"/>
      <c r="G46" s="83">
        <f t="shared" si="5"/>
        <v>0</v>
      </c>
    </row>
    <row r="47" spans="1:7" ht="23.25" thickTop="1" thickBot="1" x14ac:dyDescent="0.3">
      <c r="A47" s="184"/>
      <c r="B47" s="41" t="s">
        <v>14</v>
      </c>
      <c r="C47" s="14"/>
      <c r="D47" s="62" t="e">
        <f>Table192122[[#This Row],[عدد]]/$C$51</f>
        <v>#DIV/0!</v>
      </c>
      <c r="E47" s="97"/>
      <c r="F47" s="97"/>
      <c r="G47" s="83">
        <f t="shared" si="5"/>
        <v>0</v>
      </c>
    </row>
    <row r="48" spans="1:7" ht="23.25" thickTop="1" thickBot="1" x14ac:dyDescent="0.3">
      <c r="A48" s="184"/>
      <c r="B48" s="41" t="s">
        <v>141</v>
      </c>
      <c r="C48" s="14"/>
      <c r="D48" s="62" t="e">
        <f>Table192122[[#This Row],[عدد]]/$C$51</f>
        <v>#DIV/0!</v>
      </c>
      <c r="E48" s="97"/>
      <c r="F48" s="97"/>
      <c r="G48" s="83">
        <f t="shared" si="5"/>
        <v>0</v>
      </c>
    </row>
    <row r="49" spans="1:7" ht="23.25" thickTop="1" thickBot="1" x14ac:dyDescent="0.3">
      <c r="A49" s="184"/>
      <c r="B49" s="41" t="s">
        <v>142</v>
      </c>
      <c r="C49" s="14"/>
      <c r="D49" s="62" t="e">
        <f>Table192122[[#This Row],[عدد]]/$C$51</f>
        <v>#DIV/0!</v>
      </c>
      <c r="E49" s="97"/>
      <c r="F49" s="97"/>
      <c r="G49" s="83">
        <f t="shared" si="5"/>
        <v>0</v>
      </c>
    </row>
    <row r="50" spans="1:7" ht="23.25" thickTop="1" thickBot="1" x14ac:dyDescent="0.3">
      <c r="A50" s="185"/>
      <c r="B50" s="47" t="s">
        <v>143</v>
      </c>
      <c r="C50" s="14"/>
      <c r="D50" s="62" t="e">
        <f>Table192122[[#This Row],[عدد]]/$C$51</f>
        <v>#DIV/0!</v>
      </c>
      <c r="E50" s="97"/>
      <c r="F50" s="97"/>
      <c r="G50" s="83">
        <f t="shared" si="5"/>
        <v>0</v>
      </c>
    </row>
    <row r="51" spans="1:7" ht="23.25" thickTop="1" thickBot="1" x14ac:dyDescent="0.3">
      <c r="A51" s="57" t="s">
        <v>16</v>
      </c>
      <c r="B51" s="56"/>
      <c r="C51" s="63">
        <f t="shared" ref="C51" si="6">SUM(C36:C50)</f>
        <v>0</v>
      </c>
      <c r="D51" s="64" t="e">
        <f>SUBTOTAL(109,D36:D50)</f>
        <v>#DIV/0!</v>
      </c>
      <c r="E51" s="84">
        <f t="shared" ref="E51" si="7">SUBTOTAL(109,E36:E50)</f>
        <v>0</v>
      </c>
      <c r="F51" s="84">
        <f t="shared" ref="F51" si="8">SUBTOTAL(109,F36:F50)</f>
        <v>0</v>
      </c>
      <c r="G51" s="84">
        <f>SUBTOTAL(109,G36:G50)</f>
        <v>0</v>
      </c>
    </row>
    <row r="52" spans="1:7" ht="26.25" customHeight="1" thickBot="1" x14ac:dyDescent="0.3">
      <c r="A52" s="183" t="s">
        <v>50</v>
      </c>
      <c r="B52" s="55" t="s">
        <v>43</v>
      </c>
      <c r="C52" s="55" t="s">
        <v>44</v>
      </c>
      <c r="D52" s="55" t="s">
        <v>45</v>
      </c>
      <c r="E52" s="55" t="s">
        <v>46</v>
      </c>
      <c r="F52" s="55" t="s">
        <v>47</v>
      </c>
      <c r="G52" s="55" t="s">
        <v>61</v>
      </c>
    </row>
    <row r="53" spans="1:7" ht="23.25" thickTop="1" thickBot="1" x14ac:dyDescent="0.3">
      <c r="A53" s="184"/>
      <c r="B53" s="41" t="s">
        <v>10</v>
      </c>
      <c r="C53" s="14"/>
      <c r="D53" s="62" t="e">
        <f>Table19212223[[#This Row],[عدد]]/$C$68</f>
        <v>#DIV/0!</v>
      </c>
      <c r="E53" s="97"/>
      <c r="F53" s="97"/>
      <c r="G53" s="83">
        <f>E53-F53</f>
        <v>0</v>
      </c>
    </row>
    <row r="54" spans="1:7" ht="23.25" thickTop="1" thickBot="1" x14ac:dyDescent="0.3">
      <c r="A54" s="184"/>
      <c r="B54" s="41" t="s">
        <v>11</v>
      </c>
      <c r="C54" s="14"/>
      <c r="D54" s="62" t="e">
        <f>Table19212223[[#This Row],[عدد]]/$C$68</f>
        <v>#DIV/0!</v>
      </c>
      <c r="E54" s="97"/>
      <c r="F54" s="97"/>
      <c r="G54" s="83">
        <f t="shared" ref="G54:G67" si="9">E54-F54</f>
        <v>0</v>
      </c>
    </row>
    <row r="55" spans="1:7" ht="23.25" thickTop="1" thickBot="1" x14ac:dyDescent="0.3">
      <c r="A55" s="184"/>
      <c r="B55" s="41" t="s">
        <v>134</v>
      </c>
      <c r="C55" s="14"/>
      <c r="D55" s="62" t="e">
        <f>Table19212223[[#This Row],[عدد]]/$C$68</f>
        <v>#DIV/0!</v>
      </c>
      <c r="E55" s="97"/>
      <c r="F55" s="97"/>
      <c r="G55" s="83">
        <f t="shared" si="9"/>
        <v>0</v>
      </c>
    </row>
    <row r="56" spans="1:7" ht="23.25" thickTop="1" thickBot="1" x14ac:dyDescent="0.3">
      <c r="A56" s="184"/>
      <c r="B56" s="41" t="s">
        <v>135</v>
      </c>
      <c r="C56" s="14"/>
      <c r="D56" s="62" t="e">
        <f>Table19212223[[#This Row],[عدد]]/$C$68</f>
        <v>#DIV/0!</v>
      </c>
      <c r="E56" s="97"/>
      <c r="F56" s="97"/>
      <c r="G56" s="83">
        <f t="shared" si="9"/>
        <v>0</v>
      </c>
    </row>
    <row r="57" spans="1:7" ht="23.25" thickTop="1" thickBot="1" x14ac:dyDescent="0.3">
      <c r="A57" s="184"/>
      <c r="B57" s="41" t="s">
        <v>136</v>
      </c>
      <c r="C57" s="14"/>
      <c r="D57" s="62" t="e">
        <f>Table19212223[[#This Row],[عدد]]/$C$68</f>
        <v>#DIV/0!</v>
      </c>
      <c r="E57" s="97"/>
      <c r="F57" s="97"/>
      <c r="G57" s="83">
        <f t="shared" si="9"/>
        <v>0</v>
      </c>
    </row>
    <row r="58" spans="1:7" ht="23.25" thickTop="1" thickBot="1" x14ac:dyDescent="0.3">
      <c r="A58" s="184"/>
      <c r="B58" s="41" t="s">
        <v>15</v>
      </c>
      <c r="C58" s="14"/>
      <c r="D58" s="62" t="e">
        <f>Table19212223[[#This Row],[عدد]]/$C$68</f>
        <v>#DIV/0!</v>
      </c>
      <c r="E58" s="97"/>
      <c r="F58" s="97"/>
      <c r="G58" s="83">
        <f t="shared" si="9"/>
        <v>0</v>
      </c>
    </row>
    <row r="59" spans="1:7" ht="23.25" thickTop="1" thickBot="1" x14ac:dyDescent="0.3">
      <c r="A59" s="184"/>
      <c r="B59" s="41" t="s">
        <v>137</v>
      </c>
      <c r="C59" s="14"/>
      <c r="D59" s="62" t="e">
        <f>Table19212223[[#This Row],[عدد]]/$C$68</f>
        <v>#DIV/0!</v>
      </c>
      <c r="E59" s="97"/>
      <c r="F59" s="97"/>
      <c r="G59" s="83">
        <f t="shared" si="9"/>
        <v>0</v>
      </c>
    </row>
    <row r="60" spans="1:7" ht="23.25" thickTop="1" thickBot="1" x14ac:dyDescent="0.3">
      <c r="A60" s="184"/>
      <c r="B60" s="41" t="s">
        <v>138</v>
      </c>
      <c r="C60" s="14"/>
      <c r="D60" s="62" t="e">
        <f>Table19212223[[#This Row],[عدد]]/$C$68</f>
        <v>#DIV/0!</v>
      </c>
      <c r="E60" s="97"/>
      <c r="F60" s="97"/>
      <c r="G60" s="83">
        <f t="shared" si="9"/>
        <v>0</v>
      </c>
    </row>
    <row r="61" spans="1:7" ht="23.25" thickTop="1" thickBot="1" x14ac:dyDescent="0.3">
      <c r="A61" s="184"/>
      <c r="B61" s="41" t="s">
        <v>139</v>
      </c>
      <c r="C61" s="14"/>
      <c r="D61" s="62" t="e">
        <f>Table19212223[[#This Row],[عدد]]/$C$68</f>
        <v>#DIV/0!</v>
      </c>
      <c r="E61" s="97"/>
      <c r="F61" s="97"/>
      <c r="G61" s="83">
        <f t="shared" si="9"/>
        <v>0</v>
      </c>
    </row>
    <row r="62" spans="1:7" ht="23.25" thickTop="1" thickBot="1" x14ac:dyDescent="0.3">
      <c r="A62" s="184"/>
      <c r="B62" s="41" t="s">
        <v>14</v>
      </c>
      <c r="C62" s="14"/>
      <c r="D62" s="62" t="e">
        <f>Table19212223[[#This Row],[عدد]]/$C$68</f>
        <v>#DIV/0!</v>
      </c>
      <c r="E62" s="97"/>
      <c r="F62" s="97"/>
      <c r="G62" s="83">
        <f t="shared" si="9"/>
        <v>0</v>
      </c>
    </row>
    <row r="63" spans="1:7" ht="23.25" thickTop="1" thickBot="1" x14ac:dyDescent="0.3">
      <c r="A63" s="184"/>
      <c r="B63" s="41" t="s">
        <v>140</v>
      </c>
      <c r="C63" s="14"/>
      <c r="D63" s="62" t="e">
        <f>Table19212223[[#This Row],[عدد]]/$C$68</f>
        <v>#DIV/0!</v>
      </c>
      <c r="E63" s="97"/>
      <c r="F63" s="97"/>
      <c r="G63" s="83">
        <f t="shared" si="9"/>
        <v>0</v>
      </c>
    </row>
    <row r="64" spans="1:7" ht="23.25" thickTop="1" thickBot="1" x14ac:dyDescent="0.3">
      <c r="A64" s="184"/>
      <c r="B64" s="41" t="s">
        <v>14</v>
      </c>
      <c r="C64" s="14"/>
      <c r="D64" s="62" t="e">
        <f>Table19212223[[#This Row],[عدد]]/$C$68</f>
        <v>#DIV/0!</v>
      </c>
      <c r="E64" s="97"/>
      <c r="F64" s="97"/>
      <c r="G64" s="83">
        <f t="shared" si="9"/>
        <v>0</v>
      </c>
    </row>
    <row r="65" spans="1:8" ht="23.25" thickTop="1" thickBot="1" x14ac:dyDescent="0.3">
      <c r="A65" s="184"/>
      <c r="B65" s="41" t="s">
        <v>141</v>
      </c>
      <c r="C65" s="14"/>
      <c r="D65" s="62" t="e">
        <f>Table19212223[[#This Row],[عدد]]/$C$68</f>
        <v>#DIV/0!</v>
      </c>
      <c r="E65" s="97"/>
      <c r="F65" s="97"/>
      <c r="G65" s="83">
        <f t="shared" si="9"/>
        <v>0</v>
      </c>
    </row>
    <row r="66" spans="1:8" ht="23.25" thickTop="1" thickBot="1" x14ac:dyDescent="0.3">
      <c r="A66" s="184"/>
      <c r="B66" s="41" t="s">
        <v>142</v>
      </c>
      <c r="C66" s="14"/>
      <c r="D66" s="62" t="e">
        <f>Table19212223[[#This Row],[عدد]]/$C$68</f>
        <v>#DIV/0!</v>
      </c>
      <c r="E66" s="97"/>
      <c r="F66" s="97"/>
      <c r="G66" s="83">
        <f t="shared" si="9"/>
        <v>0</v>
      </c>
    </row>
    <row r="67" spans="1:8" ht="23.25" thickTop="1" thickBot="1" x14ac:dyDescent="0.3">
      <c r="A67" s="185"/>
      <c r="B67" s="47" t="s">
        <v>143</v>
      </c>
      <c r="C67" s="14"/>
      <c r="D67" s="62" t="e">
        <f>Table19212223[[#This Row],[عدد]]/$C$68</f>
        <v>#DIV/0!</v>
      </c>
      <c r="E67" s="97"/>
      <c r="F67" s="97"/>
      <c r="G67" s="83">
        <f t="shared" si="9"/>
        <v>0</v>
      </c>
    </row>
    <row r="68" spans="1:8" ht="23.25" customHeight="1" thickTop="1" thickBot="1" x14ac:dyDescent="0.3">
      <c r="A68" s="57" t="s">
        <v>16</v>
      </c>
      <c r="B68" s="56"/>
      <c r="C68" s="63">
        <f t="shared" ref="C68" si="10">SUM(C53:C67)</f>
        <v>0</v>
      </c>
      <c r="D68" s="64" t="e">
        <f>SUM(109,D53:D67)</f>
        <v>#DIV/0!</v>
      </c>
      <c r="E68" s="84">
        <f t="shared" ref="E68:F68" si="11">SUBTOTAL(109,E53:E67)</f>
        <v>0</v>
      </c>
      <c r="F68" s="84">
        <f t="shared" si="11"/>
        <v>0</v>
      </c>
      <c r="G68" s="84">
        <f>SUBTOTAL(109,G53:G67)</f>
        <v>0</v>
      </c>
    </row>
    <row r="69" spans="1:8" ht="21" customHeight="1" thickBot="1" x14ac:dyDescent="0.3">
      <c r="A69" s="183" t="s">
        <v>128</v>
      </c>
      <c r="B69" s="55" t="s">
        <v>43</v>
      </c>
      <c r="C69" s="55" t="s">
        <v>44</v>
      </c>
      <c r="D69" s="55" t="s">
        <v>45</v>
      </c>
      <c r="E69" s="55" t="s">
        <v>46</v>
      </c>
      <c r="F69" s="55" t="s">
        <v>47</v>
      </c>
      <c r="G69" s="55" t="s">
        <v>61</v>
      </c>
    </row>
    <row r="70" spans="1:8" ht="24" customHeight="1" thickTop="1" thickBot="1" x14ac:dyDescent="0.3">
      <c r="A70" s="184"/>
      <c r="B70" s="41" t="s">
        <v>10</v>
      </c>
      <c r="C70" s="14"/>
      <c r="D70" s="62" t="e">
        <f>Table1921222324[[#This Row],[عدد]]/$C$85</f>
        <v>#DIV/0!</v>
      </c>
      <c r="E70" s="97"/>
      <c r="F70" s="97"/>
      <c r="G70" s="83">
        <f>E70-F70</f>
        <v>0</v>
      </c>
    </row>
    <row r="71" spans="1:8" ht="20.25" customHeight="1" thickTop="1" thickBot="1" x14ac:dyDescent="0.3">
      <c r="A71" s="184"/>
      <c r="B71" s="41" t="s">
        <v>11</v>
      </c>
      <c r="C71" s="14"/>
      <c r="D71" s="62" t="e">
        <f>Table1921222324[[#This Row],[عدد]]/$C$85</f>
        <v>#DIV/0!</v>
      </c>
      <c r="E71" s="97"/>
      <c r="F71" s="97"/>
      <c r="G71" s="83">
        <f t="shared" ref="G71:G84" si="12">E71-F71</f>
        <v>0</v>
      </c>
    </row>
    <row r="72" spans="1:8" ht="17.25" customHeight="1" thickTop="1" thickBot="1" x14ac:dyDescent="0.3">
      <c r="A72" s="184"/>
      <c r="B72" s="41" t="s">
        <v>134</v>
      </c>
      <c r="C72" s="14"/>
      <c r="D72" s="62" t="e">
        <f>Table1921222324[[#This Row],[عدد]]/$C$85</f>
        <v>#DIV/0!</v>
      </c>
      <c r="E72" s="97"/>
      <c r="F72" s="97"/>
      <c r="G72" s="83">
        <f t="shared" si="12"/>
        <v>0</v>
      </c>
      <c r="H72" s="58"/>
    </row>
    <row r="73" spans="1:8" ht="22.5" customHeight="1" thickTop="1" thickBot="1" x14ac:dyDescent="0.3">
      <c r="A73" s="184"/>
      <c r="B73" s="41" t="s">
        <v>135</v>
      </c>
      <c r="C73" s="14"/>
      <c r="D73" s="62" t="e">
        <f>Table1921222324[[#This Row],[عدد]]/$C$85</f>
        <v>#DIV/0!</v>
      </c>
      <c r="E73" s="97"/>
      <c r="F73" s="97"/>
      <c r="G73" s="83">
        <f t="shared" si="12"/>
        <v>0</v>
      </c>
    </row>
    <row r="74" spans="1:8" ht="20.25" customHeight="1" thickTop="1" thickBot="1" x14ac:dyDescent="0.3">
      <c r="A74" s="184"/>
      <c r="B74" s="41" t="s">
        <v>136</v>
      </c>
      <c r="C74" s="14"/>
      <c r="D74" s="62" t="e">
        <f>Table1921222324[[#This Row],[عدد]]/$C$85</f>
        <v>#DIV/0!</v>
      </c>
      <c r="E74" s="97"/>
      <c r="F74" s="97"/>
      <c r="G74" s="83">
        <f t="shared" si="12"/>
        <v>0</v>
      </c>
    </row>
    <row r="75" spans="1:8" ht="23.25" thickTop="1" thickBot="1" x14ac:dyDescent="0.3">
      <c r="A75" s="184"/>
      <c r="B75" s="41" t="s">
        <v>15</v>
      </c>
      <c r="C75" s="14"/>
      <c r="D75" s="62" t="e">
        <f>Table1921222324[[#This Row],[عدد]]/$C$85</f>
        <v>#DIV/0!</v>
      </c>
      <c r="E75" s="97"/>
      <c r="F75" s="97"/>
      <c r="G75" s="83">
        <f t="shared" si="12"/>
        <v>0</v>
      </c>
    </row>
    <row r="76" spans="1:8" ht="23.25" thickTop="1" thickBot="1" x14ac:dyDescent="0.3">
      <c r="A76" s="184"/>
      <c r="B76" s="41" t="s">
        <v>137</v>
      </c>
      <c r="C76" s="14"/>
      <c r="D76" s="62" t="e">
        <f>Table1921222324[[#This Row],[عدد]]/$C$85</f>
        <v>#DIV/0!</v>
      </c>
      <c r="E76" s="97"/>
      <c r="F76" s="97"/>
      <c r="G76" s="83">
        <f t="shared" si="12"/>
        <v>0</v>
      </c>
    </row>
    <row r="77" spans="1:8" ht="23.25" thickTop="1" thickBot="1" x14ac:dyDescent="0.3">
      <c r="A77" s="184"/>
      <c r="B77" s="41" t="s">
        <v>138</v>
      </c>
      <c r="C77" s="14"/>
      <c r="D77" s="62" t="e">
        <f>Table1921222324[[#This Row],[عدد]]/$C$85</f>
        <v>#DIV/0!</v>
      </c>
      <c r="E77" s="97"/>
      <c r="F77" s="97"/>
      <c r="G77" s="83">
        <f t="shared" si="12"/>
        <v>0</v>
      </c>
    </row>
    <row r="78" spans="1:8" ht="23.25" thickTop="1" thickBot="1" x14ac:dyDescent="0.3">
      <c r="A78" s="184"/>
      <c r="B78" s="41" t="s">
        <v>139</v>
      </c>
      <c r="C78" s="14"/>
      <c r="D78" s="62" t="e">
        <f>Table1921222324[[#This Row],[عدد]]/$C$85</f>
        <v>#DIV/0!</v>
      </c>
      <c r="E78" s="97"/>
      <c r="F78" s="97"/>
      <c r="G78" s="83">
        <f t="shared" si="12"/>
        <v>0</v>
      </c>
    </row>
    <row r="79" spans="1:8" ht="23.25" thickTop="1" thickBot="1" x14ac:dyDescent="0.3">
      <c r="A79" s="184"/>
      <c r="B79" s="41" t="s">
        <v>14</v>
      </c>
      <c r="C79" s="14"/>
      <c r="D79" s="62" t="e">
        <f>Table1921222324[[#This Row],[عدد]]/$C$85</f>
        <v>#DIV/0!</v>
      </c>
      <c r="E79" s="97"/>
      <c r="F79" s="97"/>
      <c r="G79" s="83">
        <f t="shared" si="12"/>
        <v>0</v>
      </c>
    </row>
    <row r="80" spans="1:8" ht="23.25" thickTop="1" thickBot="1" x14ac:dyDescent="0.3">
      <c r="A80" s="184"/>
      <c r="B80" s="41" t="s">
        <v>140</v>
      </c>
      <c r="C80" s="14"/>
      <c r="D80" s="62" t="e">
        <f>Table1921222324[[#This Row],[عدد]]/$C$85</f>
        <v>#DIV/0!</v>
      </c>
      <c r="E80" s="97"/>
      <c r="F80" s="97"/>
      <c r="G80" s="83">
        <f t="shared" si="12"/>
        <v>0</v>
      </c>
    </row>
    <row r="81" spans="1:7" ht="23.25" thickTop="1" thickBot="1" x14ac:dyDescent="0.3">
      <c r="A81" s="184"/>
      <c r="B81" s="41" t="s">
        <v>14</v>
      </c>
      <c r="C81" s="14"/>
      <c r="D81" s="62" t="e">
        <f>Table1921222324[[#This Row],[عدد]]/$C$85</f>
        <v>#DIV/0!</v>
      </c>
      <c r="E81" s="97"/>
      <c r="F81" s="97"/>
      <c r="G81" s="83">
        <f t="shared" si="12"/>
        <v>0</v>
      </c>
    </row>
    <row r="82" spans="1:7" ht="23.25" thickTop="1" thickBot="1" x14ac:dyDescent="0.3">
      <c r="A82" s="184"/>
      <c r="B82" s="41" t="s">
        <v>141</v>
      </c>
      <c r="C82" s="14"/>
      <c r="D82" s="62" t="e">
        <f>Table1921222324[[#This Row],[عدد]]/$C$85</f>
        <v>#DIV/0!</v>
      </c>
      <c r="E82" s="97"/>
      <c r="F82" s="97"/>
      <c r="G82" s="83">
        <f t="shared" si="12"/>
        <v>0</v>
      </c>
    </row>
    <row r="83" spans="1:7" ht="23.25" thickTop="1" thickBot="1" x14ac:dyDescent="0.3">
      <c r="A83" s="184"/>
      <c r="B83" s="41" t="s">
        <v>142</v>
      </c>
      <c r="C83" s="14"/>
      <c r="D83" s="62" t="e">
        <f>Table1921222324[[#This Row],[عدد]]/$C$85</f>
        <v>#DIV/0!</v>
      </c>
      <c r="E83" s="97"/>
      <c r="F83" s="97"/>
      <c r="G83" s="83">
        <f t="shared" si="12"/>
        <v>0</v>
      </c>
    </row>
    <row r="84" spans="1:7" ht="23.25" thickTop="1" thickBot="1" x14ac:dyDescent="0.3">
      <c r="A84" s="185"/>
      <c r="B84" s="47" t="s">
        <v>143</v>
      </c>
      <c r="C84" s="14"/>
      <c r="D84" s="62" t="e">
        <f>Table1921222324[[#This Row],[عدد]]/$C$85</f>
        <v>#DIV/0!</v>
      </c>
      <c r="E84" s="97"/>
      <c r="F84" s="97"/>
      <c r="G84" s="83">
        <f t="shared" si="12"/>
        <v>0</v>
      </c>
    </row>
    <row r="85" spans="1:7" ht="23.25" thickTop="1" thickBot="1" x14ac:dyDescent="0.3">
      <c r="A85" s="57" t="s">
        <v>16</v>
      </c>
      <c r="B85" s="56"/>
      <c r="C85" s="63">
        <f t="shared" ref="C85" si="13">SUM(C70:C84)</f>
        <v>0</v>
      </c>
      <c r="D85" s="65" t="e">
        <f>SUBTOTAL(109,D70:D84)</f>
        <v>#DIV/0!</v>
      </c>
      <c r="E85" s="84">
        <f t="shared" ref="E85" si="14">SUBTOTAL(109,E70:E84)</f>
        <v>0</v>
      </c>
      <c r="F85" s="84">
        <f t="shared" ref="F85" si="15">SUBTOTAL(109,F70:F84)</f>
        <v>0</v>
      </c>
      <c r="G85" s="84">
        <f>SUBTOTAL(109,G70:G84)</f>
        <v>0</v>
      </c>
    </row>
    <row r="86" spans="1:7" ht="44.25" thickBot="1" x14ac:dyDescent="0.3">
      <c r="A86" s="183" t="s">
        <v>212</v>
      </c>
      <c r="B86" s="55" t="s">
        <v>43</v>
      </c>
      <c r="C86" s="55" t="s">
        <v>44</v>
      </c>
      <c r="D86" s="55" t="s">
        <v>45</v>
      </c>
      <c r="E86" s="55" t="s">
        <v>46</v>
      </c>
      <c r="F86" s="55" t="s">
        <v>211</v>
      </c>
      <c r="G86" s="55" t="s">
        <v>61</v>
      </c>
    </row>
    <row r="87" spans="1:7" ht="23.25" thickTop="1" thickBot="1" x14ac:dyDescent="0.3">
      <c r="A87" s="184"/>
      <c r="B87" s="41" t="s">
        <v>10</v>
      </c>
      <c r="C87" s="14"/>
      <c r="D87" s="62" t="e">
        <f>Table19212223246[[#This Row],[عدد]]/$C$102</f>
        <v>#DIV/0!</v>
      </c>
      <c r="E87" s="97"/>
      <c r="F87" s="97"/>
      <c r="G87" s="83">
        <f>E87-F87</f>
        <v>0</v>
      </c>
    </row>
    <row r="88" spans="1:7" ht="23.25" thickTop="1" thickBot="1" x14ac:dyDescent="0.3">
      <c r="A88" s="184"/>
      <c r="B88" s="41" t="s">
        <v>11</v>
      </c>
      <c r="C88" s="14"/>
      <c r="D88" s="62" t="e">
        <f>Table19212223246[[#This Row],[عدد]]/$C$102</f>
        <v>#DIV/0!</v>
      </c>
      <c r="E88" s="97"/>
      <c r="F88" s="97"/>
      <c r="G88" s="83">
        <f t="shared" ref="G88:G101" si="16">E88-F88</f>
        <v>0</v>
      </c>
    </row>
    <row r="89" spans="1:7" ht="23.25" thickTop="1" thickBot="1" x14ac:dyDescent="0.3">
      <c r="A89" s="184"/>
      <c r="B89" s="41" t="s">
        <v>134</v>
      </c>
      <c r="C89" s="14"/>
      <c r="D89" s="62" t="e">
        <f>Table19212223246[[#This Row],[عدد]]/$C$102</f>
        <v>#DIV/0!</v>
      </c>
      <c r="E89" s="97"/>
      <c r="F89" s="97"/>
      <c r="G89" s="83">
        <f t="shared" si="16"/>
        <v>0</v>
      </c>
    </row>
    <row r="90" spans="1:7" ht="23.25" thickTop="1" thickBot="1" x14ac:dyDescent="0.3">
      <c r="A90" s="184"/>
      <c r="B90" s="41" t="s">
        <v>135</v>
      </c>
      <c r="C90" s="14"/>
      <c r="D90" s="62" t="e">
        <f>Table19212223246[[#This Row],[عدد]]/$C$102</f>
        <v>#DIV/0!</v>
      </c>
      <c r="E90" s="97"/>
      <c r="F90" s="97"/>
      <c r="G90" s="83">
        <f t="shared" si="16"/>
        <v>0</v>
      </c>
    </row>
    <row r="91" spans="1:7" ht="23.25" thickTop="1" thickBot="1" x14ac:dyDescent="0.3">
      <c r="A91" s="184"/>
      <c r="B91" s="41" t="s">
        <v>136</v>
      </c>
      <c r="C91" s="14"/>
      <c r="D91" s="62" t="e">
        <f>Table19212223246[[#This Row],[عدد]]/$C$102</f>
        <v>#DIV/0!</v>
      </c>
      <c r="E91" s="97"/>
      <c r="F91" s="97"/>
      <c r="G91" s="83">
        <f t="shared" si="16"/>
        <v>0</v>
      </c>
    </row>
    <row r="92" spans="1:7" ht="23.25" thickTop="1" thickBot="1" x14ac:dyDescent="0.3">
      <c r="A92" s="184"/>
      <c r="B92" s="41" t="s">
        <v>15</v>
      </c>
      <c r="C92" s="14"/>
      <c r="D92" s="62" t="e">
        <f>Table19212223246[[#This Row],[عدد]]/$C$102</f>
        <v>#DIV/0!</v>
      </c>
      <c r="E92" s="97"/>
      <c r="F92" s="97"/>
      <c r="G92" s="83">
        <f t="shared" si="16"/>
        <v>0</v>
      </c>
    </row>
    <row r="93" spans="1:7" ht="23.25" thickTop="1" thickBot="1" x14ac:dyDescent="0.3">
      <c r="A93" s="184"/>
      <c r="B93" s="41" t="s">
        <v>137</v>
      </c>
      <c r="C93" s="14"/>
      <c r="D93" s="62" t="e">
        <f>Table19212223246[[#This Row],[عدد]]/$C$102</f>
        <v>#DIV/0!</v>
      </c>
      <c r="E93" s="97"/>
      <c r="F93" s="97"/>
      <c r="G93" s="83">
        <f t="shared" si="16"/>
        <v>0</v>
      </c>
    </row>
    <row r="94" spans="1:7" ht="23.25" thickTop="1" thickBot="1" x14ac:dyDescent="0.3">
      <c r="A94" s="184"/>
      <c r="B94" s="41" t="s">
        <v>138</v>
      </c>
      <c r="C94" s="14"/>
      <c r="D94" s="62" t="e">
        <f>Table19212223246[[#This Row],[عدد]]/$C$102</f>
        <v>#DIV/0!</v>
      </c>
      <c r="E94" s="97"/>
      <c r="F94" s="97"/>
      <c r="G94" s="83">
        <f t="shared" si="16"/>
        <v>0</v>
      </c>
    </row>
    <row r="95" spans="1:7" ht="23.25" thickTop="1" thickBot="1" x14ac:dyDescent="0.3">
      <c r="A95" s="184"/>
      <c r="B95" s="41" t="s">
        <v>139</v>
      </c>
      <c r="C95" s="14"/>
      <c r="D95" s="62" t="e">
        <f>Table19212223246[[#This Row],[عدد]]/$C$102</f>
        <v>#DIV/0!</v>
      </c>
      <c r="E95" s="97"/>
      <c r="F95" s="97"/>
      <c r="G95" s="83">
        <f t="shared" si="16"/>
        <v>0</v>
      </c>
    </row>
    <row r="96" spans="1:7" ht="23.25" thickTop="1" thickBot="1" x14ac:dyDescent="0.3">
      <c r="A96" s="184"/>
      <c r="B96" s="41" t="s">
        <v>14</v>
      </c>
      <c r="C96" s="14"/>
      <c r="D96" s="62" t="e">
        <f>Table19212223246[[#This Row],[عدد]]/$C$102</f>
        <v>#DIV/0!</v>
      </c>
      <c r="E96" s="97"/>
      <c r="F96" s="97"/>
      <c r="G96" s="83">
        <f t="shared" si="16"/>
        <v>0</v>
      </c>
    </row>
    <row r="97" spans="1:7" ht="23.25" thickTop="1" thickBot="1" x14ac:dyDescent="0.3">
      <c r="A97" s="184"/>
      <c r="B97" s="41" t="s">
        <v>140</v>
      </c>
      <c r="C97" s="14"/>
      <c r="D97" s="62" t="e">
        <f>Table19212223246[[#This Row],[عدد]]/$C$102</f>
        <v>#DIV/0!</v>
      </c>
      <c r="E97" s="97"/>
      <c r="F97" s="97"/>
      <c r="G97" s="83">
        <f t="shared" si="16"/>
        <v>0</v>
      </c>
    </row>
    <row r="98" spans="1:7" ht="23.25" thickTop="1" thickBot="1" x14ac:dyDescent="0.3">
      <c r="A98" s="184"/>
      <c r="B98" s="41" t="s">
        <v>14</v>
      </c>
      <c r="C98" s="14"/>
      <c r="D98" s="62" t="e">
        <f>Table19212223246[[#This Row],[عدد]]/$C$102</f>
        <v>#DIV/0!</v>
      </c>
      <c r="E98" s="97"/>
      <c r="F98" s="97"/>
      <c r="G98" s="83">
        <f t="shared" si="16"/>
        <v>0</v>
      </c>
    </row>
    <row r="99" spans="1:7" ht="23.25" thickTop="1" thickBot="1" x14ac:dyDescent="0.3">
      <c r="A99" s="184"/>
      <c r="B99" s="41" t="s">
        <v>141</v>
      </c>
      <c r="C99" s="14"/>
      <c r="D99" s="62" t="e">
        <f>Table19212223246[[#This Row],[عدد]]/$C$102</f>
        <v>#DIV/0!</v>
      </c>
      <c r="E99" s="97"/>
      <c r="F99" s="97"/>
      <c r="G99" s="83">
        <f t="shared" si="16"/>
        <v>0</v>
      </c>
    </row>
    <row r="100" spans="1:7" ht="23.25" thickTop="1" thickBot="1" x14ac:dyDescent="0.3">
      <c r="A100" s="184"/>
      <c r="B100" s="41" t="s">
        <v>142</v>
      </c>
      <c r="C100" s="14"/>
      <c r="D100" s="62" t="e">
        <f>Table19212223246[[#This Row],[عدد]]/$C$102</f>
        <v>#DIV/0!</v>
      </c>
      <c r="E100" s="97"/>
      <c r="F100" s="97"/>
      <c r="G100" s="83">
        <f t="shared" si="16"/>
        <v>0</v>
      </c>
    </row>
    <row r="101" spans="1:7" ht="23.25" thickTop="1" thickBot="1" x14ac:dyDescent="0.3">
      <c r="A101" s="185"/>
      <c r="B101" s="47" t="s">
        <v>143</v>
      </c>
      <c r="C101" s="14"/>
      <c r="D101" s="62" t="e">
        <f>Table19212223246[[#This Row],[عدد]]/$C$102</f>
        <v>#DIV/0!</v>
      </c>
      <c r="E101" s="97"/>
      <c r="F101" s="97"/>
      <c r="G101" s="83">
        <f t="shared" si="16"/>
        <v>0</v>
      </c>
    </row>
    <row r="102" spans="1:7" ht="23.25" thickTop="1" thickBot="1" x14ac:dyDescent="0.3">
      <c r="A102" s="57" t="s">
        <v>16</v>
      </c>
      <c r="B102" s="56"/>
      <c r="C102" s="63">
        <f t="shared" ref="C102" si="17">SUM(C87:C101)</f>
        <v>0</v>
      </c>
      <c r="D102" s="65" t="e">
        <f>SUBTOTAL(109,D87:D101)</f>
        <v>#DIV/0!</v>
      </c>
      <c r="E102" s="84">
        <f t="shared" ref="E102" si="18">SUBTOTAL(109,E87:E101)</f>
        <v>0</v>
      </c>
      <c r="F102" s="84">
        <f t="shared" ref="F102" si="19">SUBTOTAL(109,F87:F101)</f>
        <v>0</v>
      </c>
      <c r="G102" s="84">
        <f>SUBTOTAL(109,G87:G101)</f>
        <v>0</v>
      </c>
    </row>
    <row r="103" spans="1:7" ht="44.25" thickBot="1" x14ac:dyDescent="0.3">
      <c r="A103" s="186" t="s">
        <v>80</v>
      </c>
      <c r="B103" s="55" t="s">
        <v>43</v>
      </c>
      <c r="C103" s="55" t="s">
        <v>44</v>
      </c>
      <c r="D103" s="55" t="s">
        <v>206</v>
      </c>
    </row>
    <row r="104" spans="1:7" ht="23.25" thickTop="1" thickBot="1" x14ac:dyDescent="0.55000000000000004">
      <c r="A104" s="187"/>
      <c r="B104" s="41" t="s">
        <v>10</v>
      </c>
      <c r="C104" s="14"/>
      <c r="D104" s="66" t="e">
        <f>Table24[[#This Row],[عدد]]/$C$17</f>
        <v>#DIV/0!</v>
      </c>
    </row>
    <row r="105" spans="1:7" ht="23.25" thickTop="1" thickBot="1" x14ac:dyDescent="0.55000000000000004">
      <c r="A105" s="187"/>
      <c r="B105" s="41" t="s">
        <v>11</v>
      </c>
      <c r="C105" s="14"/>
      <c r="D105" s="66" t="e">
        <f>Table24[[#This Row],[عدد]]/$C$17</f>
        <v>#DIV/0!</v>
      </c>
    </row>
    <row r="106" spans="1:7" ht="23.25" thickTop="1" thickBot="1" x14ac:dyDescent="0.55000000000000004">
      <c r="A106" s="187"/>
      <c r="B106" s="41" t="s">
        <v>134</v>
      </c>
      <c r="C106" s="14"/>
      <c r="D106" s="66" t="e">
        <f>Table24[[#This Row],[عدد]]/$C$17</f>
        <v>#DIV/0!</v>
      </c>
    </row>
    <row r="107" spans="1:7" ht="23.25" thickTop="1" thickBot="1" x14ac:dyDescent="0.55000000000000004">
      <c r="A107" s="187"/>
      <c r="B107" s="41" t="s">
        <v>135</v>
      </c>
      <c r="C107" s="14"/>
      <c r="D107" s="66" t="e">
        <f>Table24[[#This Row],[عدد]]/$C$17</f>
        <v>#DIV/0!</v>
      </c>
    </row>
    <row r="108" spans="1:7" ht="23.25" thickTop="1" thickBot="1" x14ac:dyDescent="0.55000000000000004">
      <c r="A108" s="187"/>
      <c r="B108" s="41" t="s">
        <v>136</v>
      </c>
      <c r="C108" s="14"/>
      <c r="D108" s="66" t="e">
        <f>Table24[[#This Row],[عدد]]/$C$17</f>
        <v>#DIV/0!</v>
      </c>
    </row>
    <row r="109" spans="1:7" ht="23.25" thickTop="1" thickBot="1" x14ac:dyDescent="0.55000000000000004">
      <c r="A109" s="187"/>
      <c r="B109" s="41" t="s">
        <v>15</v>
      </c>
      <c r="C109" s="14"/>
      <c r="D109" s="66" t="e">
        <f>Table24[[#This Row],[عدد]]/$C$17</f>
        <v>#DIV/0!</v>
      </c>
    </row>
    <row r="110" spans="1:7" ht="23.25" thickTop="1" thickBot="1" x14ac:dyDescent="0.55000000000000004">
      <c r="A110" s="187"/>
      <c r="B110" s="41" t="s">
        <v>137</v>
      </c>
      <c r="C110" s="14"/>
      <c r="D110" s="66" t="e">
        <f>Table24[[#This Row],[عدد]]/$C$17</f>
        <v>#DIV/0!</v>
      </c>
    </row>
    <row r="111" spans="1:7" ht="23.25" thickTop="1" thickBot="1" x14ac:dyDescent="0.55000000000000004">
      <c r="A111" s="187"/>
      <c r="B111" s="41" t="s">
        <v>138</v>
      </c>
      <c r="C111" s="14"/>
      <c r="D111" s="66" t="e">
        <f>Table24[[#This Row],[عدد]]/$C$17</f>
        <v>#DIV/0!</v>
      </c>
    </row>
    <row r="112" spans="1:7" ht="23.25" thickTop="1" thickBot="1" x14ac:dyDescent="0.55000000000000004">
      <c r="A112" s="187"/>
      <c r="B112" s="41" t="s">
        <v>139</v>
      </c>
      <c r="C112" s="14"/>
      <c r="D112" s="66" t="e">
        <f>Table24[[#This Row],[عدد]]/$C$17</f>
        <v>#DIV/0!</v>
      </c>
    </row>
    <row r="113" spans="1:4" ht="23.25" thickTop="1" thickBot="1" x14ac:dyDescent="0.55000000000000004">
      <c r="A113" s="187"/>
      <c r="B113" s="41" t="s">
        <v>14</v>
      </c>
      <c r="C113" s="14"/>
      <c r="D113" s="66" t="e">
        <f>Table24[[#This Row],[عدد]]/$C$17</f>
        <v>#DIV/0!</v>
      </c>
    </row>
    <row r="114" spans="1:4" ht="23.25" thickTop="1" thickBot="1" x14ac:dyDescent="0.55000000000000004">
      <c r="A114" s="187"/>
      <c r="B114" s="41" t="s">
        <v>140</v>
      </c>
      <c r="C114" s="14"/>
      <c r="D114" s="66" t="e">
        <f>Table24[[#This Row],[عدد]]/$C$17</f>
        <v>#DIV/0!</v>
      </c>
    </row>
    <row r="115" spans="1:4" ht="23.25" thickTop="1" thickBot="1" x14ac:dyDescent="0.55000000000000004">
      <c r="A115" s="187"/>
      <c r="B115" s="41" t="s">
        <v>14</v>
      </c>
      <c r="C115" s="14"/>
      <c r="D115" s="66" t="e">
        <f>Table24[[#This Row],[عدد]]/$C$17</f>
        <v>#DIV/0!</v>
      </c>
    </row>
    <row r="116" spans="1:4" ht="23.25" thickTop="1" thickBot="1" x14ac:dyDescent="0.55000000000000004">
      <c r="A116" s="187"/>
      <c r="B116" s="41" t="s">
        <v>141</v>
      </c>
      <c r="C116" s="14"/>
      <c r="D116" s="66" t="e">
        <f>Table24[[#This Row],[عدد]]/$C$17</f>
        <v>#DIV/0!</v>
      </c>
    </row>
    <row r="117" spans="1:4" ht="23.25" thickTop="1" thickBot="1" x14ac:dyDescent="0.55000000000000004">
      <c r="A117" s="187"/>
      <c r="B117" s="41" t="s">
        <v>142</v>
      </c>
      <c r="C117" s="14"/>
      <c r="D117" s="66" t="e">
        <f>Table24[[#This Row],[عدد]]/$C$17</f>
        <v>#DIV/0!</v>
      </c>
    </row>
    <row r="118" spans="1:4" ht="23.25" thickTop="1" thickBot="1" x14ac:dyDescent="0.55000000000000004">
      <c r="A118" s="188"/>
      <c r="B118" s="41" t="s">
        <v>143</v>
      </c>
      <c r="C118" s="14"/>
      <c r="D118" s="66" t="e">
        <f>Table24[[#This Row],[عدد]]/$C$17</f>
        <v>#DIV/0!</v>
      </c>
    </row>
    <row r="119" spans="1:4" ht="23.25" thickTop="1" thickBot="1" x14ac:dyDescent="0.3">
      <c r="A119" s="59" t="s">
        <v>16</v>
      </c>
      <c r="B119" s="56"/>
      <c r="C119" s="23">
        <f>SUM(C104:C118)</f>
        <v>0</v>
      </c>
      <c r="D119" s="65" t="e">
        <f>SUM(D104:D118)</f>
        <v>#DIV/0!</v>
      </c>
    </row>
  </sheetData>
  <sheetProtection algorithmName="SHA-512" hashValue="ERJYgW5i4aSalyRsRNK9wYYKt7bxXa3i5tub5BaW6lIrglVnQmwm8oOblyilTqJGPNjNMLSz/2/RGUnH+TLMXQ==" saltValue="of4a9Lr+qgjMSe0Xj+SmDA==" spinCount="100000" sheet="1" objects="1" scenarios="1"/>
  <mergeCells count="7">
    <mergeCell ref="A86:A101"/>
    <mergeCell ref="A103:A118"/>
    <mergeCell ref="A2:A16"/>
    <mergeCell ref="A18:A33"/>
    <mergeCell ref="A35:A50"/>
    <mergeCell ref="A52:A67"/>
    <mergeCell ref="A69:A84"/>
  </mergeCells>
  <dataValidations count="1">
    <dataValidation type="custom" operator="notEqual" allowBlank="1" showInputMessage="1" showErrorMessage="1" error=" الخلية لا تقبل نص " prompt="ملاحظة: ادخال ارقام" sqref="C87:C101 E19:F33 E36:F50 E53:F67 E70:F84 C19:C33 C36:C50 C53:C67 C70:C84 C104:C118 E87:F101 F2:F16" xr:uid="{B6A9D587-A21E-473B-919E-B7F32701216C}">
      <formula1>ISNUMBER(C2)</formula1>
    </dataValidation>
  </dataValidations>
  <pageMargins left="0.7" right="0.7" top="0.75" bottom="0.75" header="0.3" footer="0.3"/>
  <pageSetup paperSize="9" scale="25" orientation="portrait" r:id="rId1"/>
  <headerFooter>
    <oddHeader>&amp;C&amp;K139119&amp;10&amp;"Calibri"&amp;BPublic - عام&amp;B</oddHeader>
  </headerFooter>
  <drawing r:id="rId2"/>
  <legacyDrawingHF r:id="rId3"/>
  <tableParts count="7">
    <tablePart r:id="rId4"/>
    <tablePart r:id="rId5"/>
    <tablePart r:id="rId6"/>
    <tablePart r:id="rId7"/>
    <tablePart r:id="rId8"/>
    <tablePart r:id="rId9"/>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V29"/>
  <sheetViews>
    <sheetView showGridLines="0" rightToLeft="1" zoomScale="65" zoomScaleNormal="83" workbookViewId="0">
      <selection sqref="A1:B1"/>
    </sheetView>
  </sheetViews>
  <sheetFormatPr defaultRowHeight="21.75" x14ac:dyDescent="0.5"/>
  <cols>
    <col min="1" max="1" width="45.28515625" style="26" customWidth="1"/>
    <col min="2" max="2" width="63.85546875" style="26" customWidth="1"/>
    <col min="3" max="3" width="24.28515625" style="26" customWidth="1"/>
    <col min="4" max="4" width="29.85546875" style="26" bestFit="1" customWidth="1"/>
    <col min="5" max="5" width="32.28515625" style="26" bestFit="1" customWidth="1"/>
    <col min="6" max="6" width="23.5703125" style="26" customWidth="1"/>
    <col min="7" max="7" width="25.28515625" style="26" bestFit="1" customWidth="1"/>
    <col min="8" max="8" width="20.85546875" style="26" bestFit="1" customWidth="1"/>
    <col min="9" max="9" width="21.5703125" style="26" bestFit="1" customWidth="1"/>
    <col min="10" max="10" width="17.42578125" style="26" customWidth="1"/>
    <col min="11" max="11" width="19.42578125" style="26" customWidth="1"/>
    <col min="12" max="14" width="8.7109375" style="26"/>
    <col min="15" max="23" width="8.7109375" style="27"/>
    <col min="24" max="16384" width="9.140625" style="27"/>
  </cols>
  <sheetData>
    <row r="1" spans="1:21" ht="24" customHeight="1" thickTop="1" thickBot="1" x14ac:dyDescent="0.55000000000000004">
      <c r="A1" s="190" t="s">
        <v>78</v>
      </c>
      <c r="B1" s="191"/>
      <c r="L1" s="27"/>
      <c r="M1" s="27"/>
      <c r="N1" s="27"/>
    </row>
    <row r="2" spans="1:21" ht="23.25" thickTop="1" thickBot="1" x14ac:dyDescent="0.55000000000000004">
      <c r="A2" s="108" t="s">
        <v>73</v>
      </c>
      <c r="B2" s="109">
        <f>'(1) البيانات الاساسية'!B7</f>
        <v>0</v>
      </c>
      <c r="L2" s="27"/>
      <c r="M2" s="27"/>
      <c r="N2" s="27"/>
    </row>
    <row r="3" spans="1:21" ht="23.25" thickTop="1" thickBot="1" x14ac:dyDescent="0.55000000000000004">
      <c r="A3" s="108" t="s">
        <v>74</v>
      </c>
      <c r="B3" s="109">
        <f>'(1) البيانات الاساسية'!B8</f>
        <v>0</v>
      </c>
      <c r="L3" s="27"/>
      <c r="M3" s="27"/>
      <c r="N3" s="27"/>
    </row>
    <row r="4" spans="1:21" ht="23.25" thickTop="1" thickBot="1" x14ac:dyDescent="0.55000000000000004">
      <c r="A4" s="108" t="s">
        <v>2</v>
      </c>
      <c r="B4" s="109">
        <f>'(1) البيانات الاساسية'!B9</f>
        <v>0</v>
      </c>
      <c r="L4" s="27"/>
      <c r="M4" s="27"/>
      <c r="N4" s="27"/>
    </row>
    <row r="5" spans="1:21" ht="23.25" thickTop="1" thickBot="1" x14ac:dyDescent="0.55000000000000004">
      <c r="A5" s="108" t="s">
        <v>63</v>
      </c>
      <c r="B5" s="110"/>
      <c r="L5" s="27"/>
      <c r="M5" s="27"/>
      <c r="N5" s="27"/>
    </row>
    <row r="6" spans="1:21" ht="23.25" thickTop="1" thickBot="1" x14ac:dyDescent="0.55000000000000004">
      <c r="A6" s="108" t="s">
        <v>64</v>
      </c>
      <c r="B6" s="110"/>
      <c r="L6" s="27"/>
      <c r="M6" s="27"/>
      <c r="N6" s="27"/>
    </row>
    <row r="7" spans="1:21" ht="23.25" thickTop="1" thickBot="1" x14ac:dyDescent="0.55000000000000004">
      <c r="A7" s="108" t="s">
        <v>75</v>
      </c>
      <c r="B7" s="110"/>
      <c r="L7" s="27"/>
      <c r="M7" s="27"/>
      <c r="N7" s="27"/>
    </row>
    <row r="8" spans="1:21" ht="23.25" thickTop="1" thickBot="1" x14ac:dyDescent="0.55000000000000004">
      <c r="A8" s="108" t="s">
        <v>76</v>
      </c>
      <c r="B8" s="110"/>
      <c r="L8" s="27"/>
      <c r="M8" s="27"/>
      <c r="N8" s="27"/>
    </row>
    <row r="9" spans="1:21" ht="23.25" thickTop="1" thickBot="1" x14ac:dyDescent="0.55000000000000004">
      <c r="A9" s="108" t="s">
        <v>68</v>
      </c>
      <c r="B9" s="109">
        <f>'(1) البيانات الاساسية'!B10</f>
        <v>0</v>
      </c>
      <c r="L9" s="27"/>
      <c r="M9" s="27"/>
      <c r="N9" s="27"/>
    </row>
    <row r="10" spans="1:21" ht="23.25" thickTop="1" thickBot="1" x14ac:dyDescent="0.55000000000000004">
      <c r="A10" s="108" t="s">
        <v>77</v>
      </c>
      <c r="B10" s="109" t="str">
        <f>'(1) البيانات الاساسية'!B11</f>
        <v>مصرف الانماء</v>
      </c>
      <c r="L10" s="27"/>
      <c r="M10" s="27"/>
      <c r="N10" s="27"/>
    </row>
    <row r="11" spans="1:21" ht="23.25" thickTop="1" thickBot="1" x14ac:dyDescent="0.55000000000000004">
      <c r="A11" s="108" t="s">
        <v>65</v>
      </c>
      <c r="B11" s="74">
        <v>45658</v>
      </c>
      <c r="L11" s="27"/>
      <c r="M11" s="27"/>
      <c r="N11" s="27"/>
    </row>
    <row r="12" spans="1:21" ht="23.25" thickTop="1" thickBot="1" x14ac:dyDescent="0.55000000000000004">
      <c r="A12" s="108" t="s">
        <v>66</v>
      </c>
      <c r="B12" s="74">
        <v>46347</v>
      </c>
      <c r="L12" s="27"/>
      <c r="M12" s="27"/>
      <c r="N12" s="27"/>
    </row>
    <row r="13" spans="1:21" ht="23.25" thickTop="1" thickBot="1" x14ac:dyDescent="0.55000000000000004">
      <c r="A13" s="108" t="s">
        <v>67</v>
      </c>
      <c r="B13" s="111">
        <f ca="1">B12-TODAY()</f>
        <v>67</v>
      </c>
      <c r="L13" s="27"/>
      <c r="M13" s="27"/>
      <c r="N13" s="27"/>
    </row>
    <row r="14" spans="1:21" ht="12.75" customHeight="1" thickTop="1" thickBot="1" x14ac:dyDescent="0.55000000000000004">
      <c r="F14" s="27"/>
      <c r="L14" s="27"/>
      <c r="M14" s="27"/>
      <c r="N14" s="27"/>
    </row>
    <row r="15" spans="1:21" ht="27.75" customHeight="1" thickTop="1" thickBot="1" x14ac:dyDescent="0.55000000000000004">
      <c r="A15" s="193" t="s">
        <v>207</v>
      </c>
      <c r="B15" s="194"/>
      <c r="M15" s="24"/>
      <c r="N15" s="24"/>
      <c r="O15" s="24"/>
      <c r="P15" s="24"/>
      <c r="Q15" s="24"/>
      <c r="R15" s="24"/>
      <c r="S15" s="24"/>
      <c r="T15" s="24"/>
      <c r="U15" s="24"/>
    </row>
    <row r="16" spans="1:21" ht="46.5" customHeight="1" thickTop="1" thickBot="1" x14ac:dyDescent="0.55000000000000004">
      <c r="A16" s="112" t="s">
        <v>130</v>
      </c>
      <c r="B16" s="116" t="e" cm="1">
        <f t="array" ref="B16">(Table10[[#All],[Column4]]-Sheet1!J8-Sheet1!K8)</f>
        <v>#VALUE!</v>
      </c>
      <c r="M16" s="24"/>
      <c r="N16" s="24"/>
      <c r="O16" s="24"/>
      <c r="P16" s="24"/>
      <c r="Q16" s="24"/>
      <c r="R16" s="24"/>
      <c r="S16" s="24"/>
      <c r="T16" s="24"/>
    </row>
    <row r="17" spans="1:22" ht="25.5" customHeight="1" thickTop="1" thickBot="1" x14ac:dyDescent="0.55000000000000004">
      <c r="A17" s="112" t="s">
        <v>129</v>
      </c>
      <c r="B17" s="114" t="e">
        <f>B16-Sheet1!L8</f>
        <v>#VALUE!</v>
      </c>
      <c r="M17" s="24"/>
      <c r="N17" s="24"/>
      <c r="O17" s="24"/>
      <c r="P17" s="24"/>
      <c r="Q17" s="24"/>
      <c r="R17" s="24"/>
      <c r="S17" s="24"/>
      <c r="T17" s="24"/>
    </row>
    <row r="18" spans="1:22" ht="25.5" customHeight="1" thickTop="1" thickBot="1" x14ac:dyDescent="0.55000000000000004">
      <c r="A18" s="112" t="s">
        <v>131</v>
      </c>
      <c r="B18" s="114" t="e">
        <f>B17</f>
        <v>#VALUE!</v>
      </c>
      <c r="M18" s="24"/>
      <c r="N18" s="24"/>
      <c r="O18" s="24"/>
      <c r="P18" s="24"/>
      <c r="Q18" s="24"/>
      <c r="R18" s="24"/>
      <c r="S18" s="24"/>
      <c r="T18" s="24"/>
    </row>
    <row r="19" spans="1:22" s="29" customFormat="1" ht="21" customHeight="1" thickTop="1" thickBot="1" x14ac:dyDescent="0.55000000000000004">
      <c r="A19" s="112" t="s">
        <v>71</v>
      </c>
      <c r="B19" s="121"/>
      <c r="C19" s="26"/>
      <c r="D19" s="26"/>
      <c r="G19" s="26"/>
      <c r="J19" s="25"/>
      <c r="K19" s="25"/>
      <c r="L19" s="24"/>
      <c r="M19" s="24"/>
      <c r="N19" s="24"/>
      <c r="O19" s="24"/>
      <c r="P19" s="24"/>
      <c r="Q19" s="24"/>
      <c r="R19" s="24"/>
      <c r="S19" s="24"/>
      <c r="T19" s="24"/>
      <c r="U19" s="24"/>
      <c r="V19" s="24"/>
    </row>
    <row r="20" spans="1:22" ht="24.75" customHeight="1" thickTop="1" thickBot="1" x14ac:dyDescent="0.55000000000000004">
      <c r="A20" s="112" t="s">
        <v>72</v>
      </c>
      <c r="B20" s="121"/>
      <c r="K20" s="27"/>
    </row>
    <row r="21" spans="1:22" ht="17.25" customHeight="1" thickTop="1" thickBot="1" x14ac:dyDescent="0.55000000000000004">
      <c r="K21" s="27"/>
    </row>
    <row r="22" spans="1:22" ht="30.75" customHeight="1" thickTop="1" thickBot="1" x14ac:dyDescent="0.55000000000000004">
      <c r="A22" s="190" t="s">
        <v>132</v>
      </c>
      <c r="B22" s="192"/>
      <c r="C22" s="192"/>
      <c r="D22" s="192"/>
      <c r="E22" s="191"/>
    </row>
    <row r="23" spans="1:22" ht="21.75" customHeight="1" thickTop="1" thickBot="1" x14ac:dyDescent="0.55000000000000004">
      <c r="A23" s="125" t="s">
        <v>7</v>
      </c>
      <c r="B23" s="126" t="s">
        <v>85</v>
      </c>
      <c r="C23" s="126" t="s">
        <v>69</v>
      </c>
      <c r="D23" s="126" t="s">
        <v>86</v>
      </c>
      <c r="E23" s="127" t="s">
        <v>87</v>
      </c>
    </row>
    <row r="24" spans="1:22" ht="21.75" customHeight="1" thickTop="1" thickBot="1" x14ac:dyDescent="0.55000000000000004">
      <c r="A24" s="128" t="s">
        <v>70</v>
      </c>
      <c r="B24" s="129">
        <f>'(1) البيانات الاساسية'!D8</f>
        <v>0</v>
      </c>
      <c r="C24" s="135">
        <f>'(4) وحدات المشروع'!E51</f>
        <v>0</v>
      </c>
      <c r="D24" s="130">
        <f>B24-C24</f>
        <v>0</v>
      </c>
      <c r="E24" s="136" t="e">
        <f>C24/B24</f>
        <v>#DIV/0!</v>
      </c>
    </row>
    <row r="25" spans="1:22" ht="21.6" customHeight="1" thickTop="1" thickBot="1" x14ac:dyDescent="0.55000000000000004">
      <c r="A25" s="128" t="s">
        <v>203</v>
      </c>
      <c r="B25" s="129" t="str">
        <f>'(1) البيانات الاساسية'!D9</f>
        <v>( حسب بداية المشروع)</v>
      </c>
      <c r="C25" s="129">
        <f>'(3) العمليات المالية'!B9</f>
        <v>0</v>
      </c>
      <c r="D25" s="130" t="e">
        <f>B25-C25</f>
        <v>#VALUE!</v>
      </c>
      <c r="E25" s="131" t="e">
        <f>C25/B25</f>
        <v>#VALUE!</v>
      </c>
      <c r="F25" s="27"/>
      <c r="G25" s="28"/>
    </row>
    <row r="26" spans="1:22" ht="21.6" customHeight="1" thickTop="1" thickBot="1" x14ac:dyDescent="0.55000000000000004">
      <c r="A26" s="128" t="s">
        <v>88</v>
      </c>
      <c r="B26" s="129" t="str">
        <f>'(1) البيانات الاساسية'!D10</f>
        <v>( حسب بداية المشروع)</v>
      </c>
      <c r="C26" s="129">
        <f>'(3) العمليات المالية'!B11</f>
        <v>0</v>
      </c>
      <c r="D26" s="130" t="e">
        <f>B26-C26</f>
        <v>#VALUE!</v>
      </c>
      <c r="E26" s="131" t="e">
        <f>C26/B26</f>
        <v>#VALUE!</v>
      </c>
      <c r="F26" s="27"/>
      <c r="G26" s="28"/>
    </row>
    <row r="27" spans="1:22" ht="22.5" thickTop="1" x14ac:dyDescent="0.5">
      <c r="E27" s="27"/>
      <c r="N27" s="27"/>
    </row>
    <row r="28" spans="1:22" x14ac:dyDescent="0.5">
      <c r="N28" s="27"/>
    </row>
    <row r="29" spans="1:22" x14ac:dyDescent="0.5">
      <c r="N29" s="27"/>
    </row>
  </sheetData>
  <sheetProtection algorithmName="SHA-512" hashValue="a9teu7/kDHMuM+cALFdiQeDxU5zP54DmpCdTdG9xh16XhPm/2l0jTSa7+g8APUQcjhbNWE31gzMoMgjofj5Suw==" saltValue="3EwEUKfgv/QQ2I8gnCo9DA==" spinCount="100000" sheet="1" objects="1" scenarios="1"/>
  <mergeCells count="3">
    <mergeCell ref="A1:B1"/>
    <mergeCell ref="A22:E22"/>
    <mergeCell ref="A15:B15"/>
  </mergeCells>
  <conditionalFormatting sqref="B13">
    <cfRule type="cellIs" dxfId="13" priority="38" operator="lessThan">
      <formula>1</formula>
    </cfRule>
    <cfRule type="cellIs" dxfId="12" priority="39" operator="between">
      <formula>1</formula>
      <formula>179</formula>
    </cfRule>
    <cfRule type="cellIs" dxfId="11" priority="40" operator="between">
      <formula>1</formula>
      <formula>179</formula>
    </cfRule>
    <cfRule type="cellIs" dxfId="10" priority="41" operator="greaterThan">
      <formula>180</formula>
    </cfRule>
  </conditionalFormatting>
  <conditionalFormatting sqref="B17:B18">
    <cfRule type="cellIs" dxfId="9" priority="32" operator="lessThan">
      <formula>0</formula>
    </cfRule>
    <cfRule type="cellIs" dxfId="8" priority="33" operator="greaterThan">
      <formula>0</formula>
    </cfRule>
  </conditionalFormatting>
  <conditionalFormatting sqref="B17:B20">
    <cfRule type="cellIs" dxfId="7" priority="42" operator="greaterThan">
      <formula>0</formula>
    </cfRule>
    <cfRule type="cellIs" dxfId="6" priority="43" operator="lessThan">
      <formula>0</formula>
    </cfRule>
  </conditionalFormatting>
  <conditionalFormatting sqref="E25:E26">
    <cfRule type="cellIs" dxfId="5" priority="14" operator="lessThan">
      <formula>0.8</formula>
    </cfRule>
    <cfRule type="cellIs" dxfId="4" priority="15" operator="between">
      <formula>0.8</formula>
      <formula>0.89</formula>
    </cfRule>
    <cfRule type="cellIs" dxfId="3" priority="16" operator="greaterThan">
      <formula>0.9</formula>
    </cfRule>
    <cfRule type="cellIs" dxfId="2" priority="57" operator="greaterThan">
      <formula>1</formula>
    </cfRule>
    <cfRule type="dataBar" priority="58">
      <dataBar>
        <cfvo type="percent" val="0"/>
        <cfvo type="percent" val="100"/>
        <color theme="0" tint="-0.249977111117893"/>
      </dataBar>
      <extLst>
        <ext xmlns:x14="http://schemas.microsoft.com/office/spreadsheetml/2009/9/main" uri="{B025F937-C7B1-47D3-B67F-A62EFF666E3E}">
          <x14:id>{E363B7CF-BD33-4486-A631-24DC5227A031}</x14:id>
        </ext>
      </extLst>
    </cfRule>
  </conditionalFormatting>
  <conditionalFormatting sqref="E26">
    <cfRule type="cellIs" dxfId="1" priority="9" operator="greaterThan">
      <formula>1.2</formula>
    </cfRule>
    <cfRule type="cellIs" dxfId="0" priority="10" operator="between">
      <formula>1.01</formula>
      <formula>1.2</formula>
    </cfRule>
    <cfRule type="dataBar" priority="56">
      <dataBar>
        <cfvo type="percent" val="0"/>
        <cfvo type="percent" val="100"/>
        <color theme="0" tint="-0.249977111117893"/>
      </dataBar>
      <extLst>
        <ext xmlns:x14="http://schemas.microsoft.com/office/spreadsheetml/2009/9/main" uri="{B025F937-C7B1-47D3-B67F-A62EFF666E3E}">
          <x14:id>{6DF16124-3620-4F58-9372-4C4F40FE3A71}</x14:id>
        </ext>
      </extLst>
    </cfRule>
  </conditionalFormatting>
  <dataValidations count="3">
    <dataValidation type="custom" operator="notEqual" allowBlank="1" showInputMessage="1" showErrorMessage="1" error=" الخلية لا تقبل نص " prompt="ملاحظة: ادخال ارقام" sqref="B19:B20" xr:uid="{0795ABE3-DF63-4CA0-8A2C-AA58C1CDB24B}">
      <formula1>ISNUMBER(B19)</formula1>
    </dataValidation>
    <dataValidation type="custom" operator="notEqual" allowBlank="1" showInputMessage="1" showErrorMessage="1" errorTitle="خطأ" error="_x000a_ الخلية لا تقبل ارقام " prompt="ملاحظة: الادخال نص" sqref="B5:B8" xr:uid="{5A32955E-4DE5-4A9E-B1A7-24EB872281FE}">
      <formula1>ISTEXT(B5)</formula1>
    </dataValidation>
    <dataValidation type="date" allowBlank="1" showInputMessage="1" showErrorMessage="1" error=" الخلية لا تقبل نص او ارقام" prompt="مثال على الادخال : mm/dd/yyyy" sqref="B11:B12" xr:uid="{92248DDC-EDBB-4A4E-89AD-7B4137353588}">
      <formula1>42370</formula1>
      <formula2>51136</formula2>
    </dataValidation>
  </dataValidations>
  <pageMargins left="0.7" right="0.7" top="0.75" bottom="0.75" header="0.3" footer="0.3"/>
  <pageSetup paperSize="9" scale="33" orientation="portrait" r:id="rId1"/>
  <headerFooter>
    <oddHeader>&amp;C&amp;K139119&amp;10&amp;"Calibri"&amp;BPublic - عام&amp;B</oddHeader>
  </headerFooter>
  <colBreaks count="1" manualBreakCount="1">
    <brk id="16" max="1048575" man="1"/>
  </colBreaks>
  <drawing r:id="rId2"/>
  <legacyDrawingHF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E363B7CF-BD33-4486-A631-24DC5227A031}">
            <x14:dataBar minLength="0" maxLength="100">
              <x14:cfvo type="percent">
                <xm:f>0</xm:f>
              </x14:cfvo>
              <x14:cfvo type="percent">
                <xm:f>100</xm:f>
              </x14:cfvo>
              <x14:negativeFillColor rgb="FFFF0000"/>
              <x14:axisColor rgb="FF000000"/>
            </x14:dataBar>
          </x14:cfRule>
          <xm:sqref>E25:E26</xm:sqref>
        </x14:conditionalFormatting>
        <x14:conditionalFormatting xmlns:xm="http://schemas.microsoft.com/office/excel/2006/main">
          <x14:cfRule type="dataBar" id="{6DF16124-3620-4F58-9372-4C4F40FE3A71}">
            <x14:dataBar minLength="0" maxLength="100">
              <x14:cfvo type="percent">
                <xm:f>0</xm:f>
              </x14:cfvo>
              <x14:cfvo type="percent">
                <xm:f>100</xm:f>
              </x14:cfvo>
              <x14:negativeFillColor rgb="FFFF0000"/>
              <x14:axisColor rgb="FF000000"/>
            </x14:dataBar>
          </x14:cfRule>
          <xm:sqref>E26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40"/>
  <sheetViews>
    <sheetView showGridLines="0" rightToLeft="1" zoomScale="90" zoomScaleNormal="90" workbookViewId="0">
      <selection sqref="A1:C1"/>
    </sheetView>
  </sheetViews>
  <sheetFormatPr defaultRowHeight="15" x14ac:dyDescent="0.25"/>
  <cols>
    <col min="1" max="1" width="4.5703125" customWidth="1"/>
    <col min="2" max="2" width="36.5703125" customWidth="1"/>
    <col min="3" max="3" width="48.5703125" customWidth="1"/>
  </cols>
  <sheetData>
    <row r="1" spans="1:3" s="1" customFormat="1" ht="23.25" customHeight="1" thickTop="1" thickBot="1" x14ac:dyDescent="0.4">
      <c r="A1" s="195" t="s">
        <v>81</v>
      </c>
      <c r="B1" s="196"/>
      <c r="C1" s="196"/>
    </row>
    <row r="2" spans="1:3" ht="18.75" customHeight="1" thickTop="1" thickBot="1" x14ac:dyDescent="0.3">
      <c r="A2" s="200">
        <v>1</v>
      </c>
      <c r="B2" s="202" t="s">
        <v>82</v>
      </c>
      <c r="C2" s="203"/>
    </row>
    <row r="3" spans="1:3" ht="24.75" customHeight="1" thickTop="1" thickBot="1" x14ac:dyDescent="0.3">
      <c r="A3" s="200"/>
      <c r="B3" s="213"/>
      <c r="C3" s="214"/>
    </row>
    <row r="4" spans="1:3" ht="16.5" thickTop="1" thickBot="1" x14ac:dyDescent="0.3">
      <c r="A4" s="200"/>
      <c r="B4" s="206"/>
      <c r="C4" s="207"/>
    </row>
    <row r="5" spans="1:3" ht="16.5" thickTop="1" thickBot="1" x14ac:dyDescent="0.3">
      <c r="A5" s="200"/>
      <c r="B5" s="206"/>
      <c r="C5" s="207"/>
    </row>
    <row r="6" spans="1:3" ht="16.5" thickTop="1" thickBot="1" x14ac:dyDescent="0.3">
      <c r="A6" s="200"/>
      <c r="B6" s="206"/>
      <c r="C6" s="207"/>
    </row>
    <row r="7" spans="1:3" ht="16.5" thickTop="1" thickBot="1" x14ac:dyDescent="0.3">
      <c r="A7" s="200"/>
      <c r="B7" s="206"/>
      <c r="C7" s="207"/>
    </row>
    <row r="8" spans="1:3" ht="16.5" thickTop="1" thickBot="1" x14ac:dyDescent="0.3">
      <c r="A8" s="200"/>
      <c r="B8" s="215"/>
      <c r="C8" s="216"/>
    </row>
    <row r="9" spans="1:3" ht="16.5" customHeight="1" thickTop="1" thickBot="1" x14ac:dyDescent="0.3">
      <c r="A9" s="200">
        <v>2</v>
      </c>
      <c r="B9" s="202" t="s">
        <v>83</v>
      </c>
      <c r="C9" s="203"/>
    </row>
    <row r="10" spans="1:3" ht="16.5" thickTop="1" thickBot="1" x14ac:dyDescent="0.3">
      <c r="A10" s="200"/>
      <c r="B10" s="213"/>
      <c r="C10" s="214"/>
    </row>
    <row r="11" spans="1:3" ht="16.5" thickTop="1" thickBot="1" x14ac:dyDescent="0.3">
      <c r="A11" s="200"/>
      <c r="B11" s="206"/>
      <c r="C11" s="207"/>
    </row>
    <row r="12" spans="1:3" ht="16.5" thickTop="1" thickBot="1" x14ac:dyDescent="0.3">
      <c r="A12" s="200"/>
      <c r="B12" s="206"/>
      <c r="C12" s="207"/>
    </row>
    <row r="13" spans="1:3" ht="16.5" thickTop="1" thickBot="1" x14ac:dyDescent="0.3">
      <c r="A13" s="200"/>
      <c r="B13" s="206"/>
      <c r="C13" s="207"/>
    </row>
    <row r="14" spans="1:3" ht="16.5" thickTop="1" thickBot="1" x14ac:dyDescent="0.3">
      <c r="A14" s="200"/>
      <c r="B14" s="206"/>
      <c r="C14" s="207"/>
    </row>
    <row r="15" spans="1:3" ht="16.5" thickTop="1" thickBot="1" x14ac:dyDescent="0.3">
      <c r="A15" s="200"/>
      <c r="B15" s="215"/>
      <c r="C15" s="216"/>
    </row>
    <row r="16" spans="1:3" ht="15.75" customHeight="1" thickTop="1" thickBot="1" x14ac:dyDescent="0.3">
      <c r="A16" s="200">
        <v>3</v>
      </c>
      <c r="B16" s="202" t="s">
        <v>84</v>
      </c>
      <c r="C16" s="203"/>
    </row>
    <row r="17" spans="1:3" ht="16.5" thickTop="1" thickBot="1" x14ac:dyDescent="0.3">
      <c r="A17" s="200"/>
      <c r="B17" s="213"/>
      <c r="C17" s="214"/>
    </row>
    <row r="18" spans="1:3" ht="16.5" thickTop="1" thickBot="1" x14ac:dyDescent="0.3">
      <c r="A18" s="200"/>
      <c r="B18" s="206"/>
      <c r="C18" s="207"/>
    </row>
    <row r="19" spans="1:3" ht="16.5" thickTop="1" thickBot="1" x14ac:dyDescent="0.3">
      <c r="A19" s="200"/>
      <c r="B19" s="206"/>
      <c r="C19" s="207"/>
    </row>
    <row r="20" spans="1:3" ht="16.5" thickTop="1" thickBot="1" x14ac:dyDescent="0.3">
      <c r="A20" s="200"/>
      <c r="B20" s="206"/>
      <c r="C20" s="207"/>
    </row>
    <row r="21" spans="1:3" ht="16.5" thickTop="1" thickBot="1" x14ac:dyDescent="0.3">
      <c r="A21" s="201"/>
      <c r="B21" s="206"/>
      <c r="C21" s="207"/>
    </row>
    <row r="22" spans="1:3" ht="24.75" thickTop="1" thickBot="1" x14ac:dyDescent="0.3">
      <c r="A22" s="200">
        <v>4</v>
      </c>
      <c r="B22" s="202" t="s">
        <v>208</v>
      </c>
      <c r="C22" s="203"/>
    </row>
    <row r="23" spans="1:3" ht="16.5" thickTop="1" thickBot="1" x14ac:dyDescent="0.3">
      <c r="A23" s="200"/>
      <c r="B23" s="213"/>
      <c r="C23" s="214"/>
    </row>
    <row r="24" spans="1:3" ht="16.5" thickTop="1" thickBot="1" x14ac:dyDescent="0.3">
      <c r="A24" s="200"/>
      <c r="B24" s="206"/>
      <c r="C24" s="207"/>
    </row>
    <row r="25" spans="1:3" ht="16.5" thickTop="1" thickBot="1" x14ac:dyDescent="0.3">
      <c r="A25" s="200"/>
      <c r="B25" s="206"/>
      <c r="C25" s="207"/>
    </row>
    <row r="26" spans="1:3" ht="16.5" thickTop="1" thickBot="1" x14ac:dyDescent="0.3">
      <c r="A26" s="200"/>
      <c r="B26" s="206"/>
      <c r="C26" s="207"/>
    </row>
    <row r="27" spans="1:3" ht="16.5" thickTop="1" thickBot="1" x14ac:dyDescent="0.3">
      <c r="A27" s="201"/>
      <c r="B27" s="206"/>
      <c r="C27" s="207"/>
    </row>
    <row r="28" spans="1:3" ht="24.75" thickTop="1" thickBot="1" x14ac:dyDescent="0.3">
      <c r="A28" s="200">
        <v>5</v>
      </c>
      <c r="B28" s="202" t="s">
        <v>210</v>
      </c>
      <c r="C28" s="203"/>
    </row>
    <row r="29" spans="1:3" ht="16.5" thickTop="1" thickBot="1" x14ac:dyDescent="0.3">
      <c r="A29" s="200"/>
      <c r="B29" s="213"/>
      <c r="C29" s="214"/>
    </row>
    <row r="30" spans="1:3" ht="16.5" thickTop="1" thickBot="1" x14ac:dyDescent="0.3">
      <c r="A30" s="200"/>
      <c r="B30" s="206"/>
      <c r="C30" s="207"/>
    </row>
    <row r="31" spans="1:3" ht="16.5" thickTop="1" thickBot="1" x14ac:dyDescent="0.3">
      <c r="A31" s="200"/>
      <c r="B31" s="206"/>
      <c r="C31" s="207"/>
    </row>
    <row r="32" spans="1:3" ht="16.5" thickTop="1" thickBot="1" x14ac:dyDescent="0.3">
      <c r="A32" s="200"/>
      <c r="B32" s="206"/>
      <c r="C32" s="207"/>
    </row>
    <row r="33" spans="1:3" ht="16.5" thickTop="1" thickBot="1" x14ac:dyDescent="0.3">
      <c r="A33" s="201"/>
      <c r="B33" s="206"/>
      <c r="C33" s="207"/>
    </row>
    <row r="34" spans="1:3" ht="24" customHeight="1" thickTop="1" thickBot="1" x14ac:dyDescent="0.3">
      <c r="A34" s="197" t="s">
        <v>133</v>
      </c>
      <c r="B34" s="198"/>
      <c r="C34" s="199"/>
    </row>
    <row r="35" spans="1:3" ht="24.75" customHeight="1" thickTop="1" x14ac:dyDescent="0.25">
      <c r="A35" s="210">
        <v>6</v>
      </c>
      <c r="B35" s="204"/>
      <c r="C35" s="205"/>
    </row>
    <row r="36" spans="1:3" x14ac:dyDescent="0.25">
      <c r="A36" s="211"/>
      <c r="B36" s="206"/>
      <c r="C36" s="207"/>
    </row>
    <row r="37" spans="1:3" x14ac:dyDescent="0.25">
      <c r="A37" s="211"/>
      <c r="B37" s="206"/>
      <c r="C37" s="207"/>
    </row>
    <row r="38" spans="1:3" x14ac:dyDescent="0.25">
      <c r="A38" s="211"/>
      <c r="B38" s="206"/>
      <c r="C38" s="207"/>
    </row>
    <row r="39" spans="1:3" ht="15.75" thickBot="1" x14ac:dyDescent="0.3">
      <c r="A39" s="212"/>
      <c r="B39" s="208"/>
      <c r="C39" s="209"/>
    </row>
    <row r="40" spans="1:3" ht="15.75" thickTop="1" x14ac:dyDescent="0.25"/>
  </sheetData>
  <mergeCells count="19">
    <mergeCell ref="B35:C39"/>
    <mergeCell ref="A35:A39"/>
    <mergeCell ref="B3:C8"/>
    <mergeCell ref="B10:C15"/>
    <mergeCell ref="B17:C21"/>
    <mergeCell ref="B23:C27"/>
    <mergeCell ref="B29:C33"/>
    <mergeCell ref="B22:C22"/>
    <mergeCell ref="A28:A33"/>
    <mergeCell ref="B28:C28"/>
    <mergeCell ref="A9:A15"/>
    <mergeCell ref="A16:A21"/>
    <mergeCell ref="A1:C1"/>
    <mergeCell ref="A34:C34"/>
    <mergeCell ref="A2:A8"/>
    <mergeCell ref="A22:A27"/>
    <mergeCell ref="B2:C2"/>
    <mergeCell ref="B9:C9"/>
    <mergeCell ref="B16:C16"/>
  </mergeCells>
  <pageMargins left="0.7" right="0.7" top="0.75" bottom="0.75" header="0.3" footer="0.3"/>
  <pageSetup paperSize="9" scale="64" orientation="portrait" r:id="rId1"/>
  <headerFooter>
    <oddHeader>&amp;C&amp;K139119&amp;10&amp;"Calibri"&amp;BPublic - عام&amp;B</oddHeader>
  </headerFooter>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
  <sheetViews>
    <sheetView showGridLines="0" rightToLeft="1" zoomScaleNormal="100" workbookViewId="0">
      <selection activeCell="F11" sqref="F11"/>
    </sheetView>
  </sheetViews>
  <sheetFormatPr defaultRowHeight="15" x14ac:dyDescent="0.25"/>
  <sheetData/>
  <pageMargins left="0.7" right="0.7" top="0.75" bottom="0.75" header="0.3" footer="0.3"/>
  <pageSetup paperSize="9" orientation="portrait" r:id="rId1"/>
  <headerFooter>
    <oddHeader>&amp;C&amp;K139119&amp;10&amp;"Calibri"&amp;BPublic - عام&amp;B</oddHead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D7E190E26940429037C561BBC9E243" ma:contentTypeVersion="5" ma:contentTypeDescription="Create a new document." ma:contentTypeScope="" ma:versionID="a2a71ec5d075e9a4e1139cf51a8a98e4">
  <xsd:schema xmlns:xsd="http://www.w3.org/2001/XMLSchema" xmlns:xs="http://www.w3.org/2001/XMLSchema" xmlns:p="http://schemas.microsoft.com/office/2006/metadata/properties" xmlns:ns3="0b2dd7a3-60ad-4124-a67f-0565c2cfe501" targetNamespace="http://schemas.microsoft.com/office/2006/metadata/properties" ma:root="true" ma:fieldsID="0a52e9b7e0f180c1b5b335707b61ed2a" ns3:_="">
    <xsd:import namespace="0b2dd7a3-60ad-4124-a67f-0565c2cfe50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2dd7a3-60ad-4124-a67f-0565c2cfe50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040CB3-6A26-4D79-A7DF-E0F5653718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2dd7a3-60ad-4124-a67f-0565c2cfe5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554DBE-5383-49F0-9FDB-C5423EAC4A68}">
  <ds:schemaRefs>
    <ds:schemaRef ds:uri="http://schemas.openxmlformats.org/package/2006/metadata/core-properties"/>
    <ds:schemaRef ds:uri="http://purl.org/dc/terms/"/>
    <ds:schemaRef ds:uri="0b2dd7a3-60ad-4124-a67f-0565c2cfe501"/>
    <ds:schemaRef ds:uri="http://purl.org/dc/dcmitype/"/>
    <ds:schemaRef ds:uri="http://purl.org/dc/elements/1.1/"/>
    <ds:schemaRef ds:uri="http://schemas.microsoft.com/office/infopath/2007/PartnerControls"/>
    <ds:schemaRef ds:uri="http://schemas.microsoft.com/office/2006/documentManagement/typ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7FE2175C-5327-41E0-831A-FB40EE5E15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مقدمة</vt:lpstr>
      <vt:lpstr>تعليمات هامة قبل البدء</vt:lpstr>
      <vt:lpstr>(1) البيانات الاساسية</vt:lpstr>
      <vt:lpstr>(2) وثائق الصرف</vt:lpstr>
      <vt:lpstr>Sheet1</vt:lpstr>
      <vt:lpstr>(3) العمليات المالية</vt:lpstr>
      <vt:lpstr>(4) وحدات المشروع</vt:lpstr>
      <vt:lpstr>(5) تحليل البيانات المالية</vt:lpstr>
      <vt:lpstr>(6) النتائج والملاحظات</vt:lpstr>
      <vt:lpstr>قائمة المركز المالي (7)</vt:lpstr>
      <vt:lpstr>'(1) البيانات الاساسية'!Print_Area</vt:lpstr>
      <vt:lpstr>'(2) وثائق الصرف'!Print_Area</vt:lpstr>
      <vt:lpstr>'(3) العمليات المالية'!Print_Area</vt:lpstr>
      <vt:lpstr>'(4) وحدات المشروع'!Print_Area</vt:lpstr>
      <vt:lpstr>'(6) النتائج والملاحظات'!Print_Area</vt:lpstr>
      <vt:lpstr>'قائمة المركز المالي (7)'!Print_Area</vt:lpstr>
    </vt:vector>
  </TitlesOfParts>
  <Company>REGA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 O. Alshalawi</dc:creator>
  <cp:lastModifiedBy>Mohammed Abanmie</cp:lastModifiedBy>
  <dcterms:created xsi:type="dcterms:W3CDTF">2026-01-07T06:24:04Z</dcterms:created>
  <dcterms:modified xsi:type="dcterms:W3CDTF">2026-09-15T06:35:26Z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0x01010026D7E190E26940429037C561BBC9E243</vt:lpwstr>
  </property>
  <property fmtid="{D5CDD505-2E9C-101B-9397-08002B2CF9AE}" pid="3" name="gvdocid">
    <vt:lpwstr>40bf9baa-e8f7-41f9-8caf-ed69b35191a6</vt:lpwstr>
  </property>
  <property fmtid="{D5CDD505-2E9C-101B-9397-08002B2CF9AE}" pid="4" name="ClassificationTagSetId">
    <vt:lpwstr>e16409a7-1700-4153-9090-3955bc2f0ae8</vt:lpwstr>
  </property>
  <property fmtid="{D5CDD505-2E9C-101B-9397-08002B2CF9AE}" pid="5" name="ComplianceTagSetId">
    <vt:lpwstr>f14fc1f1-8950-40d5-8a29-45909da947d6</vt:lpwstr>
  </property>
  <property fmtid="{D5CDD505-2E9C-101B-9397-08002B2CF9AE}" pid="6" name="FileId">
    <vt:lpwstr>40bf9baa-e8f7-41f9-8caf-ed69b35191a6</vt:lpwstr>
  </property>
  <property fmtid="{D5CDD505-2E9C-101B-9397-08002B2CF9AE}" pid="7" name="UserId">
    <vt:lpwstr>Mohammed Abanmie</vt:lpwstr>
  </property>
  <property fmtid="{D5CDD505-2E9C-101B-9397-08002B2CF9AE}" pid="8" name="TagDateTime">
    <vt:lpwstr>2026-09-15T06:35:12Z</vt:lpwstr>
  </property>
  <property fmtid="{D5CDD505-2E9C-101B-9397-08002B2CF9AE}" pid="9" name="GVData">
    <vt:lpwstr>eyJPUyI6IldpbmRvd3MiLCJkb2NJRCI6IjQwYmY5YmFhLWU4ZjctNDFmOS04Y2FmLWVkNjliMzUxOTFhNiIsImRvY1N0YXRlIjoie1wiM3JkUGFydHlIZWFkZXJcIjpcIntcXFwiQ2VudGVyXFxcIjpcXFwiJksxMzkxMTkmMTAmXFxcXFxcXCJDYWxpYnJpXFxcXFxc</vt:lpwstr>
  </property>
  <property fmtid="{D5CDD505-2E9C-101B-9397-08002B2CF9AE}" pid="10" name="GVData0">
    <vt:lpwstr>XCImQlB1YmxpYyAtINi52KfZhSZCXFxcIn1cIixcIkN1cnJlbnRTdGF0ZVwiOlwie1xcXCJGaXJzdFBhZ2VEaWZmZXJlbnRcXFwiOmZhbHNlLFxcXCJEaWZmZXJlbnRPZGRBbmRFdmVuUGFnZXNcXFwiOmZhbHNlLFxcXCJQYWdlQ291bnRcXFwiOjEwLFxcXCJIZWFk</vt:lpwstr>
  </property>
  <property fmtid="{D5CDD505-2E9C-101B-9397-08002B2CF9AE}" pid="11" name="GVData1">
    <vt:lpwstr>ZXJNZXRhZGF0YVxcXCI6XFxcIntcXFxcXFxcIkxlZnRcXFxcXFxcIjpcXFxcXFxcIlxcXFxcXFwiLFxcXFxcXFwiQ2VudGVyXFxcXFxcXCI6XFxcXFxcXCJQdWJsaWMgLSDYudin2YVcXFxcXFxcIixcXFxcXFxcIlJpZ2h0XFxcXFxcXCI6XFxcXFxcXCJcXFxcXFxc</vt:lpwstr>
  </property>
  <property fmtid="{D5CDD505-2E9C-101B-9397-08002B2CF9AE}" pid="12" name="GVData2">
    <vt:lpwstr>In1cXFwiLFxcXCJUaGlyZFBhcnR5SGVhZGVyTWV0YWRhdGFcXFwiOlxcXCJ7XFxcXFxcXCJDZW50ZXJcXFxcXFxcIjpcXFxcXFxcIiZLMTM5MTE5JjEwJlxcXFxcXFxcXFxcXFxcXCJDYWxpYnJpXFxcXFxcXFxcXFxcXFxcIiZCUHVibGljIC0g2LnYp9mFJkJcXFxc</vt:lpwstr>
  </property>
  <property fmtid="{D5CDD505-2E9C-101B-9397-08002B2CF9AE}" pid="13" name="GVData3">
    <vt:lpwstr>XFxcIn1cXFwiLFxcXCJHVkhlYWRlckV4aXN0c1xcXCI6dHJ1ZSxcXFwiTm9uR1ZIZWFkZXJFeGlzdHNcXFwiOnRydWUsXFxcIkZsb2F0aW5nSGVhZGVyRXhpc3RzXFxcIjpmYWxzZSxcXFwiTm9uR1ZIZWFkZXJTaGFwZUV4aXN0c1xcXCI6ZmFsc2UsXFxcIlRoaXJk</vt:lpwstr>
  </property>
  <property fmtid="{D5CDD505-2E9C-101B-9397-08002B2CF9AE}" pid="14" name="GVData4">
    <vt:lpwstr>UGFydHlIZWFkZXJzXFxcIjpbXSxcXFwiRm9vdGVyTWV0YWRhdGFcXFwiOlxcXCJcXFwiLFxcXCJUaGlyZFBhcnR5Rm9vdGVyTWV0YWRhdGFcXFwiOlxcXCJcXFwiLFxcXCJHVkZvb3RlckV4aXN0c1xcXCI6ZmFsc2UsXFxcIk5vbkdWRm9vdGVyRXhpc3RzXFxcIjpm</vt:lpwstr>
  </property>
  <property fmtid="{D5CDD505-2E9C-101B-9397-08002B2CF9AE}" pid="15" name="GVData5">
    <vt:lpwstr>YWxzZSxcXFwiRmxvYXRpbmdGb290ZXJFeGlzdHNcXFwiOmZhbHNlLFxcXCJOb25HVkZvb3RlclNoYXBlRXhpc3RzXFxcIjpmYWxzZSxcXFwiVGhpcmRQYXJ0eUZvb3RlcnNcXFwiOltdLFxcXCJXYXRlcm1hcmtNZXRhZGF0YVxcXCI6XFxcIlxcXCIsXFxcIldhdGVy</vt:lpwstr>
  </property>
  <property fmtid="{D5CDD505-2E9C-101B-9397-08002B2CF9AE}" pid="16" name="GVData6">
    <vt:lpwstr>bWFya0V4aXN0c1xcXCI6ZmFsc2UsXFxcIlBvd2VycG9pbnRUaXRsZU1ldGFkYXRhXFxcIjpudWxsLFxcXCJQb3dlcnBvaW50U3VidGl0bGVNZXRhZGF0YVxcXCI6bnVsbCxcXFwiVGhpcmRQYXJ0eU1ldGFkYXRhRm91bmRcXFwiOmZhbHNlfVwiLFwiSGVhZGVyXCI6</vt:lpwstr>
  </property>
  <property fmtid="{D5CDD505-2E9C-101B-9397-08002B2CF9AE}" pid="17" name="GVData7">
    <vt:lpwstr>XCJ7XFxcIkxlZnRcXFwiOlxcXCJcXFwiLFxcXCJDZW50ZXJcXFwiOlxcXCJQdWJsaWMgLSDYudin2YVcXFwiLFxcXCJSaWdodFxcXCI6XFxcIlxcXCJ9XCIsXCJPcHRpb25zXCI6XCJ7XFxcIlBvcHVwQ29uZmlndXJhdGlvblxcXCI6e1xcXCJBbHdheXNTaG93UG9w</vt:lpwstr>
  </property>
  <property fmtid="{D5CDD505-2E9C-101B-9397-08002B2CF9AE}" pid="18" name="Classification">
    <vt:lpwstr>Public - عام</vt:lpwstr>
  </property>
  <property fmtid="{D5CDD505-2E9C-101B-9397-08002B2CF9AE}" pid="19" name="GVData8">
    <vt:lpwstr>dXBcXFwiOmZhbHNlLFxcXCJFbmZvcmNlSGVhZGVyRm9vdGVyVHlwZVxcXCI6ZmFsc2UsXFxcIkhlYWRlclBsYWNlbWVudFR5cGVcXFwiOjAsXFxcIkZvb3RlclBsYWNlbWVudFR5cGVcXFwiOjAsXFxcIkVuZm9yY2VMYXlvdXRPcHRpb25cXFwiOnRydWUsXFxcIkxh</vt:lpwstr>
  </property>
  <property fmtid="{D5CDD505-2E9C-101B-9397-08002B2CF9AE}" pid="20" name="GVData9">
    <vt:lpwstr>eW91dE9wdGlvblxcXCI6MCxcXFwiVHJpZ2dlck51bWJlclxcXCI6MCxcXFwiRnJvbUluZGV4XFxcIjowLFxcXCJUb0luZGV4XFxcIjowLFxcXCJFbmZvcmNlT3ZlcndyaXRlT3B0aW9uXFxcIjp0cnVlLFxcXCJPdmVyd3JpdGVPcHRpb25cXFwiOlxcXCJhcHBlbmRc</vt:lpwstr>
  </property>
  <property fmtid="{D5CDD505-2E9C-101B-9397-08002B2CF9AE}" pid="21" name="GVData10">
    <vt:lpwstr>XFwifSxcXFwiSGVhZGVyRW5hYmxlZFxcXCI6dHJ1ZSxcXFwiSGVhZGVyXFxcIjpcXFwiPHNwYW4gc3R5bGU9XFxcXFxcXCJjb2xvcjojMTM5MTE5O1xcXFxcXFwiPjxzdHJvbmc+UHVibGljIC0g2LnYp9mFPC9zdHJvbmc+PC9zcGFuPlxcXCIsXFxcIkhlYWRlcnNc</vt:lpwstr>
  </property>
  <property fmtid="{D5CDD505-2E9C-101B-9397-08002B2CF9AE}" pid="22" name="GVData11">
    <vt:lpwstr>XFwiOltcXFwiPHNwYW4gc3R5bGU9XFxcXFxcXCJjb2xvcjojMTM5MTE5O1xcXFxcXFwiPjxzdHJvbmc+UHVibGljIC0g2LnYp9mFPC9zdHJvbmc+PC9zcGFuPlxcXCJdLFxcXCJIZWFkZXJUeXBlXFxcIjowLFxcXCJIZWFkZXJUeXBlc0FsbG93ZWRcXFwiOlswLDFd</vt:lpwstr>
  </property>
  <property fmtid="{D5CDD505-2E9C-101B-9397-08002B2CF9AE}" pid="23" name="GVData12">
    <vt:lpwstr>LFxcXCJIZWFkZXJVcGRhdGVUeXBlXFxcIjowLFxcXCJGb290ZXJFbmFibGVkXFxcIjpmYWxzZSxcXFwiRm9vdGVyXFxcIjpcXFwiXFxcIixcXFwiRm9vdGVyc1xcXCI6W1xcXCJcXFwiXSxcXFwiRm9vdGVyVHlwZVxcXCI6MixcXFwiRm9vdGVyVHlwZXNBbGxvd2Vk</vt:lpwstr>
  </property>
  <property fmtid="{D5CDD505-2E9C-101B-9397-08002B2CF9AE}" pid="24" name="GVData13">
    <vt:lpwstr>XFxcIjpbMl0sXFxcIkZvb3RlclVwZGF0ZVR5cGVcXFwiOjAsXFxcIldhdGVybWFya1xcXCI6bnVsbCxcXFwiV2F0ZXJtYXJrRW5hYmxlZFxcXCI6ZmFsc2UsXFxcIlNob3VsZFdyaXRlV2F0ZXJtYXJrXFxcIjpmYWxzZSxcXFwiV2F0ZXJtYXJrVXBkYXRlVHlwZVxc</vt:lpwstr>
  </property>
  <property fmtid="{D5CDD505-2E9C-101B-9397-08002B2CF9AE}" pid="25" name="GVData14">
    <vt:lpwstr>XCI6MCxcXFwiUG93ZXJwb2ludFRpdGxlXFxcIjpudWxsLFxcXCJQb3dlcnBvaW50U3ViaXRsZVxcXCI6bnVsbH1cIixcIlN0YXRlXCI6XCJ7XFxcIkZpcnN0UGFnZURpZmZlcmVudFxcXCI6ZmFsc2UsXFxcIkRpZmZlcmVudE9kZEFuZEV2ZW5QYWdlc1xcXCI6ZmFs</vt:lpwstr>
  </property>
  <property fmtid="{D5CDD505-2E9C-101B-9397-08002B2CF9AE}" pid="26" name="GVData15">
    <vt:lpwstr>c2UsXFxcIlBhZ2VDb3VudFxcXCI6MTAsXFxcIkhlYWRlck1ldGFkYXRhXFxcIjpcXFwie1xcXFxcXFwiTGVmdFxcXFxcXFwiOlxcXFxcXFwiXFxcXFxcXCIsXFxcXFxcXCJDZW50ZXJcXFxcXFxcIjpcXFxcXFxcIlB1YmxpYyAtINi52KfZhVxcXFxcXFwiLFxcXFxc</vt:lpwstr>
  </property>
  <property fmtid="{D5CDD505-2E9C-101B-9397-08002B2CF9AE}" pid="27" name="GVData16">
    <vt:lpwstr>XFwiUmlnaHRcXFxcXFxcIjpcXFxcXFxcIlxcXFxcXFwifVxcXCIsXFxcIlRoaXJkUGFydHlIZWFkZXJNZXRhZGF0YVxcXCI6XFxcIntcXFxcXFxcIkNlbnRlclxcXFxcXFwiOlxcXFxcXFwiJksxMzkxMTkmMTAmXFxcXFxcXFxcXFxcXFxcIkNhbGlicmlcXFxcXFxc</vt:lpwstr>
  </property>
  <property fmtid="{D5CDD505-2E9C-101B-9397-08002B2CF9AE}" pid="28" name="GVData17">
    <vt:lpwstr>XFxcXFxcXFwiJkJQdWJsaWMgLSDYudin2YUmQlxcXFxcXFwifVxcXCIsXFxcIkdWSGVhZGVyRXhpc3RzXFxcIjp0cnVlLFxcXCJOb25HVkhlYWRlckV4aXN0c1xcXCI6dHJ1ZSxcXFwiRmxvYXRpbmdIZWFkZXJFeGlzdHNcXFwiOmZhbHNlLFxcXCJOb25HVkhlYWRl</vt:lpwstr>
  </property>
  <property fmtid="{D5CDD505-2E9C-101B-9397-08002B2CF9AE}" pid="29" name="GVData18">
    <vt:lpwstr>clNoYXBlRXhpc3RzXFxcIjpmYWxzZSxcXFwiVGhpcmRQYXJ0eUhlYWRlcnNcXFwiOltdLFxcXCJGb290ZXJNZXRhZGF0YVxcXCI6XFxcIlxcXCIsXFxcIlRoaXJkUGFydHlGb290ZXJNZXRhZGF0YVxcXCI6XFxcIlxcXCIsXFxcIkdWRm9vdGVyRXhpc3RzXFxcIjpm</vt:lpwstr>
  </property>
  <property fmtid="{D5CDD505-2E9C-101B-9397-08002B2CF9AE}" pid="30" name="GVData19">
    <vt:lpwstr>YWxzZSxcXFwiTm9uR1ZGb290ZXJFeGlzdHNcXFwiOmZhbHNlLFxcXCJGbG9hdGluZ0Zvb3RlckV4aXN0c1xcXCI6ZmFsc2UsXFxcIk5vbkdWRm9vdGVyU2hhcGVFeGlzdHNcXFwiOmZhbHNlLFxcXCJUaGlyZFBhcnR5Rm9vdGVyc1xcXCI6W10sXFxcIldhdGVybWFy</vt:lpwstr>
  </property>
  <property fmtid="{D5CDD505-2E9C-101B-9397-08002B2CF9AE}" pid="31" name="GVData20">
    <vt:lpwstr>a01ldGFkYXRhXFxcIjpcXFwiXFxcIixcXFwiV2F0ZXJtYXJrRXhpc3RzXFxcIjpmYWxzZSxcXFwiUG93ZXJwb2ludFRpdGxlTWV0YWRhdGFcXFwiOm51bGwsXFxcIlBvd2VycG9pbnRTdWJ0aXRsZU1ldGFkYXRhXFxcIjpudWxsLFxcXCJUaGlyZFBhcnR5TWV0YWRh</vt:lpwstr>
  </property>
  <property fmtid="{D5CDD505-2E9C-101B-9397-08002B2CF9AE}" pid="32" name="GVData21">
    <vt:lpwstr>dGFGb3VuZFxcXCI6ZmFsc2V9XCJ9IiwicGFyZW50TGluZUlkcyI6IltcImRhYjMzNzQ0LTEwMjYtNDhlYi1iNmQyLWQ0YWNmYmI0ZjlkMFwiLFwiZjE1MzZhZGQtNjc1ZS00MjA5LWI1ZDgtZTQ4NDUzOGVhYzE1XCIsXCIzMTliZjhhZC03MmQ3LTQ5M2MtOTI0MC04</vt:lpwstr>
  </property>
  <property fmtid="{D5CDD505-2E9C-101B-9397-08002B2CF9AE}" pid="33" name="GVData22">
    <vt:lpwstr>ZjE1YzM4MmIwOTVcIixcImE5ZTM1NjMyLWZmNTctNDFiZS04ZDg0LWRjZmM4YjE5YmQ3NlwiLFwiYjY3YjM0ZWItYjVlNy00NzkzLTg3MjAtODgyNDdjYmE5M2EzXCIsXCIwNzVlNmY0YS02MzNlLTRiMDQtYTVkMS04MjllNTc2MTE4NjNcIixcIjIwYmI4ZGNjLWE1</vt:lpwstr>
  </property>
  <property fmtid="{D5CDD505-2E9C-101B-9397-08002B2CF9AE}" pid="34" name="GVData23">
    <vt:lpwstr>NjItNDFkOS1hZjk1LWIwYzNkNDQxZTU4MVwiLFwiODhjYjU2ZWMtY2U5My00OTE3LWJjNTctZjllYjVhNTZkZmJmXCIsXCIzN2VhNjhhMC1lMDM0LTQyOGYtOWE0Ny01NmJkNjdkYTkxYWFcIixcIjMxYTYxNWJkLWY0MDUtNDFlYi05OWM3LTlkZGE0ZWY1MWJmMVwi</vt:lpwstr>
  </property>
  <property fmtid="{D5CDD505-2E9C-101B-9397-08002B2CF9AE}" pid="35" name="GVData24">
    <vt:lpwstr>XSIsIndyaXR0ZW5LZXlzIjoiW1wiZ3Zkb2NpZFwiLFwiQ2xhc3NpZmljYXRpb25UYWdTZXRJZFwiLFwiQ2xhc3NpZmljYXRpb25cIixcIkNvbXBsaWFuY2VUYWdTZXRJZFwiLFwiRmlsZUlkXCIsXCJVc2VySWRcIixcIlRhZ0RhdGVUaW1lXCJdIiwibm9PZkd2RGF0</vt:lpwstr>
  </property>
  <property fmtid="{D5CDD505-2E9C-101B-9397-08002B2CF9AE}" pid="36" name="GVData25">
    <vt:lpwstr>YUVudHJpZXMiOiIyNCIsInRhZ3NldF9lMTY0MDlhN18xNzAwXzQxNTNfOTA5MF8zOTU1YmMyZjBhZThfY2xhc3NpZmljYXRpb24iOiJQdWJsaWMgLSDYudin2YUiLCJsaW5lSWQiOiJmYzYwODRkNi04NmMzLTQyNGYtOTY3My04ZWUyYmEyOTFkZmYifQ==</vt:lpwstr>
  </property>
  <property fmtid="{D5CDD505-2E9C-101B-9397-08002B2CF9AE}" pid="37" name="GVData26">
    <vt:lpwstr>(end)</vt:lpwstr>
  </property>
  <property fmtid="{D5CDD505-2E9C-101B-9397-08002B2CF9AE}" pid="38" name="GVData27">
    <vt:lpwstr>aW1lXCJdIiwibm9PZkd2RGF0YUVudHJpZXMiOiIyNSIsInRhZ3NldF9lMTY0MDlhN18xNzAwXzQxNTNfOTA5MF8zOTU1YmMyZjBhZThfY2xhc3NpZmljYXRpb24iOiJQdWJsaWMgLSDYudin2YUiLCJsaW5lSWQiOiIwMGJlZjljOC01YWQxLTRiODktOWY3Ni02ZmU3</vt:lpwstr>
  </property>
  <property fmtid="{D5CDD505-2E9C-101B-9397-08002B2CF9AE}" pid="39" name="GVData28">
    <vt:lpwstr>NDQwZWU0NWQifQ==</vt:lpwstr>
  </property>
  <property fmtid="{D5CDD505-2E9C-101B-9397-08002B2CF9AE}" pid="40" name="GVData29">
    <vt:lpwstr>(end)</vt:lpwstr>
  </property>
</Properties>
</file>