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diBukhamseen\Downloads\"/>
    </mc:Choice>
  </mc:AlternateContent>
  <xr:revisionPtr revIDLastSave="0" documentId="13_ncr:1_{0D1EE629-0E2B-4DFF-9E6F-C5701DDAF6D7}" xr6:coauthVersionLast="47" xr6:coauthVersionMax="47" xr10:uidLastSave="{00000000-0000-0000-0000-000000000000}"/>
  <bookViews>
    <workbookView xWindow="-120" yWindow="-120" windowWidth="29040" windowHeight="15720" activeTab="3" xr2:uid="{191A42BF-5D0D-466A-ABC0-E1FEB822CF7F}"/>
  </bookViews>
  <sheets>
    <sheet name="(1) البيانات الاساسية" sheetId="5" r:id="rId1"/>
    <sheet name="(2) وثائق الصرف" sheetId="13" r:id="rId2"/>
    <sheet name="Sheet1" sheetId="12" state="hidden" r:id="rId3"/>
    <sheet name="(3) العمليات المالية" sheetId="1" r:id="rId4"/>
    <sheet name="(4) وحدات المشروع" sheetId="2" r:id="rId5"/>
    <sheet name="(5) تحليل البيانات المالية" sheetId="6" r:id="rId6"/>
    <sheet name="(6) النتائج والملاحظات" sheetId="8" r:id="rId7"/>
    <sheet name="قائمة المركز المالي (7)" sheetId="9" r:id="rId8"/>
  </sheets>
  <externalReferences>
    <externalReference r:id="rId9"/>
  </externalReferences>
  <definedNames>
    <definedName name="_xlnm.Print_Area" localSheetId="6">'(6) النتائج والملاحظات'!$A$1:$H$39</definedName>
    <definedName name="_xlnm.Print_Area" localSheetId="7">'قائمة المركز المالي (7)'!$A$1:$G$34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5" l="1"/>
  <c r="D35" i="5"/>
  <c r="C35" i="5"/>
  <c r="L17" i="13"/>
  <c r="U8" i="12"/>
  <c r="T8" i="12"/>
  <c r="L8" i="12"/>
  <c r="K8" i="12"/>
  <c r="J8" i="12"/>
  <c r="F15" i="9"/>
  <c r="F16" i="9" s="1"/>
  <c r="F26" i="9"/>
  <c r="F25" i="9"/>
  <c r="F24" i="9"/>
  <c r="F23" i="9"/>
  <c r="F22" i="9"/>
  <c r="F12" i="9" a="1"/>
  <c r="F12" i="9" s="1"/>
  <c r="F13" i="9" s="1"/>
  <c r="C24" i="6"/>
  <c r="B13" i="6"/>
  <c r="B32" i="1"/>
  <c r="B31" i="1"/>
  <c r="C26" i="6"/>
  <c r="C25" i="6"/>
  <c r="F27" i="9" l="1"/>
  <c r="F17" i="9"/>
  <c r="D29" i="1"/>
  <c r="D30" i="1" s="1"/>
  <c r="C23" i="1"/>
  <c r="C24" i="1" s="1"/>
  <c r="B26" i="6"/>
  <c r="D26" i="6" s="1"/>
  <c r="B25" i="6"/>
  <c r="E25" i="6" s="1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G51" i="2"/>
  <c r="F51" i="2"/>
  <c r="B29" i="1" s="1"/>
  <c r="E51" i="2"/>
  <c r="G34" i="2"/>
  <c r="F34" i="2"/>
  <c r="E34" i="2"/>
  <c r="C34" i="2"/>
  <c r="D23" i="2" s="1"/>
  <c r="C51" i="2"/>
  <c r="D44" i="2" s="1"/>
  <c r="F2" i="2"/>
  <c r="F17" i="2" s="1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54" i="2" s="1"/>
  <c r="E2" i="2"/>
  <c r="G17" i="2"/>
  <c r="C16" i="2"/>
  <c r="C67" i="2" s="1"/>
  <c r="C15" i="2"/>
  <c r="C66" i="2" s="1"/>
  <c r="C14" i="2"/>
  <c r="C65" i="2" s="1"/>
  <c r="C13" i="2"/>
  <c r="C12" i="2"/>
  <c r="C11" i="2"/>
  <c r="C10" i="2"/>
  <c r="C9" i="2"/>
  <c r="C8" i="2"/>
  <c r="C59" i="2" s="1"/>
  <c r="C7" i="2"/>
  <c r="C6" i="2"/>
  <c r="C57" i="2" s="1"/>
  <c r="C5" i="2"/>
  <c r="C56" i="2" s="1"/>
  <c r="C4" i="2"/>
  <c r="C55" i="2" s="1"/>
  <c r="C3" i="2"/>
  <c r="C54" i="2" s="1"/>
  <c r="C2" i="2"/>
  <c r="C53" i="2" s="1"/>
  <c r="D8" i="5"/>
  <c r="B24" i="6" s="1"/>
  <c r="C64" i="2"/>
  <c r="C63" i="2"/>
  <c r="C62" i="2"/>
  <c r="C61" i="2"/>
  <c r="C60" i="2"/>
  <c r="C58" i="2"/>
  <c r="I15" i="1"/>
  <c r="I19" i="1" s="1"/>
  <c r="D15" i="1"/>
  <c r="B18" i="1"/>
  <c r="E17" i="2" l="1"/>
  <c r="F28" i="9"/>
  <c r="E24" i="6"/>
  <c r="D24" i="6"/>
  <c r="E26" i="6"/>
  <c r="D25" i="6"/>
  <c r="F53" i="2"/>
  <c r="B30" i="1"/>
  <c r="D22" i="2"/>
  <c r="D26" i="2"/>
  <c r="D27" i="2"/>
  <c r="D25" i="2"/>
  <c r="D24" i="2"/>
  <c r="I20" i="1"/>
  <c r="D12" i="5"/>
  <c r="E53" i="2"/>
  <c r="C68" i="2"/>
  <c r="D63" i="2" s="1"/>
  <c r="D45" i="2"/>
  <c r="D47" i="2"/>
  <c r="D28" i="2"/>
  <c r="D29" i="2"/>
  <c r="D30" i="2"/>
  <c r="D19" i="2"/>
  <c r="D31" i="2"/>
  <c r="D20" i="2"/>
  <c r="D32" i="2"/>
  <c r="D21" i="2"/>
  <c r="D33" i="2"/>
  <c r="D46" i="2"/>
  <c r="D36" i="2"/>
  <c r="D48" i="2"/>
  <c r="D37" i="2"/>
  <c r="D49" i="2"/>
  <c r="D38" i="2"/>
  <c r="D50" i="2"/>
  <c r="D39" i="2"/>
  <c r="D40" i="2"/>
  <c r="D41" i="2"/>
  <c r="D42" i="2"/>
  <c r="D43" i="2"/>
  <c r="C17" i="2"/>
  <c r="D51" i="2" l="1"/>
  <c r="D34" i="2"/>
  <c r="I21" i="1"/>
  <c r="D59" i="2"/>
  <c r="D58" i="2"/>
  <c r="D61" i="2"/>
  <c r="D67" i="2"/>
  <c r="D55" i="2"/>
  <c r="D56" i="2"/>
  <c r="D10" i="2"/>
  <c r="D6" i="2"/>
  <c r="D16" i="2"/>
  <c r="D4" i="2"/>
  <c r="D5" i="2"/>
  <c r="D15" i="2"/>
  <c r="D3" i="2"/>
  <c r="D14" i="2"/>
  <c r="D2" i="2"/>
  <c r="D12" i="2"/>
  <c r="D11" i="2"/>
  <c r="D9" i="2"/>
  <c r="D8" i="2"/>
  <c r="D7" i="2"/>
  <c r="D13" i="2"/>
  <c r="D57" i="2"/>
  <c r="D66" i="2"/>
  <c r="D60" i="2"/>
  <c r="D54" i="2"/>
  <c r="D53" i="2"/>
  <c r="D65" i="2"/>
  <c r="D64" i="2"/>
  <c r="D62" i="2"/>
  <c r="I22" i="1" l="1"/>
  <c r="D68" i="2"/>
  <c r="D17" i="2"/>
  <c r="B15" i="1"/>
  <c r="I23" i="1" l="1"/>
  <c r="I24" i="1" s="1"/>
  <c r="I28" i="1" l="1"/>
  <c r="G15" i="1"/>
  <c r="I29" i="1" l="1"/>
  <c r="D18" i="1" a="1"/>
  <c r="D18" i="1" s="1"/>
  <c r="B16" i="6" s="1" a="1"/>
  <c r="B16" i="6" s="1"/>
  <c r="B17" i="6" s="1"/>
  <c r="G19" i="1"/>
  <c r="G20" i="1" s="1"/>
  <c r="B18" i="6" l="1"/>
  <c r="I30" i="1"/>
  <c r="I31" i="1" s="1"/>
  <c r="G21" i="1"/>
  <c r="G22" i="1" s="1"/>
  <c r="I32" i="1" l="1"/>
  <c r="I33" i="1" s="1"/>
  <c r="G23" i="1"/>
  <c r="G24" i="1" s="1"/>
  <c r="I34" i="1" l="1"/>
  <c r="G28" i="1"/>
  <c r="G29" i="1" l="1"/>
  <c r="G30" i="1" s="1"/>
  <c r="G31" i="1" s="1"/>
  <c r="G32" i="1" l="1"/>
  <c r="G33" i="1" s="1"/>
  <c r="G3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<sst xmlns="http://schemas.openxmlformats.org/spreadsheetml/2006/main" count="813" uniqueCount="604">
  <si>
    <t>رصيد إغلاق الربع السابق</t>
  </si>
  <si>
    <t xml:space="preserve">العمليات المالية منذ البدء بالمشروع </t>
  </si>
  <si>
    <t xml:space="preserve"> العمليات المالية خلال الفترة</t>
  </si>
  <si>
    <t>العمليات المدينة</t>
  </si>
  <si>
    <t>المبلغ</t>
  </si>
  <si>
    <t>العمليات الدائنة</t>
  </si>
  <si>
    <t>المبلغ2</t>
  </si>
  <si>
    <t>تكاليف انشائية</t>
  </si>
  <si>
    <t>تحصيل من العملاء</t>
  </si>
  <si>
    <t>تكاليف انشائية  (الدفعة المقدمة المتبقية)</t>
  </si>
  <si>
    <t>تمويل بنكي</t>
  </si>
  <si>
    <t>تكاليف انشائية  (تسويات الدفعة المقدمة)</t>
  </si>
  <si>
    <t>مصاريف ادارية وتسويقية</t>
  </si>
  <si>
    <t>تمويل ذاتي</t>
  </si>
  <si>
    <t>ايداعات عملاء مستردة</t>
  </si>
  <si>
    <t>تمويل الوزارة</t>
  </si>
  <si>
    <t>عمولات بنكية</t>
  </si>
  <si>
    <t>أخرى (مع ذكر السبب)</t>
  </si>
  <si>
    <t>أخرى 1 (مع ذكر السبب)</t>
  </si>
  <si>
    <t>اجمالي العمليات المدينة</t>
  </si>
  <si>
    <t>اجمالي العمليات الدائنة</t>
  </si>
  <si>
    <t>أرصدة حساب الضمان</t>
  </si>
  <si>
    <t>العمليات المالية من خارج حساب الضمان (إن وجدت)</t>
  </si>
  <si>
    <t>رصيد افتتاح الفترة</t>
  </si>
  <si>
    <t>رصيد اغلاق الفترة</t>
  </si>
  <si>
    <t>تفاصيل الدفعة المقدمة</t>
  </si>
  <si>
    <t>البيان</t>
  </si>
  <si>
    <t>المدين</t>
  </si>
  <si>
    <t>الرصيد الافتتاحي للدفعة المقدمة</t>
  </si>
  <si>
    <t>ما تم إنجازه من الدفعة المقدمة (تراكمي)</t>
  </si>
  <si>
    <t>المتبقي من الدفعة المقدمة</t>
  </si>
  <si>
    <t>القيود المالية</t>
  </si>
  <si>
    <t>العمليات المالية المتوقعة للربع القادم من العام الحالي (يتم ادخال العمليات المالية المتوقعة للربع القادم)</t>
  </si>
  <si>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Sakkal Majalla"/>
      </rPr>
      <t xml:space="preserve">المصاريف الإدارية التسويقي - الغير انشائية : 20% </t>
    </r>
  </si>
  <si>
    <r>
      <rPr>
        <b/>
        <sz val="14"/>
        <color theme="1"/>
        <rFont val="Times New Roman"/>
        <family val="1"/>
      </rPr>
      <t xml:space="preserve">  </t>
    </r>
    <r>
      <rPr>
        <b/>
        <sz val="14"/>
        <color theme="1"/>
        <rFont val="Sakkal Majalla"/>
      </rPr>
      <t>حساب الحفظ: 5%</t>
    </r>
  </si>
  <si>
    <t xml:space="preserve">النسبة المسموح بها للمصاريف الإدارية والتسويقية </t>
  </si>
  <si>
    <t xml:space="preserve">النسبة الواجب توفرها بحساب الضمان </t>
  </si>
  <si>
    <t>إجمالي قيمة الوحدات المباعة والمحصل قيمتها</t>
  </si>
  <si>
    <t>الحد الأدنى الواجب توفره في حساب الضمان</t>
  </si>
  <si>
    <t>تكاليف انشائية تسويات (دفعة مقدمة)</t>
  </si>
  <si>
    <t>الحد المسموح التصرف به للمصاريف الإدارية والتسويقية</t>
  </si>
  <si>
    <t>الحد المسموح التصرف به من حساب الضمان</t>
  </si>
  <si>
    <t xml:space="preserve">إجمالي المنصرف من الإدارية والتسويقية </t>
  </si>
  <si>
    <t>المبلغ المتبقي</t>
  </si>
  <si>
    <t>-</t>
  </si>
  <si>
    <t>البنود</t>
  </si>
  <si>
    <t>بيان نوع الوحدات</t>
  </si>
  <si>
    <t>عدد</t>
  </si>
  <si>
    <t>نسبة</t>
  </si>
  <si>
    <t>قيمة الوحدات</t>
  </si>
  <si>
    <t>قيمة المحصل من الوحدات المباعة</t>
  </si>
  <si>
    <t>المتبقي</t>
  </si>
  <si>
    <t>إجمالي وحدات المشروع</t>
  </si>
  <si>
    <t>شقق</t>
  </si>
  <si>
    <t>فلل</t>
  </si>
  <si>
    <t>دوبلكس</t>
  </si>
  <si>
    <t>أراضي سكنية</t>
  </si>
  <si>
    <t>أراضي تجارية</t>
  </si>
  <si>
    <t>أراضي صناعية</t>
  </si>
  <si>
    <t>أراضي زراعية</t>
  </si>
  <si>
    <t>أراضي سياحية</t>
  </si>
  <si>
    <t>أدوار</t>
  </si>
  <si>
    <t>مكاتب تجارية</t>
  </si>
  <si>
    <t>تاون هاوس</t>
  </si>
  <si>
    <t>غرف فندقية</t>
  </si>
  <si>
    <t>أجنحة فندقية</t>
  </si>
  <si>
    <t>بنت هاوس</t>
  </si>
  <si>
    <t>الإجمالي</t>
  </si>
  <si>
    <t>اجمالي الوحدات المباعة خلال الفترة</t>
  </si>
  <si>
    <t>اجمالي الوحدات المباعة منذ بداية المشروع</t>
  </si>
  <si>
    <t>اجمالي الوحدات المتبقية للمشروع</t>
  </si>
  <si>
    <t>الوحدات التي تم الغاء بيعها</t>
  </si>
  <si>
    <t>الوحدات المتوقع بيعها خلال الربع القادم (يتم ادخال المبيعات المتوقعة للربع القادم)</t>
  </si>
  <si>
    <t>قيمة المحصل من الوحدات المباعة (متوقع)</t>
  </si>
  <si>
    <t xml:space="preserve">عدد الوحدات المسلمة </t>
  </si>
  <si>
    <t>نسبة (من الوحدات المرخصة)</t>
  </si>
  <si>
    <t>بيانات معد التقرير</t>
  </si>
  <si>
    <t>الاسم</t>
  </si>
  <si>
    <t>تاريخ التقرير</t>
  </si>
  <si>
    <t>رقم الجوال</t>
  </si>
  <si>
    <t>تقرير الربع</t>
  </si>
  <si>
    <t>البريد الإلكتروني</t>
  </si>
  <si>
    <t xml:space="preserve">البيانات الأساسية للمشروع </t>
  </si>
  <si>
    <t>رقم ترخيص المشروع</t>
  </si>
  <si>
    <t>سعر الارض</t>
  </si>
  <si>
    <t>اسم المشروع</t>
  </si>
  <si>
    <t>إجمالي قيمة وحدات المشروع</t>
  </si>
  <si>
    <t>اسم المطور</t>
  </si>
  <si>
    <t>اجمالي التكاليف الانشائية التقديرية</t>
  </si>
  <si>
    <t>اسم مكتب المحاسب القانوني</t>
  </si>
  <si>
    <t>إجمالي التكاليف الإدارية التسويقية التقديرية</t>
  </si>
  <si>
    <t>آمين الحساب (البنك)</t>
  </si>
  <si>
    <t>مصرف الانماء</t>
  </si>
  <si>
    <t>اجمالي التكاليف التقديرية</t>
  </si>
  <si>
    <t>رقم حساب الضمان (ايبان)</t>
  </si>
  <si>
    <t xml:space="preserve">نسبة هامش الربح المتوقع </t>
  </si>
  <si>
    <t>اسم المقاول</t>
  </si>
  <si>
    <t xml:space="preserve">قيمة عقد المقاول </t>
  </si>
  <si>
    <t>اسم المقاول 2</t>
  </si>
  <si>
    <t>قيمة عقد المقاول 2</t>
  </si>
  <si>
    <t>اسم المقاول 3</t>
  </si>
  <si>
    <t>قيمة عقد المقاول 3</t>
  </si>
  <si>
    <t>اسم المقاول 4</t>
  </si>
  <si>
    <t>قيمة عقد المقاول 4</t>
  </si>
  <si>
    <t xml:space="preserve">وحدات المشروع </t>
  </si>
  <si>
    <t>نوع الوحدات</t>
  </si>
  <si>
    <t>العدد</t>
  </si>
  <si>
    <t>اجمالي قيمة  الوحدات</t>
  </si>
  <si>
    <t>بيانات المشروع</t>
  </si>
  <si>
    <t>رقم الترخيص</t>
  </si>
  <si>
    <t>اسم  المشروع</t>
  </si>
  <si>
    <t>المنطقة</t>
  </si>
  <si>
    <t>المدينة</t>
  </si>
  <si>
    <t>الحي</t>
  </si>
  <si>
    <t xml:space="preserve">الاستشاري الهندسي </t>
  </si>
  <si>
    <t>المحاسب القانوني</t>
  </si>
  <si>
    <t>آمين الحساب</t>
  </si>
  <si>
    <t>تاريخ بداية المشروع</t>
  </si>
  <si>
    <t>تاريخ نهاية المشروع</t>
  </si>
  <si>
    <t>فرق الأيام</t>
  </si>
  <si>
    <t>مبلغ الفائض (الأرباح تقديري)</t>
  </si>
  <si>
    <t>الفائض بعد حجز  20% من التكلفة الانشائية المتبقية لاستكمال المشروع</t>
  </si>
  <si>
    <t>الفائض بعد حجز 5% الحفظ</t>
  </si>
  <si>
    <t>صافي الفائض المتاح</t>
  </si>
  <si>
    <t xml:space="preserve">عدد مرات سحب الفائض </t>
  </si>
  <si>
    <t>اجمالي قيمة سحوبات الفائض</t>
  </si>
  <si>
    <t>تحليل المعطيات التقديرية والفعلية</t>
  </si>
  <si>
    <t>المقدر  (دراسة الجدوى)</t>
  </si>
  <si>
    <t xml:space="preserve">الفعلي  </t>
  </si>
  <si>
    <t>الفرق</t>
  </si>
  <si>
    <t>%</t>
  </si>
  <si>
    <t>اجمالي قيمة وحدات المشروع</t>
  </si>
  <si>
    <t xml:space="preserve"> التكاليف الانشائية </t>
  </si>
  <si>
    <t xml:space="preserve"> التكاليف الإدارية و التسويقية </t>
  </si>
  <si>
    <t>(20% من قيمة الوحدة المباعة والمحصل قيمتها)</t>
  </si>
  <si>
    <t>(4% من قيمة الوحدة المباعة والمحصل قيمتها)</t>
  </si>
  <si>
    <t xml:space="preserve">وثائق الصرف </t>
  </si>
  <si>
    <t>#</t>
  </si>
  <si>
    <t xml:space="preserve">نوع حساب الضمان </t>
  </si>
  <si>
    <t>البند</t>
  </si>
  <si>
    <t>رقم وثيقة الصرف</t>
  </si>
  <si>
    <t>تاريخ الوثيقة</t>
  </si>
  <si>
    <t>اسم المستفيد</t>
  </si>
  <si>
    <t>صفة المستفيد</t>
  </si>
  <si>
    <t>بيان الصرف</t>
  </si>
  <si>
    <t>حالة الوثيقة</t>
  </si>
  <si>
    <t>تاريخ اعتماد الوثيقة</t>
  </si>
  <si>
    <t>تاريخ الدفع</t>
  </si>
  <si>
    <t>أخرى (يتم ذكر صفة المستفيد في بيان الصرف)</t>
  </si>
  <si>
    <t>مستحق</t>
  </si>
  <si>
    <t>مقدم</t>
  </si>
  <si>
    <t xml:space="preserve">نتائج ومرئيات </t>
  </si>
  <si>
    <t>المبيعات</t>
  </si>
  <si>
    <t xml:space="preserve">المصروفات </t>
  </si>
  <si>
    <t>التحصيل / التمويل</t>
  </si>
  <si>
    <t>المخاطرالحالية المتوقعة على المشروع</t>
  </si>
  <si>
    <t>المخاطر المستقبلية المتوقعة على المشروع</t>
  </si>
  <si>
    <t>ملاحظات  أخرى</t>
  </si>
  <si>
    <t>الموجودات</t>
  </si>
  <si>
    <t>(بالريال السعودي)</t>
  </si>
  <si>
    <t>الموجودات المتداولة</t>
  </si>
  <si>
    <t>نقد وما في حكمه</t>
  </si>
  <si>
    <t>اجمالي الموجودات المتداولة</t>
  </si>
  <si>
    <t>الموجودات غير المتداولة</t>
  </si>
  <si>
    <t>تكاليف عقود</t>
  </si>
  <si>
    <t>اجمالي الموجودات غير المتداولة</t>
  </si>
  <si>
    <t>اجمالي الموجودات</t>
  </si>
  <si>
    <t>المطلوبات</t>
  </si>
  <si>
    <t>المطلوبات المتداولة</t>
  </si>
  <si>
    <t>المبالغ المقدمة من المشترين</t>
  </si>
  <si>
    <t>أرصدة دائنة أخرى</t>
  </si>
  <si>
    <t>اجمالي المطلوبات</t>
  </si>
  <si>
    <t>كما في</t>
  </si>
  <si>
    <t xml:space="preserve">تقرير الربع </t>
  </si>
  <si>
    <t>ارقام الرخص</t>
  </si>
  <si>
    <t>بند وثائق الصرف</t>
  </si>
  <si>
    <t>Q1</t>
  </si>
  <si>
    <t xml:space="preserve">انشائي </t>
  </si>
  <si>
    <t>مقاول</t>
  </si>
  <si>
    <t>حساب الانشاءات</t>
  </si>
  <si>
    <t>التكلفة المتبقية</t>
  </si>
  <si>
    <t xml:space="preserve"> 20% من التكلفة الانشائية المتبقية</t>
  </si>
  <si>
    <t>حجز مبلغ الحفظ</t>
  </si>
  <si>
    <t>البنك</t>
  </si>
  <si>
    <t>حساب الحفظ من الايداعات</t>
  </si>
  <si>
    <t>حساب الحفظ من التكلفة الانشائية</t>
  </si>
  <si>
    <t>Q2</t>
  </si>
  <si>
    <t xml:space="preserve">اداري </t>
  </si>
  <si>
    <t>مورد</t>
  </si>
  <si>
    <t>حساب الإداري والتسويقي</t>
  </si>
  <si>
    <t>Q3</t>
  </si>
  <si>
    <t xml:space="preserve">تسويقي </t>
  </si>
  <si>
    <t>ممول</t>
  </si>
  <si>
    <t>حساب الحفظ</t>
  </si>
  <si>
    <t>البنك الأهلي السعودي</t>
  </si>
  <si>
    <t>Q4</t>
  </si>
  <si>
    <t xml:space="preserve"> الحفظ (حسن التنفيذ)</t>
  </si>
  <si>
    <t>مشتري</t>
  </si>
  <si>
    <t>البنك السعودي الأول</t>
  </si>
  <si>
    <t>أخرى</t>
  </si>
  <si>
    <t>مسوق</t>
  </si>
  <si>
    <t>البنك السعودي الفرنسي</t>
  </si>
  <si>
    <t>البنك العربي الوطني</t>
  </si>
  <si>
    <t xml:space="preserve">بنك الامارات دبي الوطني </t>
  </si>
  <si>
    <t>بنك البلاد</t>
  </si>
  <si>
    <t>بنك الجزيرة</t>
  </si>
  <si>
    <t>بنك الخليج الدولي</t>
  </si>
  <si>
    <t>بنك الرياض</t>
  </si>
  <si>
    <t>بنك الكويت الوطني</t>
  </si>
  <si>
    <t>مصرف الراجحي</t>
  </si>
  <si>
    <t>أ/5</t>
  </si>
  <si>
    <t>أ/3</t>
  </si>
  <si>
    <t>أ/1</t>
  </si>
  <si>
    <t>أ/2</t>
  </si>
  <si>
    <t>أ/36</t>
  </si>
  <si>
    <t>أ/37</t>
  </si>
  <si>
    <t>أ/4</t>
  </si>
  <si>
    <t>أ/6</t>
  </si>
  <si>
    <t>أ/7</t>
  </si>
  <si>
    <t>أ/8</t>
  </si>
  <si>
    <t>أ/9</t>
  </si>
  <si>
    <t>أ/10</t>
  </si>
  <si>
    <t>أ/11</t>
  </si>
  <si>
    <t>أ/12</t>
  </si>
  <si>
    <t>أ/13</t>
  </si>
  <si>
    <t>أ/14</t>
  </si>
  <si>
    <t>أ/15</t>
  </si>
  <si>
    <t>أ/16</t>
  </si>
  <si>
    <t>أ/17</t>
  </si>
  <si>
    <t>أ/18</t>
  </si>
  <si>
    <t>أ/19</t>
  </si>
  <si>
    <t>أ/21</t>
  </si>
  <si>
    <t>أ/20</t>
  </si>
  <si>
    <t>أ/22</t>
  </si>
  <si>
    <t>أ/23</t>
  </si>
  <si>
    <t>أ/24</t>
  </si>
  <si>
    <t>أ/25</t>
  </si>
  <si>
    <t>أ/26</t>
  </si>
  <si>
    <t>أ/27</t>
  </si>
  <si>
    <t>أ/28</t>
  </si>
  <si>
    <t>أ/29</t>
  </si>
  <si>
    <t>أ/31</t>
  </si>
  <si>
    <t>أ/30</t>
  </si>
  <si>
    <t>أ/33</t>
  </si>
  <si>
    <t>أ/32</t>
  </si>
  <si>
    <t>أ/34</t>
  </si>
  <si>
    <t>أ/35</t>
  </si>
  <si>
    <t>أ/38</t>
  </si>
  <si>
    <t>أ/39</t>
  </si>
  <si>
    <t>أ/40</t>
  </si>
  <si>
    <t>أ/41</t>
  </si>
  <si>
    <t>أ/42</t>
  </si>
  <si>
    <t>أ/43</t>
  </si>
  <si>
    <t>أ/44</t>
  </si>
  <si>
    <t>أ/45</t>
  </si>
  <si>
    <t>أ/46</t>
  </si>
  <si>
    <t>أ/47</t>
  </si>
  <si>
    <t>أ/48</t>
  </si>
  <si>
    <t>أ/49</t>
  </si>
  <si>
    <t>أ/50</t>
  </si>
  <si>
    <t>أ/51</t>
  </si>
  <si>
    <t>أ/52</t>
  </si>
  <si>
    <t>أ/53</t>
  </si>
  <si>
    <t>أ/54</t>
  </si>
  <si>
    <t>أ/55</t>
  </si>
  <si>
    <t>أ/56</t>
  </si>
  <si>
    <t>أ/57</t>
  </si>
  <si>
    <t>أ/58</t>
  </si>
  <si>
    <t>أ/59</t>
  </si>
  <si>
    <t>أ/60</t>
  </si>
  <si>
    <t>أ/75</t>
  </si>
  <si>
    <t>أ/61</t>
  </si>
  <si>
    <t>أ/62</t>
  </si>
  <si>
    <t>أ/63</t>
  </si>
  <si>
    <t>أ/64</t>
  </si>
  <si>
    <t>أ/114</t>
  </si>
  <si>
    <t>أ/65</t>
  </si>
  <si>
    <t>أ/99</t>
  </si>
  <si>
    <t>أ/66</t>
  </si>
  <si>
    <t>أ/68</t>
  </si>
  <si>
    <t>أ/69</t>
  </si>
  <si>
    <t>أ/70</t>
  </si>
  <si>
    <t>أ/71</t>
  </si>
  <si>
    <t>أ/113</t>
  </si>
  <si>
    <t>أ/72</t>
  </si>
  <si>
    <t>أ/73</t>
  </si>
  <si>
    <t>أ/74</t>
  </si>
  <si>
    <t>أ/76</t>
  </si>
  <si>
    <t>أ/80</t>
  </si>
  <si>
    <t>أ/77</t>
  </si>
  <si>
    <t>أ/78</t>
  </si>
  <si>
    <t>أ/79</t>
  </si>
  <si>
    <t>أ/82</t>
  </si>
  <si>
    <t>أ/81</t>
  </si>
  <si>
    <t>أ/83</t>
  </si>
  <si>
    <t>أ/84</t>
  </si>
  <si>
    <t>أ/86</t>
  </si>
  <si>
    <t>أ/85</t>
  </si>
  <si>
    <t>أ/87</t>
  </si>
  <si>
    <t>أ/88</t>
  </si>
  <si>
    <t>أ/67</t>
  </si>
  <si>
    <t>أ/89</t>
  </si>
  <si>
    <t>أ/90</t>
  </si>
  <si>
    <t>أ/91</t>
  </si>
  <si>
    <t>أ/92</t>
  </si>
  <si>
    <t>أ/124</t>
  </si>
  <si>
    <t>أ/93</t>
  </si>
  <si>
    <t>أ/94</t>
  </si>
  <si>
    <t>أ/95</t>
  </si>
  <si>
    <t>أ/96</t>
  </si>
  <si>
    <t>أ/97</t>
  </si>
  <si>
    <t>أ/98</t>
  </si>
  <si>
    <t>أ/100</t>
  </si>
  <si>
    <t>أ/101</t>
  </si>
  <si>
    <t>أ/102</t>
  </si>
  <si>
    <t>أ/103</t>
  </si>
  <si>
    <t>أ/104</t>
  </si>
  <si>
    <t>أ/105</t>
  </si>
  <si>
    <t>أ/106</t>
  </si>
  <si>
    <t>أ/107</t>
  </si>
  <si>
    <t>أ/108</t>
  </si>
  <si>
    <t>أ/109</t>
  </si>
  <si>
    <t>أ/111</t>
  </si>
  <si>
    <t>أ/110</t>
  </si>
  <si>
    <t>أ/112</t>
  </si>
  <si>
    <t>أ/115</t>
  </si>
  <si>
    <t>أ/117</t>
  </si>
  <si>
    <t>أ/116</t>
  </si>
  <si>
    <t>أ/118</t>
  </si>
  <si>
    <t>أ/119</t>
  </si>
  <si>
    <t>أ/120</t>
  </si>
  <si>
    <t>أ/121</t>
  </si>
  <si>
    <t>أ/122</t>
  </si>
  <si>
    <t>أ/123</t>
  </si>
  <si>
    <t>أ/125</t>
  </si>
  <si>
    <t>أ/126</t>
  </si>
  <si>
    <t>أ/127</t>
  </si>
  <si>
    <t>أ/128</t>
  </si>
  <si>
    <t>أ/129</t>
  </si>
  <si>
    <t>أ/130</t>
  </si>
  <si>
    <t>أ/131</t>
  </si>
  <si>
    <t>أ/132</t>
  </si>
  <si>
    <t>أ/133</t>
  </si>
  <si>
    <t>أ/134</t>
  </si>
  <si>
    <t>أ/135</t>
  </si>
  <si>
    <t>أ/136</t>
  </si>
  <si>
    <t>أ/137</t>
  </si>
  <si>
    <t>أ/138</t>
  </si>
  <si>
    <t>أ/139</t>
  </si>
  <si>
    <t>أ/140</t>
  </si>
  <si>
    <t>أ/141</t>
  </si>
  <si>
    <t>أ/142</t>
  </si>
  <si>
    <t>أ/143</t>
  </si>
  <si>
    <t>أ/145</t>
  </si>
  <si>
    <t>أ/144</t>
  </si>
  <si>
    <t>أ/146</t>
  </si>
  <si>
    <t>أ/147</t>
  </si>
  <si>
    <t>أ/148</t>
  </si>
  <si>
    <t>أ/149</t>
  </si>
  <si>
    <t>أ/150</t>
  </si>
  <si>
    <t>أ/151</t>
  </si>
  <si>
    <t>أ/152</t>
  </si>
  <si>
    <t>أ/153</t>
  </si>
  <si>
    <t>أ/154</t>
  </si>
  <si>
    <t>أ/155</t>
  </si>
  <si>
    <t>أ/156</t>
  </si>
  <si>
    <t>أ/157</t>
  </si>
  <si>
    <t>أ/158</t>
  </si>
  <si>
    <t>أ/159</t>
  </si>
  <si>
    <t>أ/160</t>
  </si>
  <si>
    <t>أ/161</t>
  </si>
  <si>
    <t>أ/162</t>
  </si>
  <si>
    <t>أ/163</t>
  </si>
  <si>
    <t>أ/164</t>
  </si>
  <si>
    <t>أ/165</t>
  </si>
  <si>
    <t>أ/166</t>
  </si>
  <si>
    <t>أ/167</t>
  </si>
  <si>
    <t>أ/168</t>
  </si>
  <si>
    <t>أ/169</t>
  </si>
  <si>
    <t>أ/170</t>
  </si>
  <si>
    <t>أ/171</t>
  </si>
  <si>
    <t>أ/172</t>
  </si>
  <si>
    <t>أ/173</t>
  </si>
  <si>
    <t>أ/174</t>
  </si>
  <si>
    <t>أ/175</t>
  </si>
  <si>
    <t>أ/176</t>
  </si>
  <si>
    <t>أ/177</t>
  </si>
  <si>
    <t>أ/178</t>
  </si>
  <si>
    <t>أ/179</t>
  </si>
  <si>
    <t>أ/180</t>
  </si>
  <si>
    <t>أ/181</t>
  </si>
  <si>
    <t>أ/182</t>
  </si>
  <si>
    <t>أ/183</t>
  </si>
  <si>
    <t>أ/184</t>
  </si>
  <si>
    <t>أ/185</t>
  </si>
  <si>
    <t>أ/186</t>
  </si>
  <si>
    <t>أ/187</t>
  </si>
  <si>
    <t>أ/188</t>
  </si>
  <si>
    <t>أ/189</t>
  </si>
  <si>
    <t>أ/190</t>
  </si>
  <si>
    <t>أ/191</t>
  </si>
  <si>
    <t>أ/192</t>
  </si>
  <si>
    <t>أ/193</t>
  </si>
  <si>
    <t>أ/194</t>
  </si>
  <si>
    <t>أ/195</t>
  </si>
  <si>
    <t>أ/196</t>
  </si>
  <si>
    <t>أ/197</t>
  </si>
  <si>
    <t>أ/198</t>
  </si>
  <si>
    <t>أ/199</t>
  </si>
  <si>
    <t>أ/200</t>
  </si>
  <si>
    <t>أ/201</t>
  </si>
  <si>
    <t>أ/202</t>
  </si>
  <si>
    <t>أ/203</t>
  </si>
  <si>
    <t>أ/204</t>
  </si>
  <si>
    <t>أ/209</t>
  </si>
  <si>
    <t>أ/205</t>
  </si>
  <si>
    <t>أ/206</t>
  </si>
  <si>
    <t>أ/207</t>
  </si>
  <si>
    <t>أ/208</t>
  </si>
  <si>
    <t>أ/210</t>
  </si>
  <si>
    <t>أ/211</t>
  </si>
  <si>
    <t>أ/212</t>
  </si>
  <si>
    <t>أ/213</t>
  </si>
  <si>
    <t>أ/214</t>
  </si>
  <si>
    <t>أ/215</t>
  </si>
  <si>
    <t>أ/216</t>
  </si>
  <si>
    <t>أ/217</t>
  </si>
  <si>
    <t>أ/218</t>
  </si>
  <si>
    <t>أ/219</t>
  </si>
  <si>
    <t>أ/220</t>
  </si>
  <si>
    <t>أ/221</t>
  </si>
  <si>
    <t>أ/222</t>
  </si>
  <si>
    <t>أ/223</t>
  </si>
  <si>
    <t>أ/224</t>
  </si>
  <si>
    <t>أ/225</t>
  </si>
  <si>
    <t>أ/226</t>
  </si>
  <si>
    <t>أ/227</t>
  </si>
  <si>
    <t>أ/229</t>
  </si>
  <si>
    <t>أ/230</t>
  </si>
  <si>
    <t>أ/231</t>
  </si>
  <si>
    <t>أ/228</t>
  </si>
  <si>
    <t>أ/232</t>
  </si>
  <si>
    <t>أ/233</t>
  </si>
  <si>
    <t>أ/235</t>
  </si>
  <si>
    <t>أ/234</t>
  </si>
  <si>
    <t>أ/236</t>
  </si>
  <si>
    <t>أ/237</t>
  </si>
  <si>
    <t>أ/238</t>
  </si>
  <si>
    <t>أ/239</t>
  </si>
  <si>
    <t>أ/240</t>
  </si>
  <si>
    <t>أ/241</t>
  </si>
  <si>
    <t>أ/242</t>
  </si>
  <si>
    <t>أ/243</t>
  </si>
  <si>
    <t>أ/244</t>
  </si>
  <si>
    <t>أ/245</t>
  </si>
  <si>
    <t>أ/246</t>
  </si>
  <si>
    <t>أ/247</t>
  </si>
  <si>
    <t>أ/248</t>
  </si>
  <si>
    <t>أ/250</t>
  </si>
  <si>
    <t>أ/251</t>
  </si>
  <si>
    <t>أ/252</t>
  </si>
  <si>
    <t>أ/253</t>
  </si>
  <si>
    <t>أ/249</t>
  </si>
  <si>
    <t>أ/254</t>
  </si>
  <si>
    <t>أ/256</t>
  </si>
  <si>
    <t>أ/257</t>
  </si>
  <si>
    <t>أ/258</t>
  </si>
  <si>
    <t>أ/259</t>
  </si>
  <si>
    <t>أ/260</t>
  </si>
  <si>
    <t>أ/261</t>
  </si>
  <si>
    <t>أ/263</t>
  </si>
  <si>
    <t>أ/265</t>
  </si>
  <si>
    <t>أ/266</t>
  </si>
  <si>
    <t>أ/269</t>
  </si>
  <si>
    <t>أ/255</t>
  </si>
  <si>
    <t>أ/262</t>
  </si>
  <si>
    <t>أ/264</t>
  </si>
  <si>
    <t>أ/267</t>
  </si>
  <si>
    <t>أ/268</t>
  </si>
  <si>
    <t>أ/270</t>
  </si>
  <si>
    <t>أ/271</t>
  </si>
  <si>
    <t>أ/272</t>
  </si>
  <si>
    <t>أ/273</t>
  </si>
  <si>
    <t>أ/274</t>
  </si>
  <si>
    <t>أ/275</t>
  </si>
  <si>
    <t>أ/276</t>
  </si>
  <si>
    <t>أ/277</t>
  </si>
  <si>
    <t>أ/278</t>
  </si>
  <si>
    <t>أ/279</t>
  </si>
  <si>
    <t>أ/280</t>
  </si>
  <si>
    <t>أ/281</t>
  </si>
  <si>
    <t>أ/282</t>
  </si>
  <si>
    <t>أ/283</t>
  </si>
  <si>
    <t>أ/284</t>
  </si>
  <si>
    <t>أ/285</t>
  </si>
  <si>
    <t>أ/286</t>
  </si>
  <si>
    <t>أ/287</t>
  </si>
  <si>
    <t>أ/288</t>
  </si>
  <si>
    <t>أ/289</t>
  </si>
  <si>
    <t>أ/290</t>
  </si>
  <si>
    <t>أ/291</t>
  </si>
  <si>
    <t>أ/292</t>
  </si>
  <si>
    <t>أ/293</t>
  </si>
  <si>
    <t>أ/294</t>
  </si>
  <si>
    <t>أ/295</t>
  </si>
  <si>
    <t>أ/296</t>
  </si>
  <si>
    <t>أ/297</t>
  </si>
  <si>
    <t>أ/298</t>
  </si>
  <si>
    <t>أ/299</t>
  </si>
  <si>
    <t>أ/300</t>
  </si>
  <si>
    <t>أ/301</t>
  </si>
  <si>
    <t>أ/303</t>
  </si>
  <si>
    <t>أ/302</t>
  </si>
  <si>
    <t>أ/304</t>
  </si>
  <si>
    <t>أ/305</t>
  </si>
  <si>
    <t>أ/306</t>
  </si>
  <si>
    <t>أ/307</t>
  </si>
  <si>
    <t>أ/308</t>
  </si>
  <si>
    <t>أ/309</t>
  </si>
  <si>
    <t>أ/310</t>
  </si>
  <si>
    <t>أ/311</t>
  </si>
  <si>
    <t>أ/312</t>
  </si>
  <si>
    <t>أ/313</t>
  </si>
  <si>
    <t>أ/314</t>
  </si>
  <si>
    <t>أ/315</t>
  </si>
  <si>
    <t>316/أ</t>
  </si>
  <si>
    <t>317/أ</t>
  </si>
  <si>
    <t>318/أ</t>
  </si>
  <si>
    <t>أ/319</t>
  </si>
  <si>
    <t>أ/320</t>
  </si>
  <si>
    <t>أ/321</t>
  </si>
  <si>
    <t>أ/322</t>
  </si>
  <si>
    <t>أ/323</t>
  </si>
  <si>
    <t>أ/324</t>
  </si>
  <si>
    <t>أ/325</t>
  </si>
  <si>
    <t>أ/326</t>
  </si>
  <si>
    <t>أ/327</t>
  </si>
  <si>
    <t>أ/328</t>
  </si>
  <si>
    <t>أ/329</t>
  </si>
  <si>
    <t>أ/330</t>
  </si>
  <si>
    <t>أ/331</t>
  </si>
  <si>
    <t>أ/332</t>
  </si>
  <si>
    <t>أ/333</t>
  </si>
  <si>
    <t>أ/334</t>
  </si>
  <si>
    <t>أ/335</t>
  </si>
  <si>
    <t>أ/336</t>
  </si>
  <si>
    <t>أ/337</t>
  </si>
  <si>
    <t>605/أ</t>
  </si>
  <si>
    <t>أ/339</t>
  </si>
  <si>
    <t>577/أ</t>
  </si>
  <si>
    <t>628/أ</t>
  </si>
  <si>
    <t>626/أ</t>
  </si>
  <si>
    <t>649/أ</t>
  </si>
  <si>
    <t>662/أ</t>
  </si>
  <si>
    <t>651/أ</t>
  </si>
  <si>
    <t>655/أ</t>
  </si>
  <si>
    <t>665/أ</t>
  </si>
  <si>
    <t>654/أ</t>
  </si>
  <si>
    <t>664/أ</t>
  </si>
  <si>
    <t>663/أ</t>
  </si>
  <si>
    <t>672/أ</t>
  </si>
  <si>
    <t>666/أ</t>
  </si>
  <si>
    <t>629/أ</t>
  </si>
  <si>
    <t>644/أ</t>
  </si>
  <si>
    <t>684/أ</t>
  </si>
  <si>
    <t>688/أ</t>
  </si>
  <si>
    <t>687/أ</t>
  </si>
  <si>
    <t>703/أ</t>
  </si>
  <si>
    <t>715/أ</t>
  </si>
  <si>
    <t>709/أ</t>
  </si>
  <si>
    <t>710/أ</t>
  </si>
  <si>
    <t>717/أ</t>
  </si>
  <si>
    <t>713/أ</t>
  </si>
  <si>
    <t>712/أ</t>
  </si>
  <si>
    <t>727/أ</t>
  </si>
  <si>
    <t>728/أ</t>
  </si>
  <si>
    <t>741/أ</t>
  </si>
  <si>
    <t>754/أ</t>
  </si>
  <si>
    <t>764/أ</t>
  </si>
  <si>
    <t>762/أ</t>
  </si>
  <si>
    <t>765/أ</t>
  </si>
  <si>
    <t>763/أ</t>
  </si>
  <si>
    <t>726/أ</t>
  </si>
  <si>
    <t>789/أ</t>
  </si>
  <si>
    <t>751/أ</t>
  </si>
  <si>
    <t>793/أ</t>
  </si>
  <si>
    <t>798/أ</t>
  </si>
  <si>
    <t>814/أ</t>
  </si>
  <si>
    <t>823/أ</t>
  </si>
  <si>
    <t>829/أ</t>
  </si>
  <si>
    <t>أ/162-1</t>
  </si>
  <si>
    <t>833/أ</t>
  </si>
  <si>
    <t>834/أ</t>
  </si>
  <si>
    <t>أ/41-1</t>
  </si>
  <si>
    <t>846/أ</t>
  </si>
  <si>
    <t>أ/22-1</t>
  </si>
  <si>
    <t>920/أ</t>
  </si>
  <si>
    <t>924/أ</t>
  </si>
  <si>
    <t>959/أ</t>
  </si>
  <si>
    <t>1004/أ</t>
  </si>
  <si>
    <t>1046/أ</t>
  </si>
  <si>
    <t>1107/أ</t>
  </si>
  <si>
    <t>1106/أ</t>
  </si>
  <si>
    <t>1221/أ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</si>
</sst>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[$ر.س.‏-401]_-;\-* #,##0.00\ [$ر.س.‏-401]_-;_-* &quot;-&quot;??\ [$ر.س.‏-401]_-;_-@_-"/>
    <numFmt numFmtId="165" formatCode="_ * #,##0.00_ ;_ * \-#,##0.00_ ;_ * &quot;-&quot;??_ ;_ @_ 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0"/>
      <name val="Sakkal Majalla"/>
    </font>
    <font>
      <sz val="14"/>
      <color rgb="FF000000"/>
      <name val="Sakkal Majalla"/>
    </font>
    <font>
      <sz val="14"/>
      <color theme="1"/>
      <name val="Aptos Narrow"/>
      <family val="2"/>
      <scheme val="minor"/>
    </font>
    <font>
      <b/>
      <sz val="14"/>
      <color theme="0"/>
      <name val="Sakkal Majalla"/>
    </font>
    <font>
      <b/>
      <sz val="14"/>
      <color theme="1"/>
      <name val="Sakkal Majalla"/>
    </font>
    <font>
      <sz val="14"/>
      <color theme="1"/>
      <name val="Sakkal Majalla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rgb="FF000000"/>
      <name val="Sakkal Majalla"/>
    </font>
    <font>
      <sz val="12"/>
      <color theme="1"/>
      <name val="Sakkal Majalla"/>
    </font>
    <font>
      <sz val="14"/>
      <color theme="1"/>
      <name val="Symbol"/>
      <family val="1"/>
      <charset val="2"/>
    </font>
    <font>
      <sz val="14"/>
      <color rgb="FFFF0000"/>
      <name val="Sakkal Majalla"/>
    </font>
    <font>
      <sz val="14"/>
      <name val="Sakkal Majalla"/>
    </font>
    <font>
      <sz val="10"/>
      <color rgb="FF000000"/>
      <name val="Sakkal Majalla"/>
    </font>
    <font>
      <b/>
      <sz val="12"/>
      <color rgb="FF000000"/>
      <name val="Sakkal Majalla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1"/>
      <name val="Sakkal Majalla"/>
    </font>
    <font>
      <b/>
      <u/>
      <sz val="16"/>
      <color theme="1"/>
      <name val="Sakkal Majalla"/>
    </font>
    <font>
      <b/>
      <sz val="11"/>
      <color theme="1"/>
      <name val="Sakkal Majalla"/>
    </font>
    <font>
      <b/>
      <sz val="11"/>
      <color rgb="FF000000"/>
      <name val="Aptos Narrow"/>
      <family val="2"/>
      <scheme val="minor"/>
    </font>
    <font>
      <b/>
      <sz val="12"/>
      <name val="Sakkal Majalla"/>
    </font>
  </fonts>
  <fills count="12">
    <fill>
      <patternFill patternType="none"/>
    </fill>
    <fill>
      <patternFill patternType="gray125"/>
    </fill>
    <fill>
      <patternFill patternType="solid">
        <fgColor rgb="FF00525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rgb="FF000000"/>
      </patternFill>
    </fill>
  </fills>
  <borders count="61">
    <border>
      <left/>
      <right/>
      <top/>
      <bottom/>
      <diagonal/>
    </border>
    <border>
      <left style="thick">
        <color theme="0" tint="-0.14996795556505021"/>
      </left>
      <right/>
      <top style="thick">
        <color theme="0" tint="-0.14996795556505021"/>
      </top>
      <bottom style="thick">
        <color theme="0" tint="-0.14996795556505021"/>
      </bottom>
      <diagonal/>
    </border>
    <border>
      <left/>
      <right/>
      <top style="thick">
        <color theme="0" tint="-0.14996795556505021"/>
      </top>
      <bottom style="thick">
        <color theme="0" tint="-0.14996795556505021"/>
      </bottom>
      <diagonal/>
    </border>
    <border>
      <left style="thick">
        <color theme="0" tint="-0.14993743705557422"/>
      </left>
      <right/>
      <top style="thick">
        <color theme="0" tint="-0.14993743705557422"/>
      </top>
      <bottom style="thick">
        <color theme="0" tint="-0.14996795556505021"/>
      </bottom>
      <diagonal/>
    </border>
    <border>
      <left/>
      <right style="thick">
        <color theme="0" tint="-0.14996795556505021"/>
      </right>
      <top style="thick">
        <color theme="0" tint="-0.14993743705557422"/>
      </top>
      <bottom style="thick">
        <color theme="0" tint="-0.14996795556505021"/>
      </bottom>
      <diagonal/>
    </border>
    <border>
      <left style="thick">
        <color theme="0" tint="-0.14996795556505021"/>
      </left>
      <right/>
      <top style="thick">
        <color theme="0" tint="-0.14996795556505021"/>
      </top>
      <bottom/>
      <diagonal/>
    </border>
    <border>
      <left/>
      <right/>
      <top style="thick">
        <color theme="0" tint="-0.14996795556505021"/>
      </top>
      <bottom/>
      <diagonal/>
    </border>
    <border>
      <left/>
      <right style="thick">
        <color theme="0" tint="-0.14996795556505021"/>
      </right>
      <top style="thick">
        <color theme="0" tint="-0.14996795556505021"/>
      </top>
      <bottom/>
      <diagonal/>
    </border>
    <border>
      <left/>
      <right/>
      <top/>
      <bottom style="thick">
        <color theme="0" tint="-0.14996795556505021"/>
      </bottom>
      <diagonal/>
    </border>
    <border>
      <left style="thick">
        <color theme="0" tint="-0.14993743705557422"/>
      </left>
      <right style="thick">
        <color theme="0" tint="-0.14993743705557422"/>
      </right>
      <top style="thick">
        <color theme="0" tint="-0.14993743705557422"/>
      </top>
      <bottom style="thick">
        <color theme="0" tint="-0.14996795556505021"/>
      </bottom>
      <diagonal/>
    </border>
    <border>
      <left style="thick">
        <color theme="0" tint="-0.14993743705557422"/>
      </left>
      <right/>
      <top style="thick">
        <color theme="0" tint="-0.14993743705557422"/>
      </top>
      <bottom/>
      <diagonal/>
    </border>
    <border>
      <left/>
      <right/>
      <top style="thick">
        <color theme="0" tint="-0.14993743705557422"/>
      </top>
      <bottom/>
      <diagonal/>
    </border>
    <border>
      <left/>
      <right style="thick">
        <color theme="0" tint="-0.14993743705557422"/>
      </right>
      <top style="thick">
        <color theme="0" tint="-0.14993743705557422"/>
      </top>
      <bottom/>
      <diagonal/>
    </border>
    <border>
      <left/>
      <right style="thick">
        <color theme="0" tint="-0.14990691854609822"/>
      </right>
      <top/>
      <bottom/>
      <diagonal/>
    </border>
    <border>
      <left style="thick">
        <color theme="0" tint="-0.14990691854609822"/>
      </left>
      <right style="thick">
        <color theme="0" tint="-0.14990691854609822"/>
      </right>
      <top/>
      <bottom/>
      <diagonal/>
    </border>
    <border>
      <left style="thick">
        <color theme="0" tint="-0.14990691854609822"/>
      </left>
      <right/>
      <top/>
      <bottom/>
      <diagonal/>
    </border>
    <border>
      <left style="thick">
        <color theme="0" tint="-0.14993743705557422"/>
      </left>
      <right/>
      <top style="thick">
        <color theme="0" tint="-0.14993743705557422"/>
      </top>
      <bottom style="thick">
        <color theme="0" tint="-0.14993743705557422"/>
      </bottom>
      <diagonal/>
    </border>
    <border>
      <left style="thick">
        <color theme="0" tint="-0.14993743705557422"/>
      </left>
      <right style="thick">
        <color theme="0" tint="-0.14996795556505021"/>
      </right>
      <top style="thick">
        <color theme="0" tint="-0.14993743705557422"/>
      </top>
      <bottom style="thick">
        <color theme="0" tint="-0.14996795556505021"/>
      </bottom>
      <diagonal/>
    </border>
    <border>
      <left/>
      <right style="thick">
        <color theme="0" tint="-0.24994659260841701"/>
      </right>
      <top/>
      <bottom style="thick">
        <color theme="0" tint="-0.14996795556505021"/>
      </bottom>
      <diagonal/>
    </border>
    <border>
      <left style="thick">
        <color theme="0" tint="-0.24994659260841701"/>
      </left>
      <right/>
      <top/>
      <bottom style="thick">
        <color theme="0" tint="-0.14996795556505021"/>
      </bottom>
      <diagonal/>
    </border>
    <border>
      <left/>
      <right style="thick">
        <color theme="0" tint="-0.24994659260841701"/>
      </right>
      <top style="thick">
        <color theme="0" tint="-0.14996795556505021"/>
      </top>
      <bottom/>
      <diagonal/>
    </border>
    <border>
      <left style="thick">
        <color theme="0" tint="-0.24994659260841701"/>
      </left>
      <right/>
      <top style="thick">
        <color theme="0" tint="-0.14996795556505021"/>
      </top>
      <bottom style="thick">
        <color theme="0" tint="-0.14996795556505021"/>
      </bottom>
      <diagonal/>
    </border>
    <border>
      <left/>
      <right style="thick">
        <color theme="0" tint="-0.14993743705557422"/>
      </right>
      <top style="thick">
        <color theme="0" tint="-0.14993743705557422"/>
      </top>
      <bottom style="thick">
        <color theme="0" tint="-0.14993743705557422"/>
      </bottom>
      <diagonal/>
    </border>
    <border>
      <left style="thick">
        <color theme="0" tint="-0.14996795556505021"/>
      </left>
      <right/>
      <top/>
      <bottom style="thick">
        <color theme="0" tint="-0.14996795556505021"/>
      </bottom>
      <diagonal/>
    </border>
    <border>
      <left/>
      <right style="thick">
        <color theme="0" tint="-0.14996795556505021"/>
      </right>
      <top/>
      <bottom style="thick">
        <color theme="0" tint="-0.14996795556505021"/>
      </bottom>
      <diagonal/>
    </border>
    <border>
      <left/>
      <right style="thick">
        <color theme="0" tint="-0.14996795556505021"/>
      </right>
      <top/>
      <bottom/>
      <diagonal/>
    </border>
    <border>
      <left/>
      <right style="thick">
        <color theme="0" tint="-0.14996795556505021"/>
      </right>
      <top style="thick">
        <color theme="0" tint="-0.14996795556505021"/>
      </top>
      <bottom style="thick">
        <color theme="0" tint="-0.1499679555650502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theme="0" tint="-0.14990691854609822"/>
      </left>
      <right/>
      <top style="thick">
        <color theme="0" tint="-0.14990691854609822"/>
      </top>
      <bottom style="thick">
        <color theme="0" tint="-0.14996795556505021"/>
      </bottom>
      <diagonal/>
    </border>
    <border>
      <left/>
      <right/>
      <top style="thick">
        <color theme="0" tint="-0.14990691854609822"/>
      </top>
      <bottom style="thick">
        <color theme="0" tint="-0.14996795556505021"/>
      </bottom>
      <diagonal/>
    </border>
    <border>
      <left/>
      <right style="thick">
        <color theme="0" tint="-0.14990691854609822"/>
      </right>
      <top style="thick">
        <color theme="0" tint="-0.14990691854609822"/>
      </top>
      <bottom style="thick">
        <color theme="0" tint="-0.14996795556505021"/>
      </bottom>
      <diagonal/>
    </border>
    <border>
      <left style="thick">
        <color theme="0" tint="-0.14990691854609822"/>
      </left>
      <right/>
      <top style="thick">
        <color theme="0" tint="-0.14996795556505021"/>
      </top>
      <bottom style="thick">
        <color theme="0" tint="-0.14996795556505021"/>
      </bottom>
      <diagonal/>
    </border>
    <border>
      <left/>
      <right/>
      <top style="thick">
        <color theme="0" tint="-0.14993743705557422"/>
      </top>
      <bottom style="thick">
        <color theme="0" tint="-0.14996795556505021"/>
      </bottom>
      <diagonal/>
    </border>
    <border>
      <left/>
      <right style="thick">
        <color theme="0" tint="-0.14990691854609822"/>
      </right>
      <top style="thick">
        <color theme="0" tint="-0.14993743705557422"/>
      </top>
      <bottom style="thick">
        <color theme="0" tint="-0.14996795556505021"/>
      </bottom>
      <diagonal/>
    </border>
    <border>
      <left style="thick">
        <color theme="0" tint="-0.14990691854609822"/>
      </left>
      <right/>
      <top style="thick">
        <color theme="0" tint="-0.14996795556505021"/>
      </top>
      <bottom style="thick">
        <color theme="0" tint="-0.14990691854609822"/>
      </bottom>
      <diagonal/>
    </border>
    <border>
      <left/>
      <right/>
      <top style="thick">
        <color theme="0" tint="-0.14993743705557422"/>
      </top>
      <bottom style="thick">
        <color theme="0" tint="-0.14990691854609822"/>
      </bottom>
      <diagonal/>
    </border>
    <border>
      <left/>
      <right style="thick">
        <color theme="0" tint="-0.14990691854609822"/>
      </right>
      <top style="thick">
        <color theme="0" tint="-0.14993743705557422"/>
      </top>
      <bottom style="thick">
        <color theme="0" tint="-0.14990691854609822"/>
      </bottom>
      <diagonal/>
    </border>
    <border>
      <left/>
      <right/>
      <top style="thick">
        <color theme="0" tint="-0.14993743705557422"/>
      </top>
      <bottom style="thick">
        <color theme="0" tint="-0.149937437055574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theme="0" tint="-0.14993743705557422"/>
      </right>
      <top style="thick">
        <color theme="0" tint="-0.14996795556505021"/>
      </top>
      <bottom style="thick">
        <color theme="0" tint="-0.14996795556505021"/>
      </bottom>
      <diagonal/>
    </border>
    <border>
      <left style="thick">
        <color theme="0" tint="-0.14993743705557422"/>
      </left>
      <right style="thick">
        <color theme="0" tint="-0.14993743705557422"/>
      </right>
      <top style="thick">
        <color theme="0" tint="-0.14996795556505021"/>
      </top>
      <bottom style="thick">
        <color theme="0" tint="-0.14996795556505021"/>
      </bottom>
      <diagonal/>
    </border>
    <border>
      <left/>
      <right/>
      <top/>
      <bottom style="thin">
        <color indexed="64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 style="thick">
        <color theme="0" tint="-0.14996795556505021"/>
      </bottom>
      <diagonal/>
    </border>
    <border>
      <left style="thick">
        <color theme="0" tint="-0.14993743705557422"/>
      </left>
      <right style="thick">
        <color theme="0" tint="-0.14990691854609822"/>
      </right>
      <top style="thick">
        <color theme="0" tint="-0.14993743705557422"/>
      </top>
      <bottom/>
      <diagonal/>
    </border>
    <border>
      <left/>
      <right style="thick">
        <color theme="0" tint="-0.14996795556505021"/>
      </right>
      <top style="thick">
        <color theme="0" tint="-0.14993743705557422"/>
      </top>
      <bottom/>
      <diagonal/>
    </border>
    <border>
      <left style="thick">
        <color theme="0" tint="-0.14993743705557422"/>
      </left>
      <right style="thick">
        <color theme="0" tint="-0.14990691854609822"/>
      </right>
      <top/>
      <bottom/>
      <diagonal/>
    </border>
    <border>
      <left style="thick">
        <color theme="0" tint="-0.14993743705557422"/>
      </left>
      <right style="thick">
        <color theme="0" tint="-0.14990691854609822"/>
      </right>
      <top/>
      <bottom style="thick">
        <color theme="0" tint="-0.14993743705557422"/>
      </bottom>
      <diagonal/>
    </border>
    <border>
      <left/>
      <right/>
      <top/>
      <bottom style="thick">
        <color theme="0" tint="-0.14993743705557422"/>
      </bottom>
      <diagonal/>
    </border>
    <border>
      <left/>
      <right style="thick">
        <color theme="0" tint="-0.14996795556505021"/>
      </right>
      <top/>
      <bottom style="thick">
        <color theme="0" tint="-0.149937437055574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7">
    <xf numFmtId="0" fontId="0" fillId="0" borderId="0" xfId="0"/>
    <xf numFmtId="0" fontId="0" fillId="0" borderId="0" xfId="0" applyProtection="1">
      <protection locked="0"/>
    </xf>
    <xf numFmtId="1" fontId="3" fillId="2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3" fillId="2" borderId="2" xfId="0" applyNumberFormat="1" applyFont="1" applyFill="1" applyBorder="1" applyAlignment="1" applyProtection="1">
      <alignment horizontal="center" vertical="center" wrapText="1" readingOrder="2"/>
      <protection locked="0"/>
    </xf>
    <xf numFmtId="0" fontId="5" fillId="0" borderId="0" xfId="0" applyFont="1" applyProtection="1">
      <protection locked="0"/>
    </xf>
    <xf numFmtId="1" fontId="6" fillId="2" borderId="5" xfId="0" applyNumberFormat="1" applyFont="1" applyFill="1" applyBorder="1" applyAlignment="1" applyProtection="1">
      <alignment horizontal="center" vertical="center" wrapText="1" readingOrder="2"/>
      <protection locked="0"/>
    </xf>
    <xf numFmtId="1" fontId="6" fillId="2" borderId="6" xfId="0" applyNumberFormat="1" applyFont="1" applyFill="1" applyBorder="1" applyAlignment="1" applyProtection="1">
      <alignment horizontal="center" vertical="center" wrapText="1" readingOrder="2"/>
      <protection locked="0"/>
    </xf>
    <xf numFmtId="1" fontId="6" fillId="2" borderId="7" xfId="0" applyNumberFormat="1" applyFont="1" applyFill="1" applyBorder="1" applyAlignment="1" applyProtection="1">
      <alignment horizontal="center" vertical="center" wrapText="1" readingOrder="2"/>
      <protection locked="0"/>
    </xf>
    <xf numFmtId="1" fontId="7" fillId="4" borderId="8" xfId="0" applyNumberFormat="1" applyFont="1" applyFill="1" applyBorder="1" applyAlignment="1" applyProtection="1">
      <alignment horizontal="center" vertical="center" wrapText="1" readingOrder="2"/>
      <protection locked="0"/>
    </xf>
    <xf numFmtId="1" fontId="8" fillId="5" borderId="2" xfId="0" applyNumberFormat="1" applyFont="1" applyFill="1" applyBorder="1" applyAlignment="1" applyProtection="1">
      <alignment horizontal="center" vertical="center" wrapText="1" readingOrder="2"/>
      <protection locked="0"/>
    </xf>
    <xf numFmtId="1" fontId="8" fillId="5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8" fillId="5" borderId="7" xfId="0" applyNumberFormat="1" applyFont="1" applyFill="1" applyBorder="1" applyAlignment="1" applyProtection="1">
      <alignment horizontal="center" vertical="center" wrapText="1" readingOrder="2"/>
      <protection locked="0"/>
    </xf>
    <xf numFmtId="1" fontId="8" fillId="5" borderId="6" xfId="0" applyNumberFormat="1" applyFont="1" applyFill="1" applyBorder="1" applyAlignment="1" applyProtection="1">
      <alignment horizontal="center" vertical="center" wrapText="1" readingOrder="2"/>
      <protection locked="0"/>
    </xf>
    <xf numFmtId="4" fontId="4" fillId="4" borderId="9" xfId="1" applyNumberFormat="1" applyFont="1" applyFill="1" applyBorder="1" applyAlignment="1" applyProtection="1">
      <alignment horizontal="center" vertical="center" readingOrder="2"/>
      <protection hidden="1"/>
    </xf>
    <xf numFmtId="1" fontId="3" fillId="0" borderId="0" xfId="0" applyNumberFormat="1" applyFont="1" applyAlignment="1" applyProtection="1">
      <alignment horizontal="center" vertical="center" wrapText="1" readingOrder="2"/>
      <protection locked="0"/>
    </xf>
    <xf numFmtId="0" fontId="8" fillId="0" borderId="0" xfId="0" applyFont="1" applyAlignment="1" applyProtection="1">
      <alignment horizontal="center" vertical="center" wrapText="1" readingOrder="2"/>
      <protection locked="0"/>
    </xf>
    <xf numFmtId="1" fontId="6" fillId="2" borderId="10" xfId="0" applyNumberFormat="1" applyFont="1" applyFill="1" applyBorder="1" applyAlignment="1" applyProtection="1">
      <alignment horizontal="center" vertical="center" wrapText="1" readingOrder="2"/>
      <protection locked="0"/>
    </xf>
    <xf numFmtId="1" fontId="6" fillId="2" borderId="11" xfId="0" applyNumberFormat="1" applyFont="1" applyFill="1" applyBorder="1" applyAlignment="1" applyProtection="1">
      <alignment horizontal="center" vertical="center" wrapText="1" readingOrder="2"/>
      <protection locked="0"/>
    </xf>
    <xf numFmtId="1" fontId="6" fillId="2" borderId="12" xfId="0" applyNumberFormat="1" applyFont="1" applyFill="1" applyBorder="1" applyAlignment="1" applyProtection="1">
      <alignment horizontal="center" vertical="center" wrapText="1" readingOrder="2"/>
      <protection locked="0"/>
    </xf>
    <xf numFmtId="1" fontId="8" fillId="5" borderId="13" xfId="0" applyNumberFormat="1" applyFont="1" applyFill="1" applyBorder="1" applyAlignment="1" applyProtection="1">
      <alignment horizontal="center" vertical="center" wrapText="1" readingOrder="2"/>
      <protection locked="0"/>
    </xf>
    <xf numFmtId="4" fontId="4" fillId="4" borderId="14" xfId="1" applyNumberFormat="1" applyFont="1" applyFill="1" applyBorder="1" applyAlignment="1" applyProtection="1">
      <alignment horizontal="center" vertical="center" readingOrder="2"/>
      <protection hidden="1"/>
    </xf>
    <xf numFmtId="1" fontId="8" fillId="5" borderId="14" xfId="0" applyNumberFormat="1" applyFont="1" applyFill="1" applyBorder="1" applyAlignment="1" applyProtection="1">
      <alignment horizontal="center" vertical="center" wrapText="1" readingOrder="2"/>
      <protection locked="0"/>
    </xf>
    <xf numFmtId="4" fontId="4" fillId="4" borderId="15" xfId="1" applyNumberFormat="1" applyFont="1" applyFill="1" applyBorder="1" applyAlignment="1" applyProtection="1">
      <alignment horizontal="center" vertical="center" readingOrder="2"/>
      <protection hidden="1"/>
    </xf>
    <xf numFmtId="0" fontId="6" fillId="2" borderId="0" xfId="0" applyFont="1" applyFill="1" applyAlignment="1" applyProtection="1">
      <alignment horizontal="center" vertical="center"/>
      <protection locked="0"/>
    </xf>
    <xf numFmtId="0" fontId="7" fillId="5" borderId="16" xfId="0" applyFont="1" applyFill="1" applyBorder="1" applyAlignment="1" applyProtection="1">
      <alignment horizontal="center" vertical="center" wrapText="1" readingOrder="2"/>
      <protection locked="0"/>
    </xf>
    <xf numFmtId="4" fontId="4" fillId="5" borderId="17" xfId="1" applyNumberFormat="1" applyFont="1" applyFill="1" applyBorder="1" applyAlignment="1" applyProtection="1">
      <alignment horizontal="center" vertical="center" readingOrder="2"/>
      <protection hidden="1"/>
    </xf>
    <xf numFmtId="1" fontId="8" fillId="5" borderId="5" xfId="0" applyNumberFormat="1" applyFont="1" applyFill="1" applyBorder="1" applyAlignment="1" applyProtection="1">
      <alignment horizontal="center" vertical="center" wrapText="1" readingOrder="2"/>
      <protection locked="0"/>
    </xf>
    <xf numFmtId="1" fontId="8" fillId="4" borderId="8" xfId="0" applyNumberFormat="1" applyFont="1" applyFill="1" applyBorder="1" applyAlignment="1" applyProtection="1">
      <alignment horizontal="center" vertical="center" wrapText="1" readingOrder="2"/>
      <protection locked="0"/>
    </xf>
    <xf numFmtId="1" fontId="8" fillId="4" borderId="18" xfId="0" applyNumberFormat="1" applyFont="1" applyFill="1" applyBorder="1" applyAlignment="1" applyProtection="1">
      <alignment horizontal="center" vertical="center" wrapText="1" readingOrder="2"/>
      <protection locked="0"/>
    </xf>
    <xf numFmtId="1" fontId="8" fillId="4" borderId="19" xfId="0" applyNumberFormat="1" applyFont="1" applyFill="1" applyBorder="1" applyAlignment="1" applyProtection="1">
      <alignment horizontal="center" vertical="center" wrapText="1" readingOrder="2"/>
      <protection locked="0"/>
    </xf>
    <xf numFmtId="164" fontId="11" fillId="5" borderId="20" xfId="1" applyNumberFormat="1" applyFont="1" applyFill="1" applyBorder="1" applyAlignment="1" applyProtection="1">
      <alignment horizontal="center" vertical="center" wrapText="1" readingOrder="2"/>
      <protection locked="0"/>
    </xf>
    <xf numFmtId="1" fontId="8" fillId="5" borderId="21" xfId="0" applyNumberFormat="1" applyFont="1" applyFill="1" applyBorder="1" applyAlignment="1" applyProtection="1">
      <alignment horizontal="center" vertical="center" wrapText="1" readingOrder="2"/>
      <protection locked="0"/>
    </xf>
    <xf numFmtId="164" fontId="12" fillId="5" borderId="2" xfId="1" applyNumberFormat="1" applyFont="1" applyFill="1" applyBorder="1" applyAlignment="1" applyProtection="1">
      <alignment horizontal="center" vertical="center" wrapText="1" readingOrder="2"/>
      <protection locked="0"/>
    </xf>
    <xf numFmtId="1" fontId="8" fillId="5" borderId="16" xfId="0" applyNumberFormat="1" applyFont="1" applyFill="1" applyBorder="1" applyAlignment="1" applyProtection="1">
      <alignment horizontal="center" vertical="center" wrapText="1" readingOrder="2"/>
      <protection locked="0"/>
    </xf>
    <xf numFmtId="4" fontId="4" fillId="5" borderId="22" xfId="1" applyNumberFormat="1" applyFont="1" applyFill="1" applyBorder="1" applyAlignment="1" applyProtection="1">
      <alignment horizontal="center" vertical="center" readingOrder="2"/>
      <protection hidden="1"/>
    </xf>
    <xf numFmtId="4" fontId="4" fillId="4" borderId="22" xfId="1" applyNumberFormat="1" applyFont="1" applyFill="1" applyBorder="1" applyAlignment="1" applyProtection="1">
      <alignment horizontal="center" vertical="center" readingOrder="2"/>
      <protection hidden="1"/>
    </xf>
    <xf numFmtId="1" fontId="6" fillId="2" borderId="0" xfId="0" applyNumberFormat="1" applyFont="1" applyFill="1" applyAlignment="1" applyProtection="1">
      <alignment horizontal="center" vertical="center" wrapText="1" readingOrder="2"/>
      <protection locked="0"/>
    </xf>
    <xf numFmtId="1" fontId="7" fillId="5" borderId="28" xfId="0" applyNumberFormat="1" applyFont="1" applyFill="1" applyBorder="1" applyAlignment="1" applyProtection="1">
      <alignment horizontal="center" vertical="center" wrapText="1" readingOrder="2"/>
      <protection locked="0"/>
    </xf>
    <xf numFmtId="1" fontId="8" fillId="5" borderId="29" xfId="0" applyNumberFormat="1" applyFont="1" applyFill="1" applyBorder="1" applyAlignment="1" applyProtection="1">
      <alignment horizontal="center" vertical="center" wrapText="1" readingOrder="2"/>
      <protection locked="0"/>
    </xf>
    <xf numFmtId="3" fontId="8" fillId="5" borderId="2" xfId="0" applyNumberFormat="1" applyFont="1" applyFill="1" applyBorder="1" applyAlignment="1" applyProtection="1">
      <alignment horizontal="center" vertical="center" wrapText="1" readingOrder="2"/>
      <protection hidden="1"/>
    </xf>
    <xf numFmtId="9" fontId="8" fillId="5" borderId="30" xfId="0" applyNumberFormat="1" applyFont="1" applyFill="1" applyBorder="1" applyAlignment="1" applyProtection="1">
      <alignment horizontal="center" vertical="center" wrapText="1" readingOrder="2"/>
      <protection hidden="1"/>
    </xf>
    <xf numFmtId="4" fontId="4" fillId="5" borderId="30" xfId="1" applyNumberFormat="1" applyFont="1" applyFill="1" applyBorder="1" applyAlignment="1" applyProtection="1">
      <alignment horizontal="center" vertical="center" readingOrder="2"/>
      <protection hidden="1"/>
    </xf>
    <xf numFmtId="4" fontId="4" fillId="5" borderId="31" xfId="1" applyNumberFormat="1" applyFont="1" applyFill="1" applyBorder="1" applyAlignment="1" applyProtection="1">
      <alignment horizontal="center" vertical="center" readingOrder="2"/>
      <protection hidden="1"/>
    </xf>
    <xf numFmtId="1" fontId="7" fillId="5" borderId="0" xfId="0" applyNumberFormat="1" applyFont="1" applyFill="1" applyAlignment="1" applyProtection="1">
      <alignment horizontal="center" vertical="center" wrapText="1" readingOrder="2"/>
      <protection locked="0"/>
    </xf>
    <xf numFmtId="1" fontId="8" fillId="5" borderId="32" xfId="0" applyNumberFormat="1" applyFont="1" applyFill="1" applyBorder="1" applyAlignment="1" applyProtection="1">
      <alignment horizontal="center" vertical="center" wrapText="1" readingOrder="2"/>
      <protection locked="0"/>
    </xf>
    <xf numFmtId="9" fontId="8" fillId="5" borderId="2" xfId="0" applyNumberFormat="1" applyFont="1" applyFill="1" applyBorder="1" applyAlignment="1" applyProtection="1">
      <alignment horizontal="center" vertical="center" wrapText="1" readingOrder="2"/>
      <protection hidden="1"/>
    </xf>
    <xf numFmtId="4" fontId="4" fillId="5" borderId="33" xfId="1" applyNumberFormat="1" applyFont="1" applyFill="1" applyBorder="1" applyAlignment="1" applyProtection="1">
      <alignment horizontal="center" vertical="center" readingOrder="2"/>
      <protection hidden="1"/>
    </xf>
    <xf numFmtId="4" fontId="4" fillId="5" borderId="34" xfId="1" applyNumberFormat="1" applyFont="1" applyFill="1" applyBorder="1" applyAlignment="1" applyProtection="1">
      <alignment horizontal="center" vertical="center" readingOrder="2"/>
      <protection hidden="1"/>
    </xf>
    <xf numFmtId="1" fontId="8" fillId="5" borderId="35" xfId="0" applyNumberFormat="1" applyFont="1" applyFill="1" applyBorder="1" applyAlignment="1" applyProtection="1">
      <alignment horizontal="center" vertical="center" wrapText="1" readingOrder="2"/>
      <protection locked="0"/>
    </xf>
    <xf numFmtId="4" fontId="4" fillId="5" borderId="36" xfId="1" applyNumberFormat="1" applyFont="1" applyFill="1" applyBorder="1" applyAlignment="1" applyProtection="1">
      <alignment horizontal="center" vertical="center" readingOrder="2"/>
      <protection hidden="1"/>
    </xf>
    <xf numFmtId="4" fontId="4" fillId="5" borderId="37" xfId="1" applyNumberFormat="1" applyFont="1" applyFill="1" applyBorder="1" applyAlignment="1" applyProtection="1">
      <alignment horizontal="center" vertical="center" readingOrder="2"/>
      <protection hidden="1"/>
    </xf>
    <xf numFmtId="1" fontId="6" fillId="2" borderId="6" xfId="0" applyNumberFormat="1" applyFont="1" applyFill="1" applyBorder="1" applyAlignment="1" applyProtection="1">
      <alignment horizontal="center" vertical="center" wrapText="1" readingOrder="2"/>
      <protection locked="0"/>
    </xf>
    <xf numFmtId="0" fontId="4" fillId="4" borderId="0" xfId="1" applyNumberFormat="1" applyFont="1" applyFill="1" applyBorder="1" applyAlignment="1" applyProtection="1">
      <alignment horizontal="center" vertical="center" readingOrder="2"/>
      <protection locked="0"/>
    </xf>
    <xf numFmtId="0" fontId="4" fillId="4" borderId="0" xfId="1" applyNumberFormat="1" applyFont="1" applyFill="1" applyBorder="1" applyAlignment="1" applyProtection="1">
      <alignment horizontal="center" vertical="center" readingOrder="2"/>
      <protection hidden="1"/>
    </xf>
    <xf numFmtId="3" fontId="4" fillId="3" borderId="38" xfId="1" applyNumberFormat="1" applyFont="1" applyFill="1" applyBorder="1" applyAlignment="1" applyProtection="1">
      <alignment horizontal="center" vertical="center" readingOrder="2"/>
      <protection locked="0"/>
    </xf>
    <xf numFmtId="1" fontId="7" fillId="5" borderId="39" xfId="0" applyNumberFormat="1" applyFont="1" applyFill="1" applyBorder="1" applyAlignment="1" applyProtection="1">
      <alignment horizontal="center" vertical="center" wrapText="1" readingOrder="2"/>
      <protection locked="0"/>
    </xf>
    <xf numFmtId="1" fontId="6" fillId="2" borderId="40" xfId="0" applyNumberFormat="1" applyFont="1" applyFill="1" applyBorder="1" applyAlignment="1" applyProtection="1">
      <alignment horizontal="center" vertical="center" wrapText="1" readingOrder="2"/>
      <protection locked="0"/>
    </xf>
    <xf numFmtId="0" fontId="4" fillId="4" borderId="16" xfId="1" applyNumberFormat="1" applyFont="1" applyFill="1" applyBorder="1" applyAlignment="1" applyProtection="1">
      <alignment horizontal="center" vertical="center" readingOrder="2"/>
      <protection locked="0"/>
    </xf>
    <xf numFmtId="0" fontId="4" fillId="4" borderId="38" xfId="1" applyNumberFormat="1" applyFont="1" applyFill="1" applyBorder="1" applyAlignment="1" applyProtection="1">
      <alignment horizontal="center" vertical="center" readingOrder="2"/>
      <protection hidden="1"/>
    </xf>
    <xf numFmtId="9" fontId="8" fillId="4" borderId="38" xfId="0" applyNumberFormat="1" applyFont="1" applyFill="1" applyBorder="1" applyAlignment="1" applyProtection="1">
      <alignment horizontal="center" vertical="center" wrapText="1" readingOrder="2"/>
      <protection hidden="1"/>
    </xf>
    <xf numFmtId="4" fontId="4" fillId="4" borderId="38" xfId="1" applyNumberFormat="1" applyFont="1" applyFill="1" applyBorder="1" applyAlignment="1" applyProtection="1">
      <alignment horizontal="center" vertical="center" readingOrder="2"/>
      <protection hidden="1"/>
    </xf>
    <xf numFmtId="1" fontId="7" fillId="5" borderId="41" xfId="0" applyNumberFormat="1" applyFont="1" applyFill="1" applyBorder="1" applyAlignment="1" applyProtection="1">
      <alignment horizontal="center" vertical="center" wrapText="1" readingOrder="2"/>
      <protection locked="0"/>
    </xf>
    <xf numFmtId="1" fontId="6" fillId="2" borderId="8" xfId="0" applyNumberFormat="1" applyFont="1" applyFill="1" applyBorder="1" applyAlignment="1" applyProtection="1">
      <alignment horizontal="center" vertical="center" wrapText="1" readingOrder="2"/>
      <protection locked="0"/>
    </xf>
    <xf numFmtId="0" fontId="4" fillId="4" borderId="6" xfId="1" applyNumberFormat="1" applyFont="1" applyFill="1" applyBorder="1" applyAlignment="1" applyProtection="1">
      <alignment horizontal="center" vertical="center" readingOrder="2"/>
      <protection locked="0"/>
    </xf>
    <xf numFmtId="0" fontId="4" fillId="4" borderId="6" xfId="1" applyNumberFormat="1" applyFont="1" applyFill="1" applyBorder="1" applyAlignment="1" applyProtection="1">
      <alignment horizontal="center" vertical="center" readingOrder="2"/>
      <protection hidden="1"/>
    </xf>
    <xf numFmtId="9" fontId="8" fillId="4" borderId="2" xfId="0" applyNumberFormat="1" applyFont="1" applyFill="1" applyBorder="1" applyAlignment="1" applyProtection="1">
      <alignment horizontal="center" vertical="center" wrapText="1" readingOrder="2"/>
      <protection hidden="1"/>
    </xf>
    <xf numFmtId="9" fontId="8" fillId="4" borderId="6" xfId="0" applyNumberFormat="1" applyFont="1" applyFill="1" applyBorder="1" applyAlignment="1" applyProtection="1">
      <alignment horizontal="center" vertical="center" wrapText="1" readingOrder="2"/>
      <protection hidden="1"/>
    </xf>
    <xf numFmtId="1" fontId="7" fillId="5" borderId="42" xfId="0" applyNumberFormat="1" applyFont="1" applyFill="1" applyBorder="1" applyAlignment="1" applyProtection="1">
      <alignment horizontal="center" vertical="center" wrapText="1" readingOrder="2"/>
      <protection locked="0"/>
    </xf>
    <xf numFmtId="1" fontId="7" fillId="5" borderId="43" xfId="0" applyNumberFormat="1" applyFont="1" applyFill="1" applyBorder="1" applyAlignment="1" applyProtection="1">
      <alignment horizontal="center" vertical="center" wrapText="1" readingOrder="2"/>
      <protection locked="0"/>
    </xf>
    <xf numFmtId="9" fontId="8" fillId="5" borderId="2" xfId="3" applyFont="1" applyFill="1" applyBorder="1" applyAlignment="1" applyProtection="1">
      <alignment horizontal="center"/>
      <protection hidden="1"/>
    </xf>
    <xf numFmtId="1" fontId="7" fillId="5" borderId="44" xfId="0" applyNumberFormat="1" applyFont="1" applyFill="1" applyBorder="1" applyAlignment="1" applyProtection="1">
      <alignment horizontal="center" vertical="center" wrapText="1" readingOrder="2"/>
      <protection locked="0"/>
    </xf>
    <xf numFmtId="1" fontId="6" fillId="2" borderId="45" xfId="0" applyNumberFormat="1" applyFont="1" applyFill="1" applyBorder="1" applyAlignment="1" applyProtection="1">
      <alignment horizontal="center" vertical="center" wrapText="1" readingOrder="2"/>
      <protection locked="0"/>
    </xf>
    <xf numFmtId="3" fontId="4" fillId="4" borderId="6" xfId="1" applyNumberFormat="1" applyFont="1" applyFill="1" applyBorder="1" applyAlignment="1" applyProtection="1">
      <alignment horizontal="center" vertical="center" readingOrder="2"/>
      <protection hidden="1"/>
    </xf>
    <xf numFmtId="3" fontId="4" fillId="7" borderId="38" xfId="1" applyNumberFormat="1" applyFont="1" applyFill="1" applyBorder="1" applyAlignment="1" applyProtection="1">
      <alignment horizontal="center" vertical="center" readingOrder="2"/>
      <protection locked="0"/>
    </xf>
    <xf numFmtId="0" fontId="8" fillId="7" borderId="38" xfId="0" applyNumberFormat="1" applyFont="1" applyFill="1" applyBorder="1" applyAlignment="1" applyProtection="1">
      <alignment horizontal="center" vertical="center" wrapText="1" readingOrder="2"/>
      <protection locked="0"/>
    </xf>
    <xf numFmtId="4" fontId="4" fillId="7" borderId="38" xfId="1" applyNumberFormat="1" applyFont="1" applyFill="1" applyBorder="1" applyAlignment="1" applyProtection="1">
      <alignment horizontal="center" vertical="center" readingOrder="2"/>
      <protection locked="0"/>
    </xf>
    <xf numFmtId="4" fontId="4" fillId="8" borderId="38" xfId="1" applyNumberFormat="1" applyFont="1" applyFill="1" applyBorder="1" applyAlignment="1" applyProtection="1">
      <alignment horizontal="center" vertical="center" readingOrder="2"/>
      <protection locked="0"/>
    </xf>
    <xf numFmtId="3" fontId="4" fillId="8" borderId="38" xfId="1" applyNumberFormat="1" applyFont="1" applyFill="1" applyBorder="1" applyAlignment="1" applyProtection="1">
      <alignment horizontal="center" vertical="center" readingOrder="2"/>
      <protection locked="0"/>
    </xf>
    <xf numFmtId="1" fontId="6" fillId="2" borderId="27" xfId="0" applyNumberFormat="1" applyFont="1" applyFill="1" applyBorder="1" applyAlignment="1" applyProtection="1">
      <alignment horizontal="center" vertical="center" readingOrder="2"/>
      <protection locked="0"/>
    </xf>
    <xf numFmtId="1" fontId="6" fillId="2" borderId="0" xfId="0" applyNumberFormat="1" applyFont="1" applyFill="1" applyAlignment="1" applyProtection="1">
      <alignment horizontal="center" vertical="center" readingOrder="2"/>
      <protection locked="0"/>
    </xf>
    <xf numFmtId="1" fontId="6" fillId="2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6" fillId="2" borderId="2" xfId="0" applyNumberFormat="1" applyFont="1" applyFill="1" applyBorder="1" applyAlignment="1" applyProtection="1">
      <alignment horizontal="center" vertical="center" wrapText="1" readingOrder="2"/>
      <protection locked="0"/>
    </xf>
    <xf numFmtId="1" fontId="6" fillId="2" borderId="26" xfId="0" applyNumberFormat="1" applyFont="1" applyFill="1" applyBorder="1" applyAlignment="1" applyProtection="1">
      <alignment horizontal="center" vertical="center" wrapText="1" readingOrder="2"/>
      <protection locked="0"/>
    </xf>
    <xf numFmtId="0" fontId="13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1" fontId="8" fillId="5" borderId="1" xfId="0" applyNumberFormat="1" applyFont="1" applyFill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/>
      <protection locked="0"/>
    </xf>
    <xf numFmtId="4" fontId="4" fillId="5" borderId="26" xfId="1" applyNumberFormat="1" applyFont="1" applyFill="1" applyBorder="1" applyAlignment="1" applyProtection="1">
      <alignment horizontal="center" vertical="center" readingOrder="2"/>
      <protection hidden="1"/>
    </xf>
    <xf numFmtId="9" fontId="15" fillId="5" borderId="26" xfId="3" applyFont="1" applyFill="1" applyBorder="1" applyAlignment="1" applyProtection="1">
      <alignment horizontal="center" vertical="center" readingOrder="2"/>
      <protection hidden="1"/>
    </xf>
    <xf numFmtId="1" fontId="8" fillId="4" borderId="16" xfId="0" applyNumberFormat="1" applyFont="1" applyFill="1" applyBorder="1" applyAlignment="1" applyProtection="1">
      <alignment horizontal="center" vertical="center" wrapText="1" readingOrder="2"/>
      <protection locked="0"/>
    </xf>
    <xf numFmtId="1" fontId="8" fillId="4" borderId="38" xfId="0" applyNumberFormat="1" applyFont="1" applyFill="1" applyBorder="1" applyAlignment="1" applyProtection="1">
      <alignment horizontal="center" vertical="center" wrapText="1" readingOrder="2"/>
      <protection locked="0"/>
    </xf>
    <xf numFmtId="1" fontId="8" fillId="4" borderId="38" xfId="0" applyNumberFormat="1" applyFont="1" applyFill="1" applyBorder="1" applyAlignment="1" applyProtection="1">
      <alignment horizontal="center" vertical="center" wrapText="1" readingOrder="2"/>
      <protection locked="0"/>
    </xf>
    <xf numFmtId="1" fontId="8" fillId="4" borderId="22" xfId="0" applyNumberFormat="1" applyFont="1" applyFill="1" applyBorder="1" applyAlignment="1" applyProtection="1">
      <alignment horizontal="center" vertical="center" wrapText="1" readingOrder="2"/>
      <protection locked="0"/>
    </xf>
    <xf numFmtId="0" fontId="16" fillId="0" borderId="0" xfId="0" applyFont="1" applyAlignment="1" applyProtection="1">
      <alignment horizontal="center" vertical="center" wrapText="1" readingOrder="2"/>
      <protection locked="0"/>
    </xf>
    <xf numFmtId="1" fontId="8" fillId="5" borderId="16" xfId="0" applyNumberFormat="1" applyFont="1" applyFill="1" applyBorder="1" applyAlignment="1" applyProtection="1">
      <alignment horizontal="center" vertical="center" wrapText="1" readingOrder="2"/>
      <protection locked="0"/>
    </xf>
    <xf numFmtId="1" fontId="8" fillId="5" borderId="38" xfId="0" applyNumberFormat="1" applyFont="1" applyFill="1" applyBorder="1" applyAlignment="1" applyProtection="1">
      <alignment horizontal="center" vertical="center" wrapText="1" readingOrder="2"/>
      <protection locked="0"/>
    </xf>
    <xf numFmtId="1" fontId="3" fillId="2" borderId="23" xfId="0" applyNumberFormat="1" applyFont="1" applyFill="1" applyBorder="1" applyAlignment="1" applyProtection="1">
      <alignment horizontal="center" vertical="center" wrapText="1" readingOrder="2"/>
      <protection locked="0"/>
    </xf>
    <xf numFmtId="1" fontId="3" fillId="2" borderId="8" xfId="0" applyNumberFormat="1" applyFont="1" applyFill="1" applyBorder="1" applyAlignment="1" applyProtection="1">
      <alignment horizontal="center" vertical="center" wrapText="1" readingOrder="2"/>
      <protection locked="0"/>
    </xf>
    <xf numFmtId="0" fontId="17" fillId="3" borderId="0" xfId="0" applyFont="1" applyFill="1" applyAlignment="1" applyProtection="1">
      <alignment horizontal="center" vertical="center" readingOrder="2"/>
      <protection locked="0"/>
    </xf>
    <xf numFmtId="0" fontId="18" fillId="0" borderId="0" xfId="0" applyFont="1" applyAlignment="1" applyProtection="1">
      <alignment horizontal="center"/>
      <protection locked="0"/>
    </xf>
    <xf numFmtId="0" fontId="18" fillId="0" borderId="0" xfId="0" applyFont="1" applyProtection="1">
      <protection locked="0"/>
    </xf>
    <xf numFmtId="0" fontId="4" fillId="7" borderId="2" xfId="0" applyFont="1" applyFill="1" applyBorder="1" applyAlignment="1" applyProtection="1">
      <alignment horizontal="right" vertical="center" wrapText="1" readingOrder="2"/>
      <protection locked="0"/>
    </xf>
    <xf numFmtId="1" fontId="8" fillId="7" borderId="2" xfId="0" applyNumberFormat="1" applyFont="1" applyFill="1" applyBorder="1" applyAlignment="1" applyProtection="1">
      <alignment horizontal="right" vertical="center" wrapText="1"/>
      <protection locked="0"/>
    </xf>
    <xf numFmtId="0" fontId="8" fillId="7" borderId="46" xfId="0" applyFont="1" applyFill="1" applyBorder="1" applyAlignment="1" applyProtection="1">
      <alignment horizontal="right" vertical="center" wrapText="1"/>
      <protection locked="0"/>
    </xf>
    <xf numFmtId="14" fontId="8" fillId="7" borderId="26" xfId="0" applyNumberFormat="1" applyFont="1" applyFill="1" applyBorder="1" applyAlignment="1" applyProtection="1">
      <alignment horizontal="center" vertical="center"/>
      <protection locked="0"/>
    </xf>
    <xf numFmtId="14" fontId="4" fillId="7" borderId="26" xfId="0" applyNumberFormat="1" applyFont="1" applyFill="1" applyBorder="1" applyAlignment="1" applyProtection="1">
      <alignment horizontal="center" vertical="center" wrapText="1" readingOrder="2"/>
      <protection locked="0"/>
    </xf>
    <xf numFmtId="0" fontId="8" fillId="7" borderId="2" xfId="0" applyFont="1" applyFill="1" applyBorder="1" applyAlignment="1" applyProtection="1">
      <alignment horizontal="right" vertical="center"/>
      <protection locked="0"/>
    </xf>
    <xf numFmtId="49" fontId="4" fillId="7" borderId="2" xfId="0" applyNumberFormat="1" applyFont="1" applyFill="1" applyBorder="1" applyAlignment="1" applyProtection="1">
      <alignment horizontal="right" vertical="center" wrapText="1" readingOrder="2"/>
      <protection locked="0"/>
    </xf>
    <xf numFmtId="0" fontId="4" fillId="7" borderId="46" xfId="0" applyFont="1" applyFill="1" applyBorder="1" applyAlignment="1" applyProtection="1">
      <alignment horizontal="right" vertical="center" wrapText="1" readingOrder="2"/>
      <protection locked="0"/>
    </xf>
    <xf numFmtId="4" fontId="14" fillId="7" borderId="26" xfId="1" applyNumberFormat="1" applyFont="1" applyFill="1" applyBorder="1" applyAlignment="1" applyProtection="1">
      <alignment horizontal="center" vertical="center" readingOrder="2"/>
      <protection locked="0"/>
    </xf>
    <xf numFmtId="4" fontId="4" fillId="7" borderId="26" xfId="1" applyNumberFormat="1" applyFont="1" applyFill="1" applyBorder="1" applyAlignment="1" applyProtection="1">
      <alignment horizontal="center" vertical="center" readingOrder="2"/>
      <protection locked="0"/>
    </xf>
    <xf numFmtId="4" fontId="4" fillId="7" borderId="22" xfId="1" applyNumberFormat="1" applyFont="1" applyFill="1" applyBorder="1" applyAlignment="1" applyProtection="1">
      <alignment horizontal="center" vertical="center" readingOrder="2"/>
      <protection locked="0"/>
    </xf>
    <xf numFmtId="3" fontId="4" fillId="5" borderId="8" xfId="0" applyNumberFormat="1" applyFont="1" applyFill="1" applyBorder="1" applyAlignment="1" applyProtection="1">
      <alignment horizontal="center" vertical="center" readingOrder="2"/>
      <protection hidden="1"/>
    </xf>
    <xf numFmtId="4" fontId="4" fillId="7" borderId="22" xfId="1" applyNumberFormat="1" applyFont="1" applyFill="1" applyBorder="1" applyAlignment="1" applyProtection="1">
      <alignment horizontal="center" vertical="center" readingOrder="2"/>
      <protection hidden="1"/>
    </xf>
    <xf numFmtId="4" fontId="4" fillId="7" borderId="9" xfId="1" applyNumberFormat="1" applyFont="1" applyFill="1" applyBorder="1" applyAlignment="1" applyProtection="1">
      <alignment horizontal="center" vertical="center" readingOrder="2"/>
      <protection locked="0"/>
    </xf>
    <xf numFmtId="4" fontId="4" fillId="7" borderId="17" xfId="1" applyNumberFormat="1" applyFont="1" applyFill="1" applyBorder="1" applyAlignment="1" applyProtection="1">
      <alignment horizontal="center" vertical="center" readingOrder="2"/>
      <protection locked="0"/>
    </xf>
    <xf numFmtId="1" fontId="8" fillId="7" borderId="2" xfId="0" applyNumberFormat="1" applyFont="1" applyFill="1" applyBorder="1" applyAlignment="1" applyProtection="1">
      <alignment horizontal="center" vertical="center" wrapText="1" readingOrder="2"/>
      <protection locked="0"/>
    </xf>
    <xf numFmtId="1" fontId="8" fillId="7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8" fillId="7" borderId="7" xfId="0" applyNumberFormat="1" applyFont="1" applyFill="1" applyBorder="1" applyAlignment="1" applyProtection="1">
      <alignment horizontal="center" vertical="center" wrapText="1" readingOrder="2"/>
      <protection locked="0"/>
    </xf>
    <xf numFmtId="0" fontId="6" fillId="2" borderId="16" xfId="0" applyFont="1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4" borderId="22" xfId="0" applyFont="1" applyFill="1" applyBorder="1" applyAlignment="1" applyProtection="1">
      <alignment horizontal="center" vertical="center"/>
      <protection hidden="1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4" fontId="8" fillId="5" borderId="22" xfId="0" applyNumberFormat="1" applyFont="1" applyFill="1" applyBorder="1" applyAlignment="1" applyProtection="1">
      <alignment horizontal="center" vertical="center"/>
      <protection hidden="1"/>
    </xf>
    <xf numFmtId="43" fontId="7" fillId="5" borderId="22" xfId="1" applyFont="1" applyFill="1" applyBorder="1" applyAlignment="1" applyProtection="1">
      <alignment horizontal="center" vertical="center"/>
      <protection hidden="1"/>
    </xf>
    <xf numFmtId="4" fontId="4" fillId="6" borderId="22" xfId="1" applyNumberFormat="1" applyFont="1" applyFill="1" applyBorder="1" applyAlignment="1" applyProtection="1">
      <alignment horizontal="center" vertical="center" readingOrder="2"/>
      <protection locked="0"/>
    </xf>
    <xf numFmtId="0" fontId="6" fillId="2" borderId="38" xfId="0" applyFont="1" applyFill="1" applyBorder="1" applyAlignment="1" applyProtection="1">
      <alignment horizontal="center" vertical="center"/>
      <protection locked="0"/>
    </xf>
    <xf numFmtId="43" fontId="7" fillId="5" borderId="38" xfId="1" applyFont="1" applyFill="1" applyBorder="1" applyAlignment="1" applyProtection="1">
      <alignment horizontal="center" vertical="center"/>
      <protection hidden="1"/>
    </xf>
    <xf numFmtId="43" fontId="7" fillId="5" borderId="38" xfId="1" applyFont="1" applyFill="1" applyBorder="1" applyAlignment="1" applyProtection="1">
      <alignment vertical="center"/>
      <protection hidden="1"/>
    </xf>
    <xf numFmtId="43" fontId="7" fillId="5" borderId="22" xfId="0" applyNumberFormat="1" applyFont="1" applyFill="1" applyBorder="1" applyAlignment="1" applyProtection="1">
      <alignment horizontal="center" vertical="center" wrapText="1" readingOrder="2"/>
      <protection hidden="1"/>
    </xf>
    <xf numFmtId="9" fontId="7" fillId="5" borderId="22" xfId="3" applyFont="1" applyFill="1" applyBorder="1" applyAlignment="1" applyProtection="1">
      <alignment horizontal="center" vertical="center"/>
      <protection hidden="1"/>
    </xf>
    <xf numFmtId="0" fontId="0" fillId="0" borderId="0" xfId="0" applyAlignment="1"/>
    <xf numFmtId="1" fontId="7" fillId="5" borderId="16" xfId="0" applyNumberFormat="1" applyFont="1" applyFill="1" applyBorder="1" applyAlignment="1" applyProtection="1">
      <alignment horizontal="center" vertical="center" readingOrder="2"/>
      <protection locked="0"/>
    </xf>
    <xf numFmtId="0" fontId="7" fillId="5" borderId="16" xfId="0" applyFont="1" applyFill="1" applyBorder="1" applyAlignment="1" applyProtection="1">
      <alignment horizontal="right" vertical="center" readingOrder="2"/>
      <protection locked="0"/>
    </xf>
    <xf numFmtId="0" fontId="8" fillId="6" borderId="0" xfId="0" applyFont="1" applyFill="1" applyAlignment="1" applyProtection="1">
      <protection locked="0"/>
    </xf>
    <xf numFmtId="0" fontId="7" fillId="9" borderId="16" xfId="0" applyFont="1" applyFill="1" applyBorder="1" applyAlignment="1" applyProtection="1">
      <alignment horizontal="center" vertical="center" readingOrder="2"/>
      <protection locked="0"/>
    </xf>
    <xf numFmtId="0" fontId="7" fillId="9" borderId="38" xfId="0" applyFont="1" applyFill="1" applyBorder="1" applyAlignment="1" applyProtection="1">
      <alignment horizontal="center" vertical="center" readingOrder="2"/>
      <protection locked="0"/>
    </xf>
    <xf numFmtId="0" fontId="7" fillId="9" borderId="22" xfId="0" applyFont="1" applyFill="1" applyBorder="1" applyAlignment="1" applyProtection="1">
      <alignment horizontal="center" vertical="center" readingOrder="2"/>
      <protection locked="0"/>
    </xf>
    <xf numFmtId="0" fontId="7" fillId="9" borderId="16" xfId="0" applyFont="1" applyFill="1" applyBorder="1" applyAlignment="1" applyProtection="1">
      <alignment horizontal="right" vertical="top" readingOrder="2"/>
      <protection locked="0"/>
    </xf>
    <xf numFmtId="4" fontId="7" fillId="5" borderId="38" xfId="0" applyNumberFormat="1" applyFont="1" applyFill="1" applyBorder="1" applyAlignment="1" applyProtection="1">
      <alignment horizontal="center" vertical="center" readingOrder="2"/>
      <protection hidden="1"/>
    </xf>
    <xf numFmtId="0" fontId="8" fillId="0" borderId="0" xfId="0" applyFont="1" applyAlignment="1" applyProtection="1">
      <protection locked="0"/>
    </xf>
    <xf numFmtId="0" fontId="8" fillId="7" borderId="22" xfId="0" applyFont="1" applyFill="1" applyBorder="1" applyAlignment="1" applyProtection="1">
      <alignment horizontal="center" vertical="center"/>
      <protection hidden="1"/>
    </xf>
    <xf numFmtId="0" fontId="4" fillId="7" borderId="22" xfId="0" applyFont="1" applyFill="1" applyBorder="1" applyAlignment="1" applyProtection="1">
      <alignment horizontal="right" vertical="center" readingOrder="2"/>
      <protection locked="0"/>
    </xf>
    <xf numFmtId="4" fontId="4" fillId="7" borderId="3" xfId="1" applyNumberFormat="1" applyFont="1" applyFill="1" applyBorder="1" applyAlignment="1" applyProtection="1">
      <alignment horizontal="center" vertical="center" readingOrder="2"/>
      <protection locked="0"/>
    </xf>
    <xf numFmtId="4" fontId="4" fillId="7" borderId="4" xfId="1" applyNumberFormat="1" applyFont="1" applyFill="1" applyBorder="1" applyAlignment="1" applyProtection="1">
      <alignment horizontal="center" vertical="center" readingOrder="2"/>
      <protection locked="0"/>
    </xf>
    <xf numFmtId="4" fontId="4" fillId="8" borderId="9" xfId="1" applyNumberFormat="1" applyFont="1" applyFill="1" applyBorder="1" applyAlignment="1" applyProtection="1">
      <alignment horizontal="center" vertical="center" readingOrder="2"/>
      <protection locked="0"/>
    </xf>
    <xf numFmtId="1" fontId="8" fillId="8" borderId="2" xfId="0" applyNumberFormat="1" applyFont="1" applyFill="1" applyBorder="1" applyAlignment="1" applyProtection="1">
      <alignment horizontal="center" vertical="center" wrapText="1" readingOrder="2"/>
      <protection locked="0"/>
    </xf>
    <xf numFmtId="1" fontId="8" fillId="8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8" fillId="8" borderId="7" xfId="0" applyNumberFormat="1" applyFont="1" applyFill="1" applyBorder="1" applyAlignment="1" applyProtection="1">
      <alignment horizontal="center" vertical="center" wrapText="1" readingOrder="2"/>
      <protection locked="0"/>
    </xf>
    <xf numFmtId="0" fontId="5" fillId="6" borderId="0" xfId="0" applyFont="1" applyFill="1" applyProtection="1">
      <protection locked="0"/>
    </xf>
    <xf numFmtId="0" fontId="0" fillId="6" borderId="0" xfId="0" applyFill="1"/>
    <xf numFmtId="0" fontId="0" fillId="6" borderId="0" xfId="0" applyFill="1" applyProtection="1">
      <protection locked="0"/>
    </xf>
    <xf numFmtId="44" fontId="0" fillId="6" borderId="0" xfId="2" applyFont="1" applyFill="1" applyProtection="1">
      <protection locked="0"/>
    </xf>
    <xf numFmtId="0" fontId="0" fillId="6" borderId="0" xfId="0" applyFill="1" applyAlignment="1" applyProtection="1">
      <alignment horizontal="center"/>
      <protection locked="0"/>
    </xf>
    <xf numFmtId="1" fontId="7" fillId="4" borderId="49" xfId="0" applyNumberFormat="1" applyFont="1" applyFill="1" applyBorder="1" applyAlignment="1" applyProtection="1">
      <alignment horizontal="center" vertical="center" wrapText="1" readingOrder="2"/>
      <protection locked="0"/>
    </xf>
    <xf numFmtId="1" fontId="8" fillId="4" borderId="49" xfId="0" applyNumberFormat="1" applyFont="1" applyFill="1" applyBorder="1" applyAlignment="1" applyProtection="1">
      <alignment horizontal="center" vertical="center" wrapText="1" readingOrder="2"/>
      <protection locked="0"/>
    </xf>
    <xf numFmtId="0" fontId="8" fillId="0" borderId="49" xfId="0" applyFont="1" applyBorder="1" applyAlignment="1" applyProtection="1">
      <alignment horizontal="center" vertical="center"/>
      <protection locked="0"/>
    </xf>
    <xf numFmtId="0" fontId="8" fillId="0" borderId="49" xfId="0" applyFont="1" applyBorder="1" applyProtection="1">
      <protection locked="0"/>
    </xf>
    <xf numFmtId="14" fontId="8" fillId="0" borderId="49" xfId="0" applyNumberFormat="1" applyFont="1" applyBorder="1" applyProtection="1">
      <protection locked="0"/>
    </xf>
    <xf numFmtId="3" fontId="4" fillId="3" borderId="49" xfId="1" applyNumberFormat="1" applyFont="1" applyFill="1" applyBorder="1" applyAlignment="1" applyProtection="1">
      <alignment horizontal="center" vertical="center" readingOrder="2"/>
      <protection locked="0"/>
    </xf>
    <xf numFmtId="1" fontId="3" fillId="2" borderId="0" xfId="0" applyNumberFormat="1" applyFont="1" applyFill="1" applyAlignment="1" applyProtection="1">
      <alignment horizontal="center" vertical="center" wrapText="1" readingOrder="2"/>
      <protection locked="0"/>
    </xf>
    <xf numFmtId="3" fontId="4" fillId="4" borderId="24" xfId="1" applyNumberFormat="1" applyFont="1" applyFill="1" applyBorder="1" applyAlignment="1" applyProtection="1">
      <alignment horizontal="center" vertical="center" readingOrder="2"/>
      <protection hidden="1"/>
    </xf>
    <xf numFmtId="1" fontId="3" fillId="2" borderId="1" xfId="0" applyNumberFormat="1" applyFont="1" applyFill="1" applyBorder="1" applyAlignment="1">
      <alignment horizontal="center" vertical="center" wrapText="1" readingOrder="2"/>
    </xf>
    <xf numFmtId="1" fontId="3" fillId="2" borderId="2" xfId="0" applyNumberFormat="1" applyFont="1" applyFill="1" applyBorder="1" applyAlignment="1">
      <alignment horizontal="center" vertical="center" wrapText="1" readingOrder="2"/>
    </xf>
    <xf numFmtId="0" fontId="19" fillId="0" borderId="0" xfId="0" applyFont="1"/>
    <xf numFmtId="0" fontId="20" fillId="5" borderId="1" xfId="0" applyFont="1" applyFill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0" fontId="21" fillId="9" borderId="26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top"/>
    </xf>
    <xf numFmtId="0" fontId="20" fillId="6" borderId="7" xfId="0" applyFont="1" applyFill="1" applyBorder="1" applyAlignment="1">
      <alignment horizontal="center" vertical="top"/>
    </xf>
    <xf numFmtId="0" fontId="20" fillId="6" borderId="0" xfId="0" applyFont="1" applyFill="1" applyAlignment="1">
      <alignment horizontal="center" vertical="top"/>
    </xf>
    <xf numFmtId="0" fontId="20" fillId="6" borderId="25" xfId="0" applyFont="1" applyFill="1" applyBorder="1" applyAlignment="1">
      <alignment horizontal="center" vertical="top"/>
    </xf>
    <xf numFmtId="0" fontId="20" fillId="6" borderId="8" xfId="0" applyFont="1" applyFill="1" applyBorder="1" applyAlignment="1">
      <alignment horizontal="center" vertical="top"/>
    </xf>
    <xf numFmtId="0" fontId="20" fillId="6" borderId="24" xfId="0" applyFont="1" applyFill="1" applyBorder="1" applyAlignment="1">
      <alignment horizontal="center" vertical="top"/>
    </xf>
    <xf numFmtId="0" fontId="20" fillId="5" borderId="5" xfId="0" applyFont="1" applyFill="1" applyBorder="1" applyAlignment="1">
      <alignment horizontal="center" vertical="center"/>
    </xf>
    <xf numFmtId="1" fontId="3" fillId="2" borderId="16" xfId="0" applyNumberFormat="1" applyFont="1" applyFill="1" applyBorder="1" applyAlignment="1">
      <alignment horizontal="center" vertical="center" wrapText="1" readingOrder="2"/>
    </xf>
    <xf numFmtId="1" fontId="3" fillId="2" borderId="38" xfId="0" applyNumberFormat="1" applyFont="1" applyFill="1" applyBorder="1" applyAlignment="1">
      <alignment horizontal="center" vertical="center" wrapText="1" readingOrder="2"/>
    </xf>
    <xf numFmtId="1" fontId="3" fillId="2" borderId="22" xfId="0" applyNumberFormat="1" applyFont="1" applyFill="1" applyBorder="1" applyAlignment="1">
      <alignment horizontal="center" vertical="center" wrapText="1" readingOrder="2"/>
    </xf>
    <xf numFmtId="0" fontId="20" fillId="5" borderId="50" xfId="0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top"/>
    </xf>
    <xf numFmtId="0" fontId="20" fillId="6" borderId="51" xfId="0" applyFont="1" applyFill="1" applyBorder="1" applyAlignment="1">
      <alignment horizontal="center" vertical="top"/>
    </xf>
    <xf numFmtId="0" fontId="20" fillId="5" borderId="52" xfId="0" applyFont="1" applyFill="1" applyBorder="1" applyAlignment="1">
      <alignment horizontal="center" vertical="center"/>
    </xf>
    <xf numFmtId="0" fontId="20" fillId="5" borderId="53" xfId="0" applyFont="1" applyFill="1" applyBorder="1" applyAlignment="1">
      <alignment horizontal="center" vertical="center"/>
    </xf>
    <xf numFmtId="0" fontId="20" fillId="6" borderId="54" xfId="0" applyFont="1" applyFill="1" applyBorder="1" applyAlignment="1">
      <alignment horizontal="center" vertical="top"/>
    </xf>
    <xf numFmtId="0" fontId="20" fillId="6" borderId="55" xfId="0" applyFont="1" applyFill="1" applyBorder="1" applyAlignment="1">
      <alignment horizontal="center" vertical="top"/>
    </xf>
    <xf numFmtId="0" fontId="22" fillId="0" borderId="0" xfId="0" applyFont="1" applyAlignment="1">
      <alignment horizontal="right" vertical="center" readingOrder="2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65" fontId="2" fillId="0" borderId="56" xfId="0" applyNumberFormat="1" applyFont="1" applyBorder="1"/>
    <xf numFmtId="165" fontId="2" fillId="0" borderId="48" xfId="0" applyNumberFormat="1" applyFont="1" applyBorder="1"/>
    <xf numFmtId="165" fontId="2" fillId="0" borderId="57" xfId="0" applyNumberFormat="1" applyFont="1" applyBorder="1"/>
    <xf numFmtId="165" fontId="0" fillId="0" borderId="0" xfId="0" applyNumberFormat="1"/>
    <xf numFmtId="0" fontId="23" fillId="10" borderId="48" xfId="0" applyFont="1" applyFill="1" applyBorder="1" applyAlignment="1">
      <alignment horizontal="center" vertical="center" wrapText="1" readingOrder="2"/>
    </xf>
    <xf numFmtId="165" fontId="0" fillId="10" borderId="48" xfId="0" applyNumberFormat="1" applyFill="1" applyBorder="1"/>
    <xf numFmtId="165" fontId="0" fillId="10" borderId="0" xfId="0" applyNumberFormat="1" applyFill="1"/>
    <xf numFmtId="14" fontId="8" fillId="10" borderId="47" xfId="0" applyNumberFormat="1" applyFont="1" applyFill="1" applyBorder="1" applyProtection="1">
      <protection locked="0"/>
    </xf>
    <xf numFmtId="1" fontId="8" fillId="4" borderId="8" xfId="0" applyNumberFormat="1" applyFont="1" applyFill="1" applyBorder="1" applyAlignment="1">
      <alignment horizontal="center" vertical="center" wrapText="1" readingOrder="2"/>
    </xf>
    <xf numFmtId="1" fontId="3" fillId="2" borderId="58" xfId="0" applyNumberFormat="1" applyFont="1" applyFill="1" applyBorder="1" applyAlignment="1">
      <alignment horizontal="center" vertical="center" wrapText="1" readingOrder="2"/>
    </xf>
    <xf numFmtId="1" fontId="8" fillId="4" borderId="0" xfId="0" applyNumberFormat="1" applyFont="1" applyFill="1" applyAlignment="1" applyProtection="1">
      <alignment horizontal="center" vertical="center" wrapText="1" readingOrder="2"/>
      <protection locked="0"/>
    </xf>
    <xf numFmtId="0" fontId="8" fillId="0" borderId="2" xfId="0" applyFont="1" applyBorder="1" applyAlignment="1">
      <alignment horizontal="center" vertical="center"/>
    </xf>
    <xf numFmtId="0" fontId="24" fillId="0" borderId="59" xfId="0" applyFont="1" applyBorder="1" applyAlignment="1">
      <alignment horizontal="center" vertical="center" readingOrder="1"/>
    </xf>
    <xf numFmtId="0" fontId="5" fillId="0" borderId="58" xfId="0" applyFont="1" applyBorder="1" applyAlignment="1">
      <alignment horizontal="center" vertical="center"/>
    </xf>
    <xf numFmtId="1" fontId="8" fillId="4" borderId="0" xfId="0" applyNumberFormat="1" applyFont="1" applyFill="1" applyAlignment="1">
      <alignment horizontal="center" vertical="center" wrapText="1" readingOrder="2"/>
    </xf>
    <xf numFmtId="0" fontId="24" fillId="11" borderId="58" xfId="0" applyFont="1" applyFill="1" applyBorder="1" applyAlignment="1">
      <alignment horizontal="center" vertical="center" readingOrder="1"/>
    </xf>
    <xf numFmtId="4" fontId="8" fillId="0" borderId="2" xfId="0" applyNumberFormat="1" applyFont="1" applyBorder="1" applyAlignment="1" applyProtection="1">
      <alignment horizontal="center" vertical="center"/>
      <protection hidden="1"/>
    </xf>
    <xf numFmtId="0" fontId="8" fillId="0" borderId="2" xfId="0" applyFont="1" applyBorder="1" applyAlignment="1" applyProtection="1">
      <alignment horizontal="center" vertical="center"/>
      <protection hidden="1"/>
    </xf>
    <xf numFmtId="0" fontId="5" fillId="0" borderId="6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4" fillId="0" borderId="59" xfId="0" applyFont="1" applyBorder="1" applyAlignment="1">
      <alignment horizontal="center" vertical="center" readingOrder="2"/>
    </xf>
    <xf numFmtId="0" fontId="24" fillId="11" borderId="58" xfId="0" applyFont="1" applyFill="1" applyBorder="1" applyAlignment="1">
      <alignment horizontal="center" vertical="center" readingOrder="2"/>
    </xf>
    <xf numFmtId="0" fontId="8" fillId="0" borderId="49" xfId="0" applyFont="1" applyBorder="1" applyAlignment="1" applyProtection="1">
      <protection locked="0"/>
    </xf>
    <xf numFmtId="0" fontId="8" fillId="0" borderId="49" xfId="0" applyFont="1" applyBorder="1" applyAlignment="1" applyProtection="1">
      <alignment horizontal="right" vertical="center"/>
      <protection locked="0"/>
    </xf>
    <xf numFmtId="14" fontId="8" fillId="0" borderId="49" xfId="0" applyNumberFormat="1" applyFont="1" applyBorder="1" applyAlignment="1" applyProtection="1">
      <protection locked="0"/>
    </xf>
    <xf numFmtId="1" fontId="3" fillId="2" borderId="0" xfId="0" applyNumberFormat="1" applyFont="1" applyFill="1" applyAlignment="1" applyProtection="1">
      <alignment horizontal="center" vertical="center" readingOrder="2"/>
      <protection locked="0"/>
    </xf>
    <xf numFmtId="1" fontId="8" fillId="4" borderId="49" xfId="0" applyNumberFormat="1" applyFont="1" applyFill="1" applyBorder="1" applyAlignment="1" applyProtection="1">
      <alignment horizontal="center" vertical="center" readingOrder="2"/>
      <protection locked="0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2"/>
      <border diagonalUp="0" diagonalDown="0" outline="0">
        <left/>
        <right style="thick">
          <color theme="0" tint="-0.14996795556505021"/>
        </right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alignment textRotation="0" wrapText="0" indent="0" justifyLastLine="0" shrinkToFit="0"/>
      <border diagonalUp="0" diagonalDown="0" outline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alignment textRotation="0" wrapText="0" indent="0" justifyLastLine="0" shrinkToFit="0"/>
      <border diagonalUp="0" diagonalDown="0" outline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ck">
          <color theme="0" tint="-0.14993743705557422"/>
        </left>
        <right style="thick">
          <color theme="0" tint="-0.14993743705557422"/>
        </right>
        <top style="thick">
          <color theme="0" tint="-0.14996795556505021"/>
        </top>
        <bottom style="thick">
          <color theme="0" tint="-0.1499374370555742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alignment horizontal="right" vertical="center" textRotation="0" wrapText="0" indent="0" justifyLastLine="0" shrinkToFit="0" readingOrder="0"/>
      <border diagonalUp="0" diagonalDown="0" outline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alignment textRotation="0" wrapText="0" indent="0" justifyLastLine="0" shrinkToFit="0"/>
      <border diagonalUp="0" diagonalDown="0" outline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alignment horizontal="center" vertical="center" textRotation="0" wrapText="0" indent="0" justifyLastLine="0" shrinkToFit="0" readingOrder="0"/>
      <border diagonalUp="0" diagonalDown="0">
        <left style="thick">
          <color theme="0" tint="-0.14993743705557422"/>
        </left>
        <right style="thick">
          <color theme="0" tint="-0.14993743705557422"/>
        </right>
        <top style="thick">
          <color theme="0" tint="-0.14996795556505021"/>
        </top>
        <bottom style="thick">
          <color theme="0" tint="-0.1499374370555742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border outline="0">
        <top style="thick">
          <color theme="0" tint="-0.14996795556505021"/>
        </top>
      </border>
    </dxf>
    <dxf>
      <border outline="0">
        <bottom style="thick">
          <color theme="0" tint="-0.14996795556505021"/>
        </bottom>
      </border>
    </dxf>
    <dxf>
      <border outline="0">
        <left style="thick">
          <color theme="0" tint="-0.14996795556505021"/>
        </left>
        <right style="thick">
          <color theme="0" tint="-0.14996795556505021"/>
        </right>
        <bottom style="thick">
          <color theme="0" tint="-0.14996795556505021"/>
        </bottom>
      </border>
    </dxf>
    <dxf>
      <numFmt numFmtId="1" formatCode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2"/>
      <protection locked="0" hidden="0"/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Sakkal Majalla"/>
        <scheme val="none"/>
      </font>
      <alignment horizontal="center" vertical="center" textRotation="0" wrapText="0" indent="0" justifyLastLine="0" shrinkToFit="0"/>
      <border diagonalUp="0" diagonalDown="0" outline="0">
        <left/>
        <right/>
        <top style="thick">
          <color theme="0" tint="-0.14993743705557422"/>
        </top>
        <bottom style="thick">
          <color theme="0" tint="-0.1499374370555742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fgColor indexed="64"/>
          <bgColor theme="0" tint="-4.9989318521683403E-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/>
        <right/>
        <top style="thick">
          <color theme="0" tint="-0.14993743705557422"/>
        </top>
        <bottom style="thick">
          <color theme="0" tint="-0.14993743705557422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2"/>
      <border diagonalUp="0" diagonalDown="0" outline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Sakkal Majalla"/>
        <scheme val="none"/>
      </font>
      <alignment horizontal="center" vertical="center" textRotation="0" wrapText="0" indent="0" justifyLastLine="0" shrinkToFit="0"/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Sakkal Majalla"/>
        <scheme val="none"/>
      </font>
      <alignment horizontal="center" vertical="center" textRotation="0" wrapText="0" indent="0" justifyLastLine="0" shrinkToFit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akkal Majalla"/>
        <scheme val="none"/>
      </font>
      <numFmt numFmtId="1" formatCode="0"/>
      <fill>
        <patternFill patternType="solid">
          <fgColor indexed="64"/>
          <bgColor rgb="FF005257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ck">
          <color theme="0" tint="-0.14993743705557422"/>
        </right>
        <top style="thick">
          <color theme="0" tint="-0.14993743705557422"/>
        </top>
        <bottom style="thick">
          <color theme="0" tint="-0.1499374370555742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4" formatCode="#,##0.00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64" formatCode="_-* #,##0.00\ [$ر.س.‏-401]_-;\-* #,##0.00\ [$ر.س.‏-401]_-;_-* &quot;-&quot;??\ [$ر.س.‏-401]_-;_-@_-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3" formatCode="0%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border>
        <top style="thick">
          <color theme="0" tint="-0.14996795556505021"/>
        </top>
      </border>
    </dxf>
    <dxf>
      <border>
        <bottom style="thick">
          <color theme="0" tint="-0.14996795556505021"/>
        </bottom>
      </border>
    </dxf>
    <dxf>
      <border diagonalUp="0" diagonalDown="0">
        <left style="thick">
          <color theme="0" tint="-0.14996795556505021"/>
        </left>
        <right style="thick">
          <color theme="0" tint="-0.14996795556505021"/>
        </right>
        <top style="thick">
          <color theme="0" tint="-0.14996795556505021"/>
        </top>
        <bottom style="thick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alignment horizontal="center" vertical="center" textRotation="0" wrapText="1" indent="0" justifyLastLine="0" shrinkToFit="0" readingOrder="2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akkal Majalla"/>
        <scheme val="none"/>
      </font>
      <numFmt numFmtId="1" formatCode="0"/>
      <fill>
        <patternFill patternType="solid">
          <fgColor indexed="64"/>
          <bgColor rgb="FF005257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 style="thick">
          <color theme="0" tint="-0.1499679555650502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 style="thick">
          <color theme="0" tint="-0.1499679555650502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 style="thick">
          <color theme="0" tint="-0.14996795556505021"/>
        </horizontal>
      </border>
      <protection locked="0" hidden="0"/>
    </dxf>
    <dxf>
      <border>
        <top style="thick">
          <color theme="0" tint="-0.14996795556505021"/>
        </top>
      </border>
    </dxf>
    <dxf>
      <border>
        <bottom style="thick">
          <color theme="0" tint="-0.14996795556505021"/>
        </bottom>
      </border>
    </dxf>
    <dxf>
      <border diagonalUp="0" diagonalDown="0">
        <left style="thick">
          <color theme="0" tint="-0.14996795556505021"/>
        </left>
        <right style="thick">
          <color theme="0" tint="-0.14996795556505021"/>
        </right>
        <top style="thick">
          <color theme="0" tint="-0.14996795556505021"/>
        </top>
        <bottom style="thick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4"/>
        <name val="Sakkal Majalla"/>
        <scheme val="none"/>
      </font>
      <numFmt numFmtId="1" formatCode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akkal Majalla"/>
        <scheme val="none"/>
      </font>
      <numFmt numFmtId="1" formatCode="0"/>
      <fill>
        <patternFill patternType="solid">
          <fgColor indexed="64"/>
          <bgColor rgb="FF005257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ck">
          <color theme="0" tint="-0.14993743705557422"/>
        </right>
        <top style="thick">
          <color theme="0" tint="-0.14993743705557422"/>
        </top>
        <bottom style="thick">
          <color theme="0" tint="-0.1499374370555742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64" formatCode="_-* #,##0.00\ [$ر.س.‏-401]_-;\-* #,##0.00\ [$ر.س.‏-401]_-;_-* &quot;-&quot;??\ [$ر.س.‏-401]_-;_-@_-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64" formatCode="_-* #,##0.00\ [$ر.س.‏-401]_-;\-* #,##0.00\ [$ر.س.‏-401]_-;_-* &quot;-&quot;??\ [$ر.س.‏-401]_-;_-@_-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3" formatCode="0%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border>
        <top style="thick">
          <color theme="0" tint="-0.14996795556505021"/>
        </top>
      </border>
    </dxf>
    <dxf>
      <border>
        <bottom style="thick">
          <color theme="0" tint="-0.14996795556505021"/>
        </bottom>
      </border>
    </dxf>
    <dxf>
      <border diagonalUp="0" diagonalDown="0">
        <left style="thick">
          <color theme="0" tint="-0.14996795556505021"/>
        </left>
        <right style="thick">
          <color theme="0" tint="-0.14996795556505021"/>
        </right>
        <top style="thick">
          <color theme="0" tint="-0.14996795556505021"/>
        </top>
        <bottom style="thick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alignment horizontal="center" vertical="center" textRotation="0" wrapText="1" indent="0" justifyLastLine="0" shrinkToFit="0" readingOrder="2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akkal Majalla"/>
        <scheme val="none"/>
      </font>
      <numFmt numFmtId="1" formatCode="0"/>
      <fill>
        <patternFill patternType="solid">
          <fgColor indexed="64"/>
          <bgColor rgb="FF005257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ck">
          <color theme="0" tint="-0.14993743705557422"/>
        </right>
        <top style="thick">
          <color theme="0" tint="-0.14993743705557422"/>
        </top>
        <bottom style="thick">
          <color theme="0" tint="-0.1499374370555742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64" formatCode="_-* #,##0.00\ [$ر.س.‏-401]_-;\-* #,##0.00\ [$ر.س.‏-401]_-;_-* &quot;-&quot;??\ [$ر.س.‏-401]_-;_-@_-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64" formatCode="_-* #,##0.00\ [$ر.س.‏-401]_-;\-* #,##0.00\ [$ر.س.‏-401]_-;_-* &quot;-&quot;??\ [$ر.س.‏-401]_-;_-@_-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3" formatCode="0%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border>
        <top style="thick">
          <color theme="0" tint="-0.14996795556505021"/>
        </top>
      </border>
    </dxf>
    <dxf>
      <border>
        <bottom style="thick">
          <color theme="0" tint="-0.14996795556505021"/>
        </bottom>
      </border>
    </dxf>
    <dxf>
      <border diagonalUp="0" diagonalDown="0">
        <left style="thick">
          <color theme="0" tint="-0.14996795556505021"/>
        </left>
        <right style="thick">
          <color theme="0" tint="-0.14996795556505021"/>
        </right>
        <top style="thick">
          <color theme="0" tint="-0.14996795556505021"/>
        </top>
        <bottom style="thick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alignment horizontal="center" vertical="center" textRotation="0" wrapText="1" indent="0" justifyLastLine="0" shrinkToFit="0" readingOrder="2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akkal Majalla"/>
        <scheme val="none"/>
      </font>
      <numFmt numFmtId="1" formatCode="0"/>
      <fill>
        <patternFill patternType="solid">
          <fgColor indexed="64"/>
          <bgColor rgb="FF005257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ck">
          <color theme="0" tint="-0.14993743705557422"/>
        </right>
        <top style="thick">
          <color theme="0" tint="-0.14993743705557422"/>
        </top>
        <bottom style="thick">
          <color theme="0" tint="-0.1499374370555742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64" formatCode="_-* #,##0.00\ [$ر.س.‏-401]_-;\-* #,##0.00\ [$ر.س.‏-401]_-;_-* &quot;-&quot;??\ [$ر.س.‏-401]_-;_-@_-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64" formatCode="_-* #,##0.00\ [$ر.س.‏-401]_-;\-* #,##0.00\ [$ر.س.‏-401]_-;_-* &quot;-&quot;??\ [$ر.س.‏-401]_-;_-@_-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3" formatCode="0%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border>
        <top style="thick">
          <color theme="0" tint="-0.14996795556505021"/>
        </top>
      </border>
    </dxf>
    <dxf>
      <border>
        <bottom style="thick">
          <color theme="0" tint="-0.14996795556505021"/>
        </bottom>
      </border>
    </dxf>
    <dxf>
      <border diagonalUp="0" diagonalDown="0">
        <left style="thick">
          <color theme="0" tint="-0.14996795556505021"/>
        </left>
        <right style="thick">
          <color theme="0" tint="-0.14996795556505021"/>
        </right>
        <top style="thick">
          <color theme="0" tint="-0.14996795556505021"/>
        </top>
        <bottom style="thick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alignment horizontal="center" vertical="center" textRotation="0" wrapText="1" indent="0" justifyLastLine="0" shrinkToFit="0" readingOrder="2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akkal Majalla"/>
        <scheme val="none"/>
      </font>
      <numFmt numFmtId="1" formatCode="0"/>
      <fill>
        <patternFill patternType="solid">
          <fgColor indexed="64"/>
          <bgColor rgb="FF005257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ck">
          <color theme="0" tint="-0.14993743705557422"/>
        </right>
        <top style="thick">
          <color theme="0" tint="-0.14993743705557422"/>
        </top>
        <bottom style="thick">
          <color theme="0" tint="-0.14993743705557422"/>
        </bottom>
        <vertical/>
        <horizontal style="thick">
          <color theme="0" tint="-0.1499374370555742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64" formatCode="_-* #,##0.00\ [$ر.س.‏-401]_-;\-* #,##0.00\ [$ر.س.‏-401]_-;_-* &quot;-&quot;??\ [$ر.س.‏-401]_-;_-@_-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3743705557422"/>
        </top>
        <bottom style="thick">
          <color theme="0" tint="-0.14993743705557422"/>
        </bottom>
        <vertical/>
        <horizontal style="thick">
          <color theme="0" tint="-0.1499374370555742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64" formatCode="_-* #,##0.00\ [$ر.س.‏-401]_-;\-* #,##0.00\ [$ر.س.‏-401]_-;_-* &quot;-&quot;??\ [$ر.س.‏-401]_-;_-@_-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3743705557422"/>
        </top>
        <bottom style="thick">
          <color theme="0" tint="-0.14993743705557422"/>
        </bottom>
        <vertical/>
        <horizontal style="thick">
          <color theme="0" tint="-0.1499374370555742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3" formatCode="0%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3743705557422"/>
        </top>
        <bottom style="thick">
          <color theme="0" tint="-0.14993743705557422"/>
        </bottom>
        <vertical/>
        <horizontal style="thick">
          <color theme="0" tint="-0.1499374370555742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3743705557422"/>
        </top>
        <bottom style="thick">
          <color theme="0" tint="-0.14993743705557422"/>
        </bottom>
        <vertical/>
        <horizontal style="thick">
          <color theme="0" tint="-0.1499374370555742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theme="0" tint="-0.14993743705557422"/>
        </left>
        <right/>
        <top style="thick">
          <color theme="0" tint="-0.14993743705557422"/>
        </top>
        <bottom style="thick">
          <color theme="0" tint="-0.14993743705557422"/>
        </bottom>
        <vertical/>
        <horizontal style="thick">
          <color theme="0" tint="-0.14993743705557422"/>
        </horizontal>
      </border>
      <protection locked="0" hidden="0"/>
    </dxf>
    <dxf>
      <border>
        <top style="thick">
          <color theme="0" tint="-0.14996795556505021"/>
        </top>
      </border>
    </dxf>
    <dxf>
      <border>
        <bottom style="thick">
          <color theme="0" tint="-0.14996795556505021"/>
        </bottom>
      </border>
    </dxf>
    <dxf>
      <border diagonalUp="0" diagonalDown="0">
        <left style="thick">
          <color theme="0" tint="-0.14996795556505021"/>
        </left>
        <right style="thick">
          <color theme="0" tint="-0.14996795556505021"/>
        </right>
        <top style="thick">
          <color theme="0" tint="-0.14996795556505021"/>
        </top>
        <bottom style="thick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alignment horizontal="center" vertical="center" textRotation="0" wrapText="1" indent="0" justifyLastLine="0" shrinkToFit="0" readingOrder="2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akkal Majalla"/>
        <scheme val="none"/>
      </font>
      <numFmt numFmtId="1" formatCode="0"/>
      <fill>
        <patternFill patternType="solid">
          <fgColor indexed="64"/>
          <bgColor rgb="FF005257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3" formatCode="0%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border>
        <top style="thick">
          <color theme="0" tint="-0.14996795556505021"/>
        </top>
      </border>
    </dxf>
    <dxf>
      <border>
        <bottom style="thick">
          <color theme="0" tint="-0.14996795556505021"/>
        </bottom>
      </border>
    </dxf>
    <dxf>
      <border diagonalUp="0" diagonalDown="0">
        <left style="thick">
          <color theme="0" tint="-0.14996795556505021"/>
        </left>
        <right style="thick">
          <color theme="0" tint="-0.14996795556505021"/>
        </right>
        <top style="thick">
          <color theme="0" tint="-0.14996795556505021"/>
        </top>
        <bottom style="thick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alignment horizontal="center" vertical="center" textRotation="0" wrapText="1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 tint="-0.14993743705557422"/>
        </left>
        <right style="thick">
          <color theme="0" tint="-0.14993743705557422"/>
        </right>
        <top style="thick">
          <color theme="0" tint="-0.14993743705557422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 tint="-0.14993743705557422"/>
        </left>
        <right style="thick">
          <color theme="0" tint="-0.14993743705557422"/>
        </right>
        <top style="thick">
          <color theme="0" tint="-0.14993743705557422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theme="0" tint="-0.14996795556505021"/>
        </left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border outline="0">
        <top style="thick">
          <color theme="0" tint="-0.14996795556505021"/>
        </top>
      </border>
    </dxf>
    <dxf>
      <border outline="0">
        <bottom style="thick">
          <color theme="0" tint="-0.14996795556505021"/>
        </bottom>
      </border>
    </dxf>
    <dxf>
      <border outline="0">
        <left style="thick">
          <color theme="0" tint="-0.14996795556505021"/>
        </left>
        <right style="thick">
          <color theme="0" tint="-0.14996795556505021"/>
        </right>
        <bottom style="thick">
          <color theme="0" tint="-0.14996795556505021"/>
        </bottom>
      </border>
    </dxf>
    <dxf>
      <numFmt numFmtId="1" formatCode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2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rgb="FF005257"/>
        </patternFill>
      </fill>
      <alignment horizontal="right" vertical="center" textRotation="0" wrapText="1" indent="0" justifyLastLine="0" shrinkToFit="0" readingOrder="2"/>
      <border diagonalUp="0" diagonalDown="0">
        <left style="thick">
          <color theme="0" tint="-0.24994659260841701"/>
        </left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border>
        <top style="thick">
          <color theme="0" tint="-0.14996795556505021"/>
        </top>
      </border>
    </dxf>
    <dxf>
      <border>
        <bottom style="thick">
          <color theme="0" tint="-0.14996795556505021"/>
        </bottom>
      </border>
    </dxf>
    <dxf>
      <border diagonalUp="0" diagonalDown="0">
        <left style="thick">
          <color theme="0" tint="-0.14996795556505021"/>
        </left>
        <right style="thick">
          <color theme="0" tint="-0.14996795556505021"/>
        </right>
        <top style="thick">
          <color theme="0" tint="-0.14996795556505021"/>
        </top>
        <bottom style="thick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4"/>
        <color theme="1"/>
        <family val="1"/>
      </font>
      <numFmt numFmtId="1" formatCode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family val="1"/>
        <scheme val="none"/>
      </font>
      <numFmt numFmtId="1" formatCode="0"/>
      <fill>
        <patternFill patternType="solid">
          <fgColor indexed="64"/>
          <bgColor rgb="FF005257"/>
        </patternFill>
      </fill>
      <alignment horizontal="center" vertical="center" textRotation="0" wrapText="1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164" formatCode="_-* #,##0.00\ [$ر.س.‏-401]_-;\-* #,##0.00\ [$ر.س.‏-401]_-;_-* &quot;-&quot;??\ [$ر.س.‏-401]_-;_-@_-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 style="thick">
          <color theme="0" tint="-0.1499679555650502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 style="thick">
          <color theme="0" tint="-0.14996795556505021"/>
        </horizontal>
      </border>
      <protection locked="0" hidden="0"/>
    </dxf>
    <dxf>
      <border>
        <top style="thick">
          <color theme="0" tint="-0.14996795556505021"/>
        </top>
      </border>
    </dxf>
    <dxf>
      <border>
        <bottom style="thick">
          <color theme="0" tint="-0.14996795556505021"/>
        </bottom>
      </border>
    </dxf>
    <dxf>
      <border diagonalUp="0" diagonalDown="0">
        <left style="thick">
          <color theme="0" tint="-0.14993743705557422"/>
        </left>
        <right style="thick">
          <color theme="0" tint="-0.14993743705557422"/>
        </right>
        <top style="thick">
          <color theme="0" tint="-0.14993743705557422"/>
        </top>
        <bottom style="thick">
          <color theme="0" tint="-0.14996795556505021"/>
        </bottom>
      </border>
    </dxf>
    <dxf>
      <numFmt numFmtId="1" formatCode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theme="0" tint="-0.14996795556505021"/>
        </left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border outline="0">
        <top style="thick">
          <color theme="0" tint="-0.14996795556505021"/>
        </top>
      </border>
    </dxf>
    <dxf>
      <border outline="0">
        <bottom style="thick">
          <color theme="0" tint="-0.14996795556505021"/>
        </bottom>
      </border>
    </dxf>
    <dxf>
      <border outline="0">
        <left style="thick">
          <color theme="0" tint="-0.14996795556505021"/>
        </left>
        <right style="thick">
          <color theme="0" tint="-0.14996795556505021"/>
        </right>
        <bottom style="thick">
          <color theme="0" tint="-0.14996795556505021"/>
        </bottom>
      </border>
    </dxf>
    <dxf>
      <numFmt numFmtId="1" formatCode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4" formatCode="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 tint="-0.14990691854609822"/>
        </left>
        <right/>
        <top/>
        <bottom/>
        <vertical style="thick">
          <color theme="0" tint="-0.14990691854609822"/>
        </vertical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164" formatCode="_-* #,##0.00\ [$ر.س.‏-401]_-;\-* #,##0.00\ [$ر.س.‏-401]_-;_-* &quot;-&quot;??\ [$ر.س.‏-401]_-;_-@_-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2"/>
      <border diagonalUp="0" diagonalDown="0" outline="0">
        <left/>
        <right/>
        <top/>
        <bottom style="thick">
          <color theme="0" tint="-0.149937437055574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theme="0" tint="-0.14990691854609822"/>
        </left>
        <right style="thick">
          <color theme="0" tint="-0.14990691854609822"/>
        </right>
        <top/>
        <bottom/>
        <vertical style="thick">
          <color theme="0" tint="-0.14990691854609822"/>
        </vertical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 outline="0">
        <left/>
        <right/>
        <top/>
        <bottom style="thick">
          <color theme="0" tint="-0.149937437055574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4" formatCode="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 tint="-0.14990691854609822"/>
        </left>
        <right style="thick">
          <color theme="0" tint="-0.14990691854609822"/>
        </right>
        <top/>
        <bottom/>
        <vertical style="thick">
          <color theme="0" tint="-0.14990691854609822"/>
        </vertical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164" formatCode="_-* #,##0.00\ [$ر.س.‏-401]_-;\-* #,##0.00\ [$ر.س.‏-401]_-;_-* &quot;-&quot;??\ [$ر.س.‏-401]_-;_-@_-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2"/>
      <border diagonalUp="0" diagonalDown="0" outline="0">
        <left/>
        <right/>
        <top/>
        <bottom style="thick">
          <color theme="0" tint="-0.149937437055574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/>
        <right style="thick">
          <color theme="0" tint="-0.14990691854609822"/>
        </right>
        <top/>
        <bottom/>
        <vertical style="thick">
          <color theme="0" tint="-0.14990691854609822"/>
        </vertical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 outline="0">
        <left/>
        <right/>
        <top/>
        <bottom style="thick">
          <color theme="0" tint="-0.14993743705557422"/>
        </bottom>
      </border>
    </dxf>
    <dxf>
      <border outline="0">
        <bottom style="thick">
          <color theme="0" tint="-0.14993743705557422"/>
        </bottom>
      </border>
    </dxf>
    <dxf>
      <border diagonalUp="0" diagonalDown="0">
        <left style="thick">
          <color theme="0" tint="-0.14990691854609822"/>
        </left>
        <right style="thick">
          <color theme="0" tint="-0.14990691854609822"/>
        </right>
        <top style="thick">
          <color theme="0" tint="-0.14990691854609822"/>
        </top>
        <bottom style="thick">
          <color theme="0" tint="-0.14990691854609822"/>
        </bottom>
      </border>
    </dxf>
    <dxf>
      <protection locked="0" hidden="0"/>
    </dxf>
    <dxf>
      <border diagonalUp="0" diagonalDown="0">
        <left style="thick">
          <color theme="0" tint="-0.14990691854609822"/>
        </left>
        <right style="thick">
          <color theme="0" tint="-0.14990691854609822"/>
        </right>
        <top/>
        <bottom/>
        <vertical style="thick">
          <color theme="0" tint="-0.14990691854609822"/>
        </vertical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 tint="-0.14993743705557422"/>
        </left>
        <right style="thick">
          <color theme="0" tint="-0.14993743705557422"/>
        </right>
        <top style="thick">
          <color theme="0" tint="-0.14993743705557422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theme="0" tint="-0.14996795556505021"/>
        </left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border outline="0">
        <top style="thick">
          <color theme="0" tint="-0.14996795556505021"/>
        </top>
      </border>
    </dxf>
    <dxf>
      <border outline="0">
        <bottom style="thick">
          <color theme="0" tint="-0.14996795556505021"/>
        </bottom>
      </border>
    </dxf>
    <dxf>
      <border outline="0">
        <left style="thick">
          <color theme="0" tint="-0.14996795556505021"/>
        </left>
        <right style="thick">
          <color theme="0" tint="-0.14996795556505021"/>
        </right>
        <bottom style="thick">
          <color theme="0" tint="-0.14996795556505021"/>
        </bottom>
      </border>
    </dxf>
    <dxf>
      <numFmt numFmtId="1" formatCode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 tint="-0.14993743705557422"/>
        </left>
        <right style="thick">
          <color theme="0" tint="-0.14993743705557422"/>
        </right>
        <top style="thick">
          <color theme="0" tint="-0.14993743705557422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theme="0" tint="-0.14996795556505021"/>
        </left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border outline="0">
        <top style="thick">
          <color theme="0" tint="-0.14996795556505021"/>
        </top>
      </border>
    </dxf>
    <dxf>
      <border outline="0">
        <bottom style="thick">
          <color theme="0" tint="-0.14996795556505021"/>
        </bottom>
      </border>
    </dxf>
    <dxf>
      <border outline="0">
        <left style="thick">
          <color theme="0" tint="-0.14996795556505021"/>
        </left>
        <right style="thick">
          <color theme="0" tint="-0.14996795556505021"/>
        </right>
        <bottom style="thick">
          <color theme="0" tint="-0.14996795556505021"/>
        </bottom>
      </border>
    </dxf>
    <dxf>
      <numFmt numFmtId="1" formatCode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2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746211</xdr:colOff>
      <xdr:row>0</xdr:row>
      <xdr:rowOff>34483</xdr:rowOff>
    </xdr:from>
    <xdr:to>
      <xdr:col>6</xdr:col>
      <xdr:colOff>1213186</xdr:colOff>
      <xdr:row>4</xdr:row>
      <xdr:rowOff>126224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99495F1-18A7-48BF-9E60-D161470DC040}"/>
            </a:ext>
          </a:extLst>
        </xdr:cNvPr>
        <xdr:cNvSpPr/>
      </xdr:nvSpPr>
      <xdr:spPr>
        <a:xfrm flipH="1">
          <a:off x="30105435389" y="34483"/>
          <a:ext cx="2305300" cy="863266"/>
        </a:xfrm>
        <a:prstGeom prst="rect">
          <a:avLst/>
        </a:prstGeom>
        <a:noFill/>
        <a:ln w="6350"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SA" sz="1800">
              <a:solidFill>
                <a:schemeClr val="bg1">
                  <a:lumMod val="50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يتم تعبئة</a:t>
          </a:r>
          <a:r>
            <a:rPr lang="ar-SA" sz="1800" baseline="0">
              <a:solidFill>
                <a:schemeClr val="bg1">
                  <a:lumMod val="50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 الحقول البيضاء فقط</a:t>
          </a:r>
          <a:endParaRPr lang="en-US" sz="1800">
            <a:solidFill>
              <a:schemeClr val="bg1">
                <a:lumMod val="50000"/>
              </a:schemeClr>
            </a:solidFill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455706</xdr:colOff>
      <xdr:row>0</xdr:row>
      <xdr:rowOff>37353</xdr:rowOff>
    </xdr:from>
    <xdr:to>
      <xdr:col>11</xdr:col>
      <xdr:colOff>167591</xdr:colOff>
      <xdr:row>3</xdr:row>
      <xdr:rowOff>28615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980905C-5659-4D1E-BF41-FC0E52AC47C2}"/>
            </a:ext>
          </a:extLst>
        </xdr:cNvPr>
        <xdr:cNvSpPr/>
      </xdr:nvSpPr>
      <xdr:spPr>
        <a:xfrm>
          <a:off x="9980813209" y="37353"/>
          <a:ext cx="2150285" cy="1972462"/>
        </a:xfrm>
        <a:prstGeom prst="rect">
          <a:avLst/>
        </a:prstGeom>
        <a:noFill/>
        <a:ln w="6350"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SA" sz="1800">
              <a:solidFill>
                <a:schemeClr val="bg1">
                  <a:lumMod val="50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يتم تعبئة</a:t>
          </a:r>
          <a:r>
            <a:rPr lang="ar-SA" sz="1800" baseline="0">
              <a:solidFill>
                <a:schemeClr val="bg1">
                  <a:lumMod val="50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 الحقول البيضاء فقط</a:t>
          </a:r>
          <a:endParaRPr lang="en-US" sz="1800">
            <a:solidFill>
              <a:schemeClr val="bg1">
                <a:lumMod val="50000"/>
              </a:schemeClr>
            </a:solidFill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536</xdr:colOff>
      <xdr:row>0</xdr:row>
      <xdr:rowOff>114760</xdr:rowOff>
    </xdr:from>
    <xdr:to>
      <xdr:col>4</xdr:col>
      <xdr:colOff>424629</xdr:colOff>
      <xdr:row>3</xdr:row>
      <xdr:rowOff>84780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0963C48-6478-416C-AC7F-620B12B0820F}"/>
            </a:ext>
          </a:extLst>
        </xdr:cNvPr>
        <xdr:cNvSpPr/>
      </xdr:nvSpPr>
      <xdr:spPr>
        <a:xfrm>
          <a:off x="9984642396" y="114760"/>
          <a:ext cx="1186093" cy="855845"/>
        </a:xfrm>
        <a:prstGeom prst="rect">
          <a:avLst/>
        </a:prstGeom>
        <a:noFill/>
        <a:ln w="6350"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SA" sz="1800">
              <a:solidFill>
                <a:schemeClr val="bg1">
                  <a:lumMod val="50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يتم تعبئة</a:t>
          </a:r>
          <a:r>
            <a:rPr lang="ar-SA" sz="1800" baseline="0">
              <a:solidFill>
                <a:schemeClr val="bg1">
                  <a:lumMod val="50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 الحقول البيضاء فقط</a:t>
          </a:r>
          <a:endParaRPr lang="en-US" sz="1800">
            <a:solidFill>
              <a:schemeClr val="bg1">
                <a:lumMod val="50000"/>
              </a:schemeClr>
            </a:solidFill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564444</xdr:colOff>
      <xdr:row>0</xdr:row>
      <xdr:rowOff>28222</xdr:rowOff>
    </xdr:from>
    <xdr:to>
      <xdr:col>7</xdr:col>
      <xdr:colOff>452158</xdr:colOff>
      <xdr:row>3</xdr:row>
      <xdr:rowOff>50466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1BC0279-31F8-4282-96AD-52942E048E87}"/>
            </a:ext>
          </a:extLst>
        </xdr:cNvPr>
        <xdr:cNvSpPr/>
      </xdr:nvSpPr>
      <xdr:spPr>
        <a:xfrm flipH="1">
          <a:off x="10762921667" y="28222"/>
          <a:ext cx="2516614" cy="869969"/>
        </a:xfrm>
        <a:prstGeom prst="rect">
          <a:avLst/>
        </a:prstGeom>
        <a:noFill/>
        <a:ln w="6350"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SA" sz="1800">
              <a:solidFill>
                <a:schemeClr val="bg1">
                  <a:lumMod val="50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يتم تعبئة</a:t>
          </a:r>
          <a:r>
            <a:rPr lang="ar-SA" sz="1800" baseline="0">
              <a:solidFill>
                <a:schemeClr val="bg1">
                  <a:lumMod val="50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 الحقول البيضاء فقط</a:t>
          </a:r>
          <a:endParaRPr lang="en-US" sz="1800">
            <a:solidFill>
              <a:schemeClr val="bg1">
                <a:lumMod val="50000"/>
              </a:schemeClr>
            </a:solidFill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457201</xdr:colOff>
      <xdr:row>3</xdr:row>
      <xdr:rowOff>76200</xdr:rowOff>
    </xdr:from>
    <xdr:to>
      <xdr:col>6</xdr:col>
      <xdr:colOff>132523</xdr:colOff>
      <xdr:row>5</xdr:row>
      <xdr:rowOff>168275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7E0AB90-A9F7-4298-95DB-3E6913C34570}"/>
            </a:ext>
          </a:extLst>
        </xdr:cNvPr>
        <xdr:cNvSpPr/>
      </xdr:nvSpPr>
      <xdr:spPr>
        <a:xfrm flipH="1">
          <a:off x="9984372527" y="647700"/>
          <a:ext cx="4761672" cy="473075"/>
        </a:xfrm>
        <a:prstGeom prst="rect">
          <a:avLst/>
        </a:prstGeom>
        <a:noFill/>
        <a:ln w="6350"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SA" sz="1800" baseline="0">
              <a:solidFill>
                <a:schemeClr val="bg1">
                  <a:lumMod val="50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 </a:t>
          </a:r>
          <a:r>
            <a:rPr lang="ar-SA" sz="1800">
              <a:solidFill>
                <a:schemeClr val="bg1">
                  <a:lumMod val="50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ارفاق</a:t>
          </a:r>
          <a:r>
            <a:rPr lang="ar-SA" sz="1800" baseline="0">
              <a:solidFill>
                <a:schemeClr val="bg1">
                  <a:lumMod val="50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 قائمة المركز المالي هنا موقعة و مختومة</a:t>
          </a:r>
          <a:r>
            <a:rPr lang="en-US" sz="1800" baseline="0">
              <a:solidFill>
                <a:schemeClr val="bg1">
                  <a:lumMod val="50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 </a:t>
          </a:r>
          <a:r>
            <a:rPr lang="ar-SA" sz="1800" baseline="0">
              <a:solidFill>
                <a:schemeClr val="bg1">
                  <a:lumMod val="50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(اختياري)</a:t>
          </a:r>
          <a:endParaRPr lang="en-US" sz="1800">
            <a:solidFill>
              <a:schemeClr val="bg1">
                <a:lumMod val="50000"/>
              </a:schemeClr>
            </a:solidFill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MahdiBukhamseen\AppData\Local\Packages\5319275A.WhatsAppDesktop_cv1g1gvanyjgm\LocalState\sessions\CDEC699DEB56284C9808AFE9D38B78084E32BB04\transfers\2026-38\&#1606;&#1605;&#1608;&#1584;&#1580;%20&#1575;&#1604;&#1605;&#1581;&#1575;&#1587;&#1576;%20&#1575;&#1604;&#1602;&#1575;&#1606;&#1608;&#1606;&#1610;%20(&#1575;&#1587;&#1605;%20&#1575;&#1604;&#1605;&#1588;&#1585;&#1608;&#1593;)%202026&#1605;%20(00D).xlsx" TargetMode="External"/><Relationship Id="rId2" Type="http://schemas.microsoft.com/office/2019/04/relationships/externalLinkLongPath" Target="/Users/MahdiBukhamseen/AppData/Local/Packages/5319275A.WhatsAppDesktop_cv1g1gvanyjgm/LocalState/sessions/CDEC699DEB56284C9808AFE9D38B78084E32BB04/transfers/2026-38/&#1606;&#1605;&#1608;&#1584;&#1580;%20&#1575;&#1604;&#1605;&#1581;&#1575;&#1587;&#1576;%20&#1575;&#1604;&#1602;&#1575;&#1606;&#1608;&#1606;&#1610;%20(&#1575;&#1587;&#1605;%20&#1575;&#1604;&#1605;&#1588;&#1585;&#1608;&#1593;)%202026&#1605;%20(00D).xlsx?E1576E61" TargetMode="External"/><Relationship Id="rId1" Type="http://schemas.openxmlformats.org/officeDocument/2006/relationships/externalLinkPath" Target="file:///\\E1576E61\&#1606;&#1605;&#1608;&#1584;&#1580;%20&#1575;&#1604;&#1605;&#1581;&#1575;&#1587;&#1576;%20&#1575;&#1604;&#1602;&#1575;&#1606;&#1608;&#1606;&#1610;%20(&#1575;&#1587;&#1605;%20&#1575;&#1604;&#1605;&#1588;&#1585;&#1608;&#1593;)%202026&#1605;%20(00D).xlsx" TargetMode="External"/><Relationship Id="rId4" Type="http://schemas.openxmlformats.org/officeDocument/2006/relationships/externalLinkPath" Target="../AppData/Local/Packages/5319275A.WhatsAppDesktop_cv1g1gvanyjgm/LocalState/sessions/CDEC699DEB56284C9808AFE9D38B78084E32BB04/transfers/2026-38/&#1606;&#1605;&#1608;&#1584;&#1580;%20&#1575;&#1604;&#1605;&#1581;&#1575;&#1587;&#1576;%20&#1575;&#1604;&#1602;&#1575;&#1606;&#1608;&#1606;&#1610;%20(&#1575;&#1587;&#1605;%20&#1575;&#1604;&#1605;&#1588;&#1585;&#1608;&#1593;)%202026&#1605;%20(00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مقدمة"/>
      <sheetName val="تعليمات هامة قبل البدء"/>
      <sheetName val="(1) البيانات الاساسية"/>
      <sheetName val="(2) وثائق الصرف"/>
      <sheetName val="Sheet1"/>
      <sheetName val="(3) العمليات المالية"/>
      <sheetName val="(4) وحدات المشروع"/>
      <sheetName val="(5) تحليل البيانات المالية"/>
      <sheetName val="(6) النتائج والملاحظات"/>
      <sheetName val="قائمة المركز المالي (7)"/>
    </sheetNames>
    <sheetDataSet>
      <sheetData sheetId="0"/>
      <sheetData sheetId="1"/>
      <sheetData sheetId="2">
        <row r="9">
          <cell r="D9">
            <v>100000</v>
          </cell>
        </row>
      </sheetData>
      <sheetData sheetId="3"/>
      <sheetData sheetId="4"/>
      <sheetData sheetId="5">
        <row r="9">
          <cell r="B9">
            <v>50000</v>
          </cell>
        </row>
      </sheetData>
      <sheetData sheetId="6">
        <row r="51">
          <cell r="F51">
            <v>125000</v>
          </cell>
        </row>
      </sheetData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B0BB8F4-848A-4A83-B129-1C8F4679E522}" name="Table319" displayName="Table319" ref="A2:L17" totalsRowShown="0" headerRowDxfId="16" dataDxfId="15" headerRowBorderDxfId="13" tableBorderDxfId="14" totalsRowBorderDxfId="12">
  <autoFilter ref="A2:L17" xr:uid="{4B0BB8F4-848A-4A83-B129-1C8F4679E522}"/>
  <tableColumns count="12">
    <tableColumn id="1" xr3:uid="{E7DB6802-F143-4AD0-9B48-4585E22515BD}" name="#" dataDxfId="11"/>
    <tableColumn id="12" xr3:uid="{995C5701-6858-4EA2-A564-620741E75451}" name="نوع حساب الضمان " dataDxfId="10"/>
    <tableColumn id="2" xr3:uid="{63400823-FD55-4BA4-9D03-A195FAF8AD6D}" name="البند" dataDxfId="9"/>
    <tableColumn id="3" xr3:uid="{69A0D0A6-C5B2-4068-A659-81D432519C9F}" name="رقم وثيقة الصرف" dataDxfId="8"/>
    <tableColumn id="4" xr3:uid="{43E9AB83-7309-45ED-AC2E-AAFBF0C8FEDC}" name="تاريخ الوثيقة" dataDxfId="7"/>
    <tableColumn id="5" xr3:uid="{565BE833-97C1-496E-8500-C190BB95F043}" name="اسم المستفيد" dataDxfId="6"/>
    <tableColumn id="6" xr3:uid="{1116A118-388E-4939-B2A1-7F1AD7E62DF0}" name="صفة المستفيد" dataDxfId="5"/>
    <tableColumn id="7" xr3:uid="{8A4943FA-FD66-4AE7-9EA2-73F808CDFD9E}" name="بيان الصرف" dataDxfId="4"/>
    <tableColumn id="11" xr3:uid="{5C8A781F-EF35-41B9-A237-049E72D83977}" name="حالة الوثيقة" dataDxfId="3"/>
    <tableColumn id="8" xr3:uid="{14F8EE66-F197-431F-8E1F-0F6C6D3B557F}" name="تاريخ اعتماد الوثيقة" dataDxfId="2"/>
    <tableColumn id="9" xr3:uid="{554B5AFF-EFDA-4FBA-98A7-40AA8C6E4DF0}" name="تاريخ الدفع" dataDxfId="1"/>
    <tableColumn id="10" xr3:uid="{EDD9A27F-8C87-4D89-97E1-15E37E63F9E7}" name="المبلغ" dataDxfId="0" dataCellStyle="Comm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EB2B4D-4346-447D-8B8C-F17F2F79536B}" name="Table7" displayName="Table7" ref="A8:D15" totalsRowShown="0" headerRowDxfId="185" dataDxfId="184" headerRowBorderDxfId="182" tableBorderDxfId="183" totalsRowBorderDxfId="181">
  <autoFilter ref="A8:D15" xr:uid="{ACEB2B4D-4346-447D-8B8C-F17F2F79536B}"/>
  <tableColumns count="4">
    <tableColumn id="1" xr3:uid="{BFC62D05-E30B-4E73-A555-307515F17CE5}" name="العمليات المدينة" dataDxfId="180"/>
    <tableColumn id="2" xr3:uid="{7564756A-BD47-4891-A20A-672780A28084}" name="المبلغ" dataDxfId="128" dataCellStyle="Comma">
      <calculatedColumnFormula>SUBTOTAL(109,B3:B8)</calculatedColumnFormula>
    </tableColumn>
    <tableColumn id="3" xr3:uid="{96037A24-045F-48D2-B484-87496485022F}" name="العمليات الدائنة" dataDxfId="179"/>
    <tableColumn id="4" xr3:uid="{AC5CC864-3367-4AC1-9D9E-2128BB59180D}" name="المبلغ2" dataDxfId="178" dataCellStyle="Comma">
      <calculatedColumnFormula>SUM(D3:D8)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A0C8D0-427C-425A-9DEB-CACB787CC4E6}" name="Table8" displayName="Table8" ref="F8:I15" totalsRowShown="0" headerRowDxfId="177" dataDxfId="176" headerRowBorderDxfId="174" tableBorderDxfId="175" totalsRowBorderDxfId="173">
  <autoFilter ref="F8:I15" xr:uid="{30A0C8D0-427C-425A-9DEB-CACB787CC4E6}"/>
  <tableColumns count="4">
    <tableColumn id="1" xr3:uid="{2C6FD48B-9937-4DFA-AA4B-AA168D89E583}" name="العمليات المدينة" dataDxfId="172"/>
    <tableColumn id="2" xr3:uid="{6B7308D3-B91D-4648-B9A7-C3B658694F07}" name="المبلغ" dataDxfId="127" dataCellStyle="Comma">
      <calculatedColumnFormula>SUBTOTAL(109,G3:G8)</calculatedColumnFormula>
    </tableColumn>
    <tableColumn id="3" xr3:uid="{ADE45D4D-1FD7-461C-9703-300876472044}" name="العمليات الدائنة" dataDxfId="171"/>
    <tableColumn id="4" xr3:uid="{4ED90BAD-523E-49F6-A988-1F2A20548439}" name="المبلغ2" dataDxfId="170" dataCellStyle="Comm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DF2052-2593-48D2-923A-04F5EEC92D84}" name="Table10" displayName="Table10" ref="A18:D18" headerRowCount="0" totalsRowShown="0" headerRowDxfId="169" dataDxfId="168" headerRowBorderDxfId="166" tableBorderDxfId="167">
  <tableColumns count="4">
    <tableColumn id="1" xr3:uid="{7335AD30-B1DF-4EC0-8C28-95460E5351CD}" name="Column1" headerRowDxfId="165" dataDxfId="164"/>
    <tableColumn id="2" xr3:uid="{2C0E2856-968B-41FD-9FA2-72B26D86277B}" name="Column2" headerRowDxfId="163" dataDxfId="162" headerRowCellStyle="Comma" dataCellStyle="Comma">
      <calculatedColumnFormula>+C5</calculatedColumnFormula>
    </tableColumn>
    <tableColumn id="3" xr3:uid="{C363F886-8D42-4137-BCEA-48674B1C9E3A}" name="Column3" headerRowDxfId="161" dataDxfId="160"/>
    <tableColumn id="4" xr3:uid="{F0762EF7-359C-49F1-B6E3-18C26C216697}" name="Column4" headerRowDxfId="159" dataDxfId="158" headerRowCellStyle="Comma" dataCellStyle="Comma">
      <calculatedColumnFormula array="1">+Table10[[#All],[Column2]]+I15-G15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0A2F2E-62B9-4CD5-BFF4-2628782C2581}" name="Table11" displayName="Table11" ref="F18:I24" totalsRowShown="0" headerRowDxfId="157" dataDxfId="156" headerRowBorderDxfId="154" tableBorderDxfId="155" totalsRowBorderDxfId="153">
  <autoFilter ref="F18:I24" xr:uid="{BE0A2F2E-62B9-4CD5-BFF4-2628782C2581}"/>
  <tableColumns count="4">
    <tableColumn id="1" xr3:uid="{E3A99F9E-7B4E-445C-A301-495BD7327771}" name="العمليات المدينة" dataDxfId="152"/>
    <tableColumn id="2" xr3:uid="{FA0A75B3-5B42-40B5-91C1-ABC6C7E0D634}" name="المبلغ" dataDxfId="52" dataCellStyle="Comma">
      <calculatedColumnFormula>SUBTOTAL(109,G14:G18)</calculatedColumnFormula>
    </tableColumn>
    <tableColumn id="3" xr3:uid="{45DD4F9A-3A79-419E-A4D3-43D91296254D}" name="العمليات الدائنة" dataDxfId="151"/>
    <tableColumn id="4" xr3:uid="{A9060F32-02AE-428A-8C7B-4F2CCB679D15}" name="المبلغ2" dataDxfId="51" dataCellStyle="Comma">
      <calculatedColumnFormula>SUBTOTAL(109,I14:I18)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06D3D5-40FA-4608-8E72-1846DF3699DF}" name="Table12" displayName="Table12" ref="A27:B32" totalsRowShown="0" headerRowDxfId="150" dataDxfId="149" headerRowBorderDxfId="147" tableBorderDxfId="148" totalsRowBorderDxfId="146">
  <autoFilter ref="A27:B32" xr:uid="{BD06D3D5-40FA-4608-8E72-1846DF3699DF}"/>
  <tableColumns count="2">
    <tableColumn id="1" xr3:uid="{C38BBA5D-2B56-496E-9D9D-C3497FBF1D77}" name=" المصاريف الإدارية التسويقي - الغير انشائية : 20% " dataDxfId="145"/>
    <tableColumn id="2" xr3:uid="{0928BE99-5D00-43A8-83AC-ABD1766C9196}" name="المبلغ" dataDxfId="144" dataCellStyle="Comma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F3D05A7-3EB2-4157-A959-DC04AAFB0B8A}" name="Table13" displayName="Table13" ref="C27:D30" totalsRowShown="0" headerRowDxfId="143" dataDxfId="142" headerRowBorderDxfId="140" tableBorderDxfId="141" totalsRowBorderDxfId="139">
  <autoFilter ref="C27:D30" xr:uid="{9F3D05A7-3EB2-4157-A959-DC04AAFB0B8A}"/>
  <tableColumns count="2">
    <tableColumn id="1" xr3:uid="{4C71A0E7-CB08-4B1A-9BE6-9E2D7249BE43}" name="  حساب الحفظ: 5%" dataDxfId="138"/>
    <tableColumn id="2" xr3:uid="{87552467-BEAA-40B6-AAA4-0BA8D6B3F644}" name="المبلغ" dataDxfId="13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8F0518-57B2-43AD-BC0D-3CAAB76ACEBD}" name="Table82" displayName="Table82" ref="F27:I34" totalsRowShown="0" headerRowDxfId="136" dataDxfId="135" headerRowBorderDxfId="133" tableBorderDxfId="134" totalsRowBorderDxfId="132">
  <autoFilter ref="F27:I34" xr:uid="{738F0518-57B2-43AD-BC0D-3CAAB76ACEBD}"/>
  <tableColumns count="4">
    <tableColumn id="1" xr3:uid="{F29971B9-33BD-4C46-AA62-6139C227FBA4}" name="العمليات المدينة" dataDxfId="131"/>
    <tableColumn id="2" xr3:uid="{1189CEC3-0526-460C-8852-29D753B6E3AE}" name="المبلغ" dataDxfId="50" dataCellStyle="Comma">
      <calculatedColumnFormula>SUBTOTAL(109,G22:G27)</calculatedColumnFormula>
    </tableColumn>
    <tableColumn id="3" xr3:uid="{FC53C979-BFF4-49A9-997C-9D90DB0AF554}" name="العمليات الدائنة" dataDxfId="130"/>
    <tableColumn id="4" xr3:uid="{77B0383A-7CDE-462B-B1D6-B690DBE6F300}" name="المبلغ2" dataDxfId="129" dataCellStyle="Comma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B835328-C5E0-481F-9C2A-06920666C204}" name="Table19" displayName="Table19" ref="B1:G17" totalsRowShown="0" headerRowDxfId="53" dataDxfId="126" headerRowBorderDxfId="124" tableBorderDxfId="125" totalsRowBorderDxfId="123">
  <autoFilter ref="B1:G17" xr:uid="{7B835328-C5E0-481F-9C2A-06920666C204}"/>
  <tableColumns count="6">
    <tableColumn id="1" xr3:uid="{3EDBDB78-9A32-42E3-B91F-5D2F792E10B8}" name="بيان نوع الوحدات" dataDxfId="122"/>
    <tableColumn id="2" xr3:uid="{094A2C56-244C-424B-81DD-9C6E40665153}" name="عدد" dataDxfId="121"/>
    <tableColumn id="3" xr3:uid="{5C82AD7D-A5C3-43BF-8BD3-D500EB9CD593}" name="نسبة" dataDxfId="120">
      <calculatedColumnFormula>C2/$C$17</calculatedColumnFormula>
    </tableColumn>
    <tableColumn id="4" xr3:uid="{AEECD6E5-1C68-4981-A864-E4B150AFFBAF}" name="قيمة الوحدات" dataDxfId="119"/>
    <tableColumn id="5" xr3:uid="{B13558B2-C08B-46AC-A105-5AE44CAA8E2D}" name="قيمة المحصل من الوحدات المباعة" dataDxfId="118"/>
    <tableColumn id="6" xr3:uid="{171C7D7B-F0D9-4F63-82DD-CF04E3B1997A}" name="المتبقي" dataDxfId="117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4A9687F-0DE0-4369-866D-4E8FE62DE3AA}" name="Table1921" displayName="Table1921" ref="B18:G34" totalsRowShown="0" headerRowDxfId="116" dataDxfId="115" headerRowBorderDxfId="113" tableBorderDxfId="114" totalsRowBorderDxfId="112">
  <autoFilter ref="B18:G34" xr:uid="{64A9687F-0DE0-4369-866D-4E8FE62DE3AA}"/>
  <tableColumns count="6">
    <tableColumn id="1" xr3:uid="{A60905C9-E216-4FF7-8DCA-EA01005BDCDA}" name="بيان نوع الوحدات" dataDxfId="111"/>
    <tableColumn id="2" xr3:uid="{072159B6-8D1B-4F44-8165-2B85ED697BA4}" name="عدد" dataDxfId="110">
      <calculatedColumnFormula>SUM(C4:C18)</calculatedColumnFormula>
    </tableColumn>
    <tableColumn id="3" xr3:uid="{93871B4C-2F7A-4259-9125-9F8528E8E997}" name="نسبة" dataDxfId="109">
      <calculatedColumnFormula>Table1921[[#This Row],[عدد]]/$C$34</calculatedColumnFormula>
    </tableColumn>
    <tableColumn id="4" xr3:uid="{034EC614-FDE6-4AD7-819A-C49C976DCC0C}" name="قيمة الوحدات" dataDxfId="108">
      <calculatedColumnFormula>SUBTOTAL(109,E4:E18)</calculatedColumnFormula>
    </tableColumn>
    <tableColumn id="5" xr3:uid="{9EC1C1B0-7D60-44B8-8AD2-983EA2BFB7EE}" name="قيمة المحصل من الوحدات المباعة" dataDxfId="107">
      <calculatedColumnFormula>SUBTOTAL(109,F4:F18)</calculatedColumnFormula>
    </tableColumn>
    <tableColumn id="6" xr3:uid="{2660A456-EA7F-499C-98B9-EA05BBCEF401}" name="المتبقي" dataDxfId="106" dataCellStyle="Comma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114E287-FA99-4533-83F5-67EDF8CBC0B0}" name="Table192122" displayName="Table192122" ref="B35:G51" totalsRowShown="0" headerRowDxfId="105" dataDxfId="104" headerRowBorderDxfId="102" tableBorderDxfId="103" totalsRowBorderDxfId="101">
  <autoFilter ref="B35:G51" xr:uid="{C114E287-FA99-4533-83F5-67EDF8CBC0B0}"/>
  <tableColumns count="6">
    <tableColumn id="1" xr3:uid="{02B938F6-5166-4D19-B9D2-1C327EF38A55}" name="بيان نوع الوحدات" dataDxfId="100"/>
    <tableColumn id="2" xr3:uid="{7D0941CB-B4EB-4961-ADD6-0F5F44A9F0CD}" name="عدد" dataDxfId="99">
      <calculatedColumnFormula>SUM(C20:C35)</calculatedColumnFormula>
    </tableColumn>
    <tableColumn id="3" xr3:uid="{8B6269CA-221B-471C-8E1C-588D5E0A9FC5}" name="نسبة" dataDxfId="98">
      <calculatedColumnFormula>Table192122[[#This Row],[عدد]]/$C$51</calculatedColumnFormula>
    </tableColumn>
    <tableColumn id="4" xr3:uid="{6E186420-6A3F-4E60-B2D7-13CBC043A342}" name="قيمة الوحدات" dataDxfId="97">
      <calculatedColumnFormula>SUBTOTAL(109,E21:E35)</calculatedColumnFormula>
    </tableColumn>
    <tableColumn id="5" xr3:uid="{2BB991C3-1E57-44D0-8A50-5629B020F0B8}" name="قيمة المحصل من الوحدات المباعة" dataDxfId="96">
      <calculatedColumnFormula>SUBTOTAL(109,F21:F35)</calculatedColumnFormula>
    </tableColumn>
    <tableColumn id="6" xr3:uid="{5E02C32D-ED1D-46F3-8697-71D77147E4F2}" name="المتبقي" dataDxfId="95" dataCellStyle="Comma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FE6F667-1A73-4A68-BE24-90C13D0D5838}" name="Table19212223" displayName="Table19212223" ref="B52:G68" totalsRowShown="0" headerRowDxfId="94" dataDxfId="93" headerRowBorderDxfId="91" tableBorderDxfId="92" totalsRowBorderDxfId="90">
  <autoFilter ref="B52:G68" xr:uid="{8FE6F667-1A73-4A68-BE24-90C13D0D5838}"/>
  <tableColumns count="6">
    <tableColumn id="1" xr3:uid="{2E173F65-3EAF-4379-BE21-25A45428A707}" name="بيان نوع الوحدات" dataDxfId="89"/>
    <tableColumn id="2" xr3:uid="{A6492556-7582-42C2-89BD-4CEDF0212F13}" name="عدد" dataDxfId="88">
      <calculatedColumnFormula>SUM(C38:C52)</calculatedColumnFormula>
    </tableColumn>
    <tableColumn id="3" xr3:uid="{D5C0A52B-D596-4110-99C8-FDB508E02794}" name="نسبة" dataDxfId="87">
      <calculatedColumnFormula>SUM(109,D38:D52)</calculatedColumnFormula>
    </tableColumn>
    <tableColumn id="4" xr3:uid="{E600DFDB-9EC4-4698-8307-427DFE40AEE1}" name="قيمة الوحدات" dataDxfId="86">
      <calculatedColumnFormula>SUBTOTAL(109,E38:E52)</calculatedColumnFormula>
    </tableColumn>
    <tableColumn id="5" xr3:uid="{EB7FA07D-E2D4-4216-9843-52D5D31EBDFE}" name="قيمة المحصل من الوحدات المباعة" dataDxfId="85">
      <calculatedColumnFormula>SUBTOTAL(109,F38:F52)</calculatedColumnFormula>
    </tableColumn>
    <tableColumn id="6" xr3:uid="{14044E63-2C4F-4C38-9694-242333504CFD}" name="المتبقي" dataDxfId="84" dataCellStyle="Comma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A6875F8-684A-4CAC-9C32-4EE72CDD1F61}" name="Table1921222324" displayName="Table1921222324" ref="B69:G85" totalsRowShown="0" headerRowDxfId="83" dataDxfId="82" headerRowBorderDxfId="80" tableBorderDxfId="81" totalsRowBorderDxfId="79">
  <autoFilter ref="B69:G85" xr:uid="{EA6875F8-684A-4CAC-9C32-4EE72CDD1F61}"/>
  <tableColumns count="6">
    <tableColumn id="1" xr3:uid="{471D8D3F-93F5-4302-8102-E9F6217F659F}" name="بيان نوع الوحدات" dataDxfId="78"/>
    <tableColumn id="2" xr3:uid="{D5E4EF06-07CE-46AB-B5A8-1F69AD4D7F79}" name="عدد" dataDxfId="77">
      <calculatedColumnFormula>SUM(C55:C69)</calculatedColumnFormula>
    </tableColumn>
    <tableColumn id="3" xr3:uid="{5B83BEDE-8863-40BB-BE81-1C4D61384612}" name="نسبة" dataDxfId="76">
      <calculatedColumnFormula>Table1921222324[[#This Row],[عدد]]/$C$85</calculatedColumnFormula>
    </tableColumn>
    <tableColumn id="4" xr3:uid="{43633452-A61E-465A-A1FE-D5B3E5A31E59}" name="قيمة الوحدات" dataDxfId="75">
      <calculatedColumnFormula>SUBTOTAL(109,E55:E69)</calculatedColumnFormula>
    </tableColumn>
    <tableColumn id="5" xr3:uid="{7CCA7D22-C610-40E3-8D10-9D2CE939478A}" name="قيمة المحصل من الوحدات المباعة" dataDxfId="74">
      <calculatedColumnFormula>SUBTOTAL(109,F55:F69)</calculatedColumnFormula>
    </tableColumn>
    <tableColumn id="6" xr3:uid="{EFC75B89-A880-4189-8C8E-8C67C49FCD65}" name="المتبقي" dataDxfId="73" dataCellStyle="Comma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434FF2D-53ED-446D-9857-7D1F409A78F3}" name="Table24" displayName="Table24" ref="B103:D119" totalsRowShown="0" headerRowDxfId="72" dataDxfId="71" headerRowBorderDxfId="69" tableBorderDxfId="70" totalsRowBorderDxfId="68">
  <autoFilter ref="B103:D119" xr:uid="{0434FF2D-53ED-446D-9857-7D1F409A78F3}"/>
  <tableColumns count="3">
    <tableColumn id="1" xr3:uid="{41D46EFC-1463-4B61-97A8-AD5870E77FA3}" name="بيان نوع الوحدات" dataDxfId="67"/>
    <tableColumn id="2" xr3:uid="{82E06AAC-94F9-4DE7-93FB-FB48CC0E7E5A}" name="عدد" dataDxfId="66">
      <calculatedColumnFormula>SUM(C72:C85)</calculatedColumnFormula>
    </tableColumn>
    <tableColumn id="3" xr3:uid="{047A81C5-8F56-4654-86CB-7CFDC08A1D31}" name="نسبة (من الوحدات المرخصة)" dataDxfId="65" dataCellStyle="Percent">
      <calculatedColumnFormula>SUM(D72:D85)</calculatedColumnFormula>
    </tableColumn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3B23038-5A9A-4539-AD37-47EBA023D8D3}" name="Table19212223246" displayName="Table19212223246" ref="B86:G102" totalsRowShown="0" headerRowDxfId="64" dataDxfId="63" headerRowBorderDxfId="61" tableBorderDxfId="62" totalsRowBorderDxfId="60">
  <autoFilter ref="B86:G102" xr:uid="{B3B23038-5A9A-4539-AD37-47EBA023D8D3}"/>
  <tableColumns count="6">
    <tableColumn id="1" xr3:uid="{4ECC57E4-08EE-4EB3-9DF5-5E3C1FE093A5}" name="بيان نوع الوحدات" dataDxfId="59"/>
    <tableColumn id="2" xr3:uid="{C62E51D2-A3D9-407A-9339-10787AB594AE}" name="عدد" dataDxfId="58">
      <calculatedColumnFormula>SUM(C86:C102)</calculatedColumnFormula>
    </tableColumn>
    <tableColumn id="3" xr3:uid="{5D7E5B6C-C012-44B4-8B90-3BCFADF0B3AD}" name="نسبة" dataDxfId="57">
      <calculatedColumnFormula>Table19212223246[[#This Row],[عدد]]/$C$85</calculatedColumnFormula>
    </tableColumn>
    <tableColumn id="4" xr3:uid="{BBA69CDD-8F9E-41F2-8B64-ABD9EDBDBF5A}" name="قيمة الوحدات" dataDxfId="56">
      <calculatedColumnFormula>SUBTOTAL(109,E86:E102)</calculatedColumnFormula>
    </tableColumn>
    <tableColumn id="5" xr3:uid="{74D84D0E-4FD7-4029-B793-3AA4809AC3F2}" name="قيمة المحصل من الوحدات المباعة (متوقع)" dataDxfId="55">
      <calculatedColumnFormula>SUBTOTAL(109,F72:F86)</calculatedColumnFormula>
    </tableColumn>
    <tableColumn id="6" xr3:uid="{3E36FDE3-2C9B-4060-B126-27E34D9F318E}" name="المتبقي" dataDxfId="54" dataCellStyle="Comma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1C44E15-CA0B-4228-B137-713B40FEF288}" name="Table25" displayName="Table25" ref="A2:B13" headerRowCount="0" totalsRowShown="0" headerRowDxfId="49" dataDxfId="48" headerRowBorderDxfId="46" tableBorderDxfId="47" totalsRowBorderDxfId="45">
  <tableColumns count="2">
    <tableColumn id="1" xr3:uid="{877C27FC-4147-4F32-9475-A247D062D107}" name="Column1" headerRowDxfId="44" dataDxfId="43"/>
    <tableColumn id="2" xr3:uid="{1C933872-7D7D-4A12-8893-3E13077DABB9}" name="Column2" headerRowDxfId="42" dataDxfId="4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vmlDrawing" Target="../drawings/vmlDrawing4.v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vmlDrawing" Target="../drawings/vmlDrawing5.vml"/><Relationship Id="rId7" Type="http://schemas.openxmlformats.org/officeDocument/2006/relationships/table" Target="../tables/table1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10" Type="http://schemas.openxmlformats.org/officeDocument/2006/relationships/table" Target="../tables/table15.xml"/><Relationship Id="rId4" Type="http://schemas.openxmlformats.org/officeDocument/2006/relationships/table" Target="../tables/table9.xml"/><Relationship Id="rId9" Type="http://schemas.openxmlformats.org/officeDocument/2006/relationships/table" Target="../tables/table1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1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A1C3-76D6-4DA3-9253-16D298B13C10}">
  <dimension ref="A1:K47"/>
  <sheetViews>
    <sheetView rightToLeft="1" view="pageLayout" topLeftCell="A17" zoomScaleNormal="100" workbookViewId="0">
      <selection activeCell="B7" sqref="B7"/>
    </sheetView>
  </sheetViews>
  <sheetFormatPr defaultRowHeight="15.75" x14ac:dyDescent="0.25"/>
  <cols>
    <col min="1" max="1" width="24" style="99" bestFit="1" customWidth="1"/>
    <col min="2" max="2" width="49.7109375" style="99" customWidth="1"/>
    <col min="3" max="3" width="29.28515625" style="100" customWidth="1"/>
    <col min="4" max="4" width="53" style="100" customWidth="1"/>
    <col min="5" max="5" width="16.85546875" style="1" customWidth="1"/>
    <col min="6" max="6" width="12.140625" style="1" customWidth="1"/>
    <col min="7" max="7" width="11.5703125" style="84" customWidth="1"/>
    <col min="11" max="11" width="6.28515625" bestFit="1" customWidth="1"/>
    <col min="12" max="16384" width="9.140625" style="1"/>
  </cols>
  <sheetData>
    <row r="1" spans="1:11" s="84" customFormat="1" ht="23.25" thickTop="1" thickBot="1" x14ac:dyDescent="0.3">
      <c r="A1" s="80" t="s">
        <v>76</v>
      </c>
      <c r="B1" s="81"/>
      <c r="C1" s="81"/>
      <c r="D1" s="82"/>
      <c r="E1" s="1"/>
      <c r="F1" s="83"/>
      <c r="H1"/>
      <c r="I1"/>
      <c r="J1"/>
      <c r="K1"/>
    </row>
    <row r="2" spans="1:11" s="84" customFormat="1" ht="23.25" thickTop="1" thickBot="1" x14ac:dyDescent="0.3">
      <c r="A2" s="85" t="s">
        <v>77</v>
      </c>
      <c r="B2" s="101"/>
      <c r="C2" s="85" t="s">
        <v>78</v>
      </c>
      <c r="D2" s="104"/>
      <c r="E2" s="1"/>
      <c r="F2" s="83"/>
      <c r="H2"/>
      <c r="I2"/>
      <c r="J2"/>
      <c r="K2"/>
    </row>
    <row r="3" spans="1:11" s="84" customFormat="1" ht="23.25" thickTop="1" thickBot="1" x14ac:dyDescent="0.3">
      <c r="A3" s="85" t="s">
        <v>79</v>
      </c>
      <c r="B3" s="102"/>
      <c r="C3" s="85" t="s">
        <v>80</v>
      </c>
      <c r="D3" s="105"/>
      <c r="E3" s="1"/>
      <c r="F3" s="83"/>
      <c r="H3"/>
      <c r="I3"/>
      <c r="J3"/>
      <c r="K3"/>
    </row>
    <row r="4" spans="1:11" s="84" customFormat="1" ht="23.25" thickTop="1" thickBot="1" x14ac:dyDescent="0.3">
      <c r="A4" s="85" t="s">
        <v>81</v>
      </c>
      <c r="B4" s="103"/>
      <c r="C4" s="1"/>
      <c r="D4" s="1"/>
      <c r="E4" s="1"/>
      <c r="F4" s="83"/>
      <c r="H4"/>
      <c r="I4"/>
      <c r="J4"/>
      <c r="K4"/>
    </row>
    <row r="5" spans="1:11" s="84" customFormat="1" ht="20.25" thickTop="1" thickBot="1" x14ac:dyDescent="0.35">
      <c r="A5" s="86"/>
      <c r="B5" s="86"/>
      <c r="C5" s="86"/>
      <c r="D5" s="86"/>
      <c r="E5" s="1"/>
      <c r="F5" s="1"/>
      <c r="H5"/>
      <c r="I5"/>
      <c r="J5"/>
      <c r="K5"/>
    </row>
    <row r="6" spans="1:11" s="84" customFormat="1" ht="23.25" thickTop="1" thickBot="1" x14ac:dyDescent="0.3">
      <c r="A6" s="80" t="s">
        <v>82</v>
      </c>
      <c r="B6" s="81"/>
      <c r="C6" s="81"/>
      <c r="D6" s="82"/>
      <c r="E6" s="1"/>
      <c r="F6" s="1"/>
      <c r="H6"/>
      <c r="I6"/>
      <c r="J6"/>
      <c r="K6"/>
    </row>
    <row r="7" spans="1:11" s="84" customFormat="1" ht="23.25" thickTop="1" thickBot="1" x14ac:dyDescent="0.3">
      <c r="A7" s="85" t="s">
        <v>83</v>
      </c>
      <c r="B7" s="106"/>
      <c r="C7" s="85" t="s">
        <v>84</v>
      </c>
      <c r="D7" s="109"/>
      <c r="E7" s="1"/>
      <c r="F7" s="83"/>
      <c r="H7"/>
      <c r="I7"/>
      <c r="J7"/>
      <c r="K7"/>
    </row>
    <row r="8" spans="1:11" s="84" customFormat="1" ht="23.25" thickTop="1" thickBot="1" x14ac:dyDescent="0.3">
      <c r="A8" s="85" t="s">
        <v>85</v>
      </c>
      <c r="B8" s="107"/>
      <c r="C8" s="85" t="s">
        <v>86</v>
      </c>
      <c r="D8" s="87">
        <f>+D35</f>
        <v>0</v>
      </c>
      <c r="E8" s="1"/>
      <c r="F8" s="83"/>
      <c r="H8"/>
      <c r="I8"/>
      <c r="J8"/>
      <c r="K8"/>
    </row>
    <row r="9" spans="1:11" s="84" customFormat="1" ht="23.25" thickTop="1" thickBot="1" x14ac:dyDescent="0.3">
      <c r="A9" s="85" t="s">
        <v>87</v>
      </c>
      <c r="B9" s="101"/>
      <c r="C9" s="85" t="s">
        <v>88</v>
      </c>
      <c r="D9" s="109"/>
      <c r="E9" s="1"/>
      <c r="F9" s="83"/>
      <c r="H9"/>
      <c r="I9"/>
      <c r="J9"/>
      <c r="K9"/>
    </row>
    <row r="10" spans="1:11" s="84" customFormat="1" ht="45" thickTop="1" thickBot="1" x14ac:dyDescent="0.3">
      <c r="A10" s="85" t="s">
        <v>89</v>
      </c>
      <c r="B10" s="101"/>
      <c r="C10" s="85" t="s">
        <v>90</v>
      </c>
      <c r="D10" s="109"/>
      <c r="E10" s="1"/>
      <c r="F10" s="83"/>
      <c r="H10"/>
      <c r="I10"/>
      <c r="J10"/>
      <c r="K10"/>
    </row>
    <row r="11" spans="1:11" s="84" customFormat="1" ht="23.25" thickTop="1" thickBot="1" x14ac:dyDescent="0.3">
      <c r="A11" s="85" t="s">
        <v>91</v>
      </c>
      <c r="B11" s="101"/>
      <c r="C11" s="85" t="s">
        <v>93</v>
      </c>
      <c r="D11" s="87">
        <f>+D10+D9</f>
        <v>0</v>
      </c>
      <c r="E11" s="1"/>
      <c r="F11" s="83"/>
      <c r="H11"/>
      <c r="I11"/>
      <c r="J11"/>
      <c r="K11"/>
    </row>
    <row r="12" spans="1:11" s="84" customFormat="1" ht="23.25" thickTop="1" thickBot="1" x14ac:dyDescent="0.3">
      <c r="A12" s="85" t="s">
        <v>94</v>
      </c>
      <c r="B12" s="101"/>
      <c r="C12" s="85" t="s">
        <v>95</v>
      </c>
      <c r="D12" s="88" t="e">
        <f>+(D8-D7-D11)/D8</f>
        <v>#DIV/0!</v>
      </c>
      <c r="E12" s="1"/>
      <c r="F12" s="83"/>
      <c r="H12"/>
      <c r="I12"/>
      <c r="J12"/>
      <c r="K12"/>
    </row>
    <row r="13" spans="1:11" s="84" customFormat="1" ht="23.25" thickTop="1" thickBot="1" x14ac:dyDescent="0.3">
      <c r="A13" s="85" t="s">
        <v>96</v>
      </c>
      <c r="B13" s="108"/>
      <c r="C13" s="85" t="s">
        <v>97</v>
      </c>
      <c r="D13" s="110"/>
      <c r="E13" s="1"/>
      <c r="F13" s="83"/>
      <c r="H13"/>
      <c r="I13"/>
      <c r="J13"/>
      <c r="K13"/>
    </row>
    <row r="14" spans="1:11" s="84" customFormat="1" ht="23.25" thickTop="1" thickBot="1" x14ac:dyDescent="0.3">
      <c r="A14" s="85" t="s">
        <v>98</v>
      </c>
      <c r="B14" s="108"/>
      <c r="C14" s="85" t="s">
        <v>99</v>
      </c>
      <c r="D14" s="110"/>
      <c r="E14" s="1"/>
      <c r="F14" s="83"/>
      <c r="H14"/>
      <c r="I14"/>
      <c r="J14"/>
      <c r="K14"/>
    </row>
    <row r="15" spans="1:11" s="84" customFormat="1" ht="23.25" thickTop="1" thickBot="1" x14ac:dyDescent="0.3">
      <c r="A15" s="85" t="s">
        <v>100</v>
      </c>
      <c r="B15" s="108"/>
      <c r="C15" s="85" t="s">
        <v>101</v>
      </c>
      <c r="D15" s="110"/>
      <c r="E15" s="1"/>
      <c r="F15" s="83"/>
      <c r="H15"/>
      <c r="I15"/>
      <c r="J15"/>
      <c r="K15"/>
    </row>
    <row r="16" spans="1:11" s="84" customFormat="1" ht="23.25" thickTop="1" thickBot="1" x14ac:dyDescent="0.3">
      <c r="A16" s="85" t="s">
        <v>102</v>
      </c>
      <c r="B16" s="108"/>
      <c r="C16" s="85" t="s">
        <v>103</v>
      </c>
      <c r="D16" s="110"/>
      <c r="E16" s="1"/>
      <c r="F16" s="83"/>
      <c r="H16"/>
      <c r="I16"/>
      <c r="J16"/>
      <c r="K16"/>
    </row>
    <row r="17" spans="1:11" s="84" customFormat="1" ht="20.25" thickTop="1" thickBot="1" x14ac:dyDescent="0.35">
      <c r="A17" s="86"/>
      <c r="B17" s="86"/>
      <c r="C17" s="86"/>
      <c r="D17" s="86"/>
      <c r="E17" s="1"/>
      <c r="F17" s="83"/>
      <c r="H17"/>
      <c r="I17"/>
      <c r="J17"/>
      <c r="K17"/>
    </row>
    <row r="18" spans="1:11" s="84" customFormat="1" ht="23.25" thickTop="1" thickBot="1" x14ac:dyDescent="0.3">
      <c r="A18" s="5" t="s">
        <v>104</v>
      </c>
      <c r="B18" s="6"/>
      <c r="C18" s="6"/>
      <c r="D18" s="7"/>
      <c r="E18" s="1"/>
      <c r="F18" s="83"/>
      <c r="H18"/>
      <c r="I18"/>
      <c r="J18"/>
      <c r="K18"/>
    </row>
    <row r="19" spans="1:11" s="84" customFormat="1" ht="23.25" thickTop="1" thickBot="1" x14ac:dyDescent="0.3">
      <c r="A19" s="89" t="s">
        <v>105</v>
      </c>
      <c r="B19" s="90"/>
      <c r="C19" s="91" t="s">
        <v>106</v>
      </c>
      <c r="D19" s="92" t="s">
        <v>107</v>
      </c>
      <c r="E19" s="1"/>
      <c r="F19" s="93"/>
      <c r="H19"/>
      <c r="I19"/>
      <c r="J19"/>
      <c r="K19"/>
    </row>
    <row r="20" spans="1:11" s="84" customFormat="1" ht="23.25" thickTop="1" thickBot="1" x14ac:dyDescent="0.3">
      <c r="A20" s="94" t="s">
        <v>53</v>
      </c>
      <c r="B20" s="95"/>
      <c r="C20" s="73"/>
      <c r="D20" s="111"/>
      <c r="E20" s="83"/>
      <c r="F20" s="83"/>
      <c r="H20"/>
      <c r="I20"/>
      <c r="J20"/>
      <c r="K20"/>
    </row>
    <row r="21" spans="1:11" s="84" customFormat="1" ht="23.25" thickTop="1" thickBot="1" x14ac:dyDescent="0.3">
      <c r="A21" s="94" t="s">
        <v>54</v>
      </c>
      <c r="B21" s="95"/>
      <c r="C21" s="73"/>
      <c r="D21" s="111"/>
      <c r="E21" s="1"/>
      <c r="F21" s="1"/>
      <c r="H21"/>
      <c r="I21"/>
      <c r="J21"/>
      <c r="K21"/>
    </row>
    <row r="22" spans="1:11" s="84" customFormat="1" ht="23.25" thickTop="1" thickBot="1" x14ac:dyDescent="0.3">
      <c r="A22" s="94" t="s">
        <v>55</v>
      </c>
      <c r="B22" s="95"/>
      <c r="C22" s="73"/>
      <c r="D22" s="111"/>
      <c r="E22" s="1"/>
      <c r="F22" s="1"/>
      <c r="H22"/>
      <c r="I22"/>
      <c r="J22"/>
      <c r="K22"/>
    </row>
    <row r="23" spans="1:11" s="84" customFormat="1" ht="23.25" thickTop="1" thickBot="1" x14ac:dyDescent="0.3">
      <c r="A23" s="94" t="s">
        <v>56</v>
      </c>
      <c r="B23" s="95"/>
      <c r="C23" s="73"/>
      <c r="D23" s="111"/>
      <c r="E23" s="1"/>
      <c r="F23" s="1"/>
      <c r="H23"/>
      <c r="I23"/>
      <c r="J23"/>
      <c r="K23"/>
    </row>
    <row r="24" spans="1:11" s="84" customFormat="1" ht="23.25" thickTop="1" thickBot="1" x14ac:dyDescent="0.3">
      <c r="A24" s="94" t="s">
        <v>57</v>
      </c>
      <c r="B24" s="95"/>
      <c r="C24" s="73"/>
      <c r="D24" s="111"/>
      <c r="E24" s="1"/>
      <c r="F24" s="1"/>
      <c r="H24"/>
      <c r="I24"/>
      <c r="J24"/>
      <c r="K24"/>
    </row>
    <row r="25" spans="1:11" s="84" customFormat="1" ht="23.25" thickTop="1" thickBot="1" x14ac:dyDescent="0.3">
      <c r="A25" s="94" t="s">
        <v>58</v>
      </c>
      <c r="B25" s="95"/>
      <c r="C25" s="73"/>
      <c r="D25" s="111"/>
      <c r="E25" s="1"/>
      <c r="F25" s="1"/>
      <c r="H25"/>
      <c r="I25"/>
      <c r="J25"/>
      <c r="K25"/>
    </row>
    <row r="26" spans="1:11" s="84" customFormat="1" ht="23.25" thickTop="1" thickBot="1" x14ac:dyDescent="0.3">
      <c r="A26" s="94" t="s">
        <v>59</v>
      </c>
      <c r="B26" s="95"/>
      <c r="C26" s="73"/>
      <c r="D26" s="111"/>
      <c r="E26" s="1"/>
      <c r="F26" s="1"/>
      <c r="H26"/>
      <c r="I26"/>
      <c r="J26"/>
      <c r="K26"/>
    </row>
    <row r="27" spans="1:11" s="84" customFormat="1" ht="23.25" thickTop="1" thickBot="1" x14ac:dyDescent="0.3">
      <c r="A27" s="94" t="s">
        <v>60</v>
      </c>
      <c r="B27" s="95"/>
      <c r="C27" s="73"/>
      <c r="D27" s="111"/>
      <c r="E27" s="1"/>
      <c r="F27" s="1"/>
      <c r="H27"/>
      <c r="I27"/>
      <c r="J27"/>
      <c r="K27"/>
    </row>
    <row r="28" spans="1:11" s="84" customFormat="1" ht="23.25" thickTop="1" thickBot="1" x14ac:dyDescent="0.3">
      <c r="A28" s="94" t="s">
        <v>61</v>
      </c>
      <c r="B28" s="95"/>
      <c r="C28" s="73"/>
      <c r="D28" s="111"/>
      <c r="E28" s="1"/>
      <c r="F28" s="1"/>
      <c r="H28"/>
      <c r="I28"/>
      <c r="J28"/>
      <c r="K28"/>
    </row>
    <row r="29" spans="1:11" s="84" customFormat="1" ht="23.25" thickTop="1" thickBot="1" x14ac:dyDescent="0.3">
      <c r="A29" s="94" t="s">
        <v>62</v>
      </c>
      <c r="B29" s="95"/>
      <c r="C29" s="73"/>
      <c r="D29" s="111"/>
      <c r="E29" s="1"/>
      <c r="F29" s="1"/>
      <c r="H29"/>
      <c r="I29"/>
      <c r="J29"/>
      <c r="K29"/>
    </row>
    <row r="30" spans="1:11" s="84" customFormat="1" ht="23.25" thickTop="1" thickBot="1" x14ac:dyDescent="0.3">
      <c r="A30" s="94" t="s">
        <v>63</v>
      </c>
      <c r="B30" s="95"/>
      <c r="C30" s="73"/>
      <c r="D30" s="111"/>
      <c r="E30" s="1"/>
      <c r="F30" s="1"/>
      <c r="H30"/>
      <c r="I30"/>
      <c r="J30"/>
      <c r="K30"/>
    </row>
    <row r="31" spans="1:11" s="84" customFormat="1" ht="23.25" thickTop="1" thickBot="1" x14ac:dyDescent="0.3">
      <c r="A31" s="94" t="s">
        <v>62</v>
      </c>
      <c r="B31" s="95"/>
      <c r="C31" s="73"/>
      <c r="D31" s="111"/>
      <c r="E31" s="1"/>
      <c r="F31" s="1"/>
      <c r="H31"/>
      <c r="I31"/>
      <c r="J31"/>
      <c r="K31"/>
    </row>
    <row r="32" spans="1:11" s="84" customFormat="1" ht="23.25" thickTop="1" thickBot="1" x14ac:dyDescent="0.3">
      <c r="A32" s="94" t="s">
        <v>64</v>
      </c>
      <c r="B32" s="95"/>
      <c r="C32" s="73"/>
      <c r="D32" s="111"/>
      <c r="E32" s="1"/>
      <c r="F32" s="1"/>
      <c r="H32"/>
      <c r="I32"/>
      <c r="J32"/>
      <c r="K32"/>
    </row>
    <row r="33" spans="1:7" ht="23.25" thickTop="1" thickBot="1" x14ac:dyDescent="0.3">
      <c r="A33" s="94" t="s">
        <v>65</v>
      </c>
      <c r="B33" s="95"/>
      <c r="C33" s="73"/>
      <c r="D33" s="111"/>
    </row>
    <row r="34" spans="1:7" ht="23.25" thickTop="1" thickBot="1" x14ac:dyDescent="0.3">
      <c r="A34" s="94" t="s">
        <v>66</v>
      </c>
      <c r="B34" s="95"/>
      <c r="C34" s="73"/>
      <c r="D34" s="111"/>
    </row>
    <row r="35" spans="1:7" ht="23.25" thickTop="1" thickBot="1" x14ac:dyDescent="0.3">
      <c r="A35" s="96" t="s">
        <v>67</v>
      </c>
      <c r="B35" s="97"/>
      <c r="C35" s="112">
        <f>SUM(C20:C34)</f>
        <v>0</v>
      </c>
      <c r="D35" s="112">
        <f>SUM(D20:D34)</f>
        <v>0</v>
      </c>
    </row>
    <row r="36" spans="1:7" ht="19.5" thickTop="1" x14ac:dyDescent="0.25">
      <c r="A36" s="1"/>
      <c r="B36" s="1"/>
      <c r="C36" s="1"/>
      <c r="D36" s="98"/>
    </row>
    <row r="37" spans="1:7" ht="15" x14ac:dyDescent="0.25">
      <c r="A37" s="1"/>
      <c r="B37" s="1"/>
      <c r="C37" s="1"/>
      <c r="D37" s="1"/>
      <c r="G37" s="1"/>
    </row>
    <row r="38" spans="1:7" ht="15" x14ac:dyDescent="0.25">
      <c r="A38" s="1"/>
      <c r="B38" s="1"/>
      <c r="C38" s="1"/>
      <c r="D38" s="1"/>
      <c r="G38" s="1"/>
    </row>
    <row r="39" spans="1:7" ht="15" x14ac:dyDescent="0.25">
      <c r="A39" s="1"/>
      <c r="B39" s="1"/>
      <c r="C39" s="1"/>
      <c r="D39" s="1"/>
      <c r="G39" s="1"/>
    </row>
    <row r="40" spans="1:7" ht="15" x14ac:dyDescent="0.25">
      <c r="A40" s="1"/>
      <c r="B40" s="1"/>
      <c r="C40" s="1"/>
      <c r="D40" s="1"/>
      <c r="G40" s="1"/>
    </row>
    <row r="41" spans="1:7" ht="15" x14ac:dyDescent="0.25">
      <c r="A41" s="1"/>
      <c r="B41" s="1"/>
      <c r="C41" s="1"/>
      <c r="D41" s="1"/>
      <c r="G41" s="1"/>
    </row>
    <row r="42" spans="1:7" ht="15" x14ac:dyDescent="0.25">
      <c r="A42" s="1"/>
      <c r="B42" s="1"/>
      <c r="C42" s="1"/>
      <c r="D42" s="1"/>
      <c r="G42" s="1"/>
    </row>
    <row r="43" spans="1:7" ht="15" x14ac:dyDescent="0.25">
      <c r="A43" s="1"/>
      <c r="B43" s="1"/>
      <c r="C43" s="1"/>
      <c r="D43" s="1"/>
      <c r="G43" s="1"/>
    </row>
    <row r="44" spans="1:7" ht="15" x14ac:dyDescent="0.25">
      <c r="A44" s="1"/>
      <c r="B44" s="1"/>
      <c r="C44" s="1"/>
      <c r="D44" s="1"/>
      <c r="G44" s="1"/>
    </row>
    <row r="45" spans="1:7" ht="15" x14ac:dyDescent="0.25">
      <c r="A45" s="1"/>
      <c r="B45" s="1"/>
      <c r="C45" s="1"/>
      <c r="D45" s="1"/>
      <c r="G45" s="1"/>
    </row>
    <row r="46" spans="1:7" ht="15" x14ac:dyDescent="0.25">
      <c r="A46" s="1"/>
      <c r="B46" s="1"/>
      <c r="C46" s="1"/>
      <c r="D46" s="1"/>
      <c r="G46" s="1"/>
    </row>
    <row r="47" spans="1:7" ht="15" x14ac:dyDescent="0.25">
      <c r="A47" s="1"/>
      <c r="B47" s="1"/>
      <c r="C47" s="1"/>
      <c r="D47" s="1"/>
      <c r="G47" s="1"/>
    </row>
  </sheetData>
  <mergeCells count="22"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:D1"/>
    <mergeCell ref="A5:D5"/>
    <mergeCell ref="A6:D6"/>
    <mergeCell ref="A17:D17"/>
    <mergeCell ref="A18:D18"/>
    <mergeCell ref="A19:B19"/>
  </mergeCells>
  <dataValidations count="7">
    <dataValidation type="date" allowBlank="1" showInputMessage="1" showErrorMessage="1" prompt="يجب كتابة الشهر ثم اليوم ثم السنة._x000a_مثال: 06/21/2026" sqref="D4" xr:uid="{6D0CAE76-9642-4A53-833C-4183E2620D48}">
      <formula1>46163</formula1>
      <formula2>51471</formula2>
    </dataValidation>
    <dataValidation operator="greaterThan" allowBlank="1" showInputMessage="1" showErrorMessage="1" sqref="B8" xr:uid="{2029A7BE-5D9F-405A-A76E-E6EEBDC9C96E}"/>
    <dataValidation type="date" operator="notEqual" allowBlank="1" showInputMessage="1" showErrorMessage="1" prompt="ملاحظة: الادخال بالتاريخ _x000a_mm/dd/yyyy" sqref="D2" xr:uid="{E9DD75A3-B659-4D54-9EEE-C8E78261B2CC}">
      <formula1>46023</formula1>
    </dataValidation>
    <dataValidation type="custom" operator="notEqual" allowBlank="1" showInputMessage="1" showErrorMessage="1" errorTitle="خطأ" error="_x000a_ الخلية لا تقبل ارقام " prompt="ملاحظة: الادخال نص" sqref="B9:B10 B2" xr:uid="{5A2A70F7-B47B-4A6A-BD21-921311A8C6AD}">
      <formula1>ISTEXT(B2)</formula1>
    </dataValidation>
    <dataValidation type="textLength" operator="greaterThan" allowBlank="1" showInputMessage="1" showErrorMessage="1" error=" الخلية لا تقبل ارقام " prompt="ملاحظة: الادخال نص" sqref="B13:B16" xr:uid="{B4AF119B-104B-49B0-9E0B-F72F95796EB9}">
      <formula1>3</formula1>
    </dataValidation>
    <dataValidation type="custom" operator="notEqual" allowBlank="1" showInputMessage="1" showErrorMessage="1" error=" الخلية لا تقبل نص " prompt="ملاحظة: الادخال ارقام" sqref="D7:D10" xr:uid="{98EC7878-F074-43C6-AC10-7E8F0503EE76}">
      <formula1>ISNUMBER(D7)</formula1>
    </dataValidation>
    <dataValidation type="custom" operator="notEqual" allowBlank="1" showInputMessage="1" showErrorMessage="1" error=" الخلية لا تقبل نص " prompt="ملاحظة: ادخال ارقام" sqref="D13:D16 C20:D34" xr:uid="{A0B33874-C7EA-4848-BBB2-0D7922B8715B}">
      <formula1>ISNUMBER(C13)</formula1>
    </dataValidation>
  </dataValidations>
  <pageMargins left="0.7" right="0.7" top="1.25" bottom="0.75" header="0.3" footer="0.3"/>
  <pageSetup scale="44" orientation="portrait" r:id="rId1"/>
  <headerFooter>
    <oddHeader>&amp;C&amp;G</oddHeader>
    <oddFooter>&amp;C&amp;G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90A9-14D9-44BD-B50E-C280E77E546C}">
  <dimension ref="A1:L18"/>
  <sheetViews>
    <sheetView rightToLeft="1" view="pageLayout" zoomScale="55" zoomScaleNormal="100" zoomScalePageLayoutView="55" workbookViewId="0">
      <selection activeCell="G187" sqref="G187"/>
    </sheetView>
  </sheetViews>
  <sheetFormatPr defaultRowHeight="15" x14ac:dyDescent="0.25"/>
  <cols>
    <col min="1" max="1" width="6.85546875" bestFit="1" customWidth="1"/>
    <col min="2" max="2" width="15.140625" customWidth="1"/>
    <col min="3" max="3" width="12.28515625" bestFit="1" customWidth="1"/>
    <col min="4" max="4" width="24.28515625" bestFit="1" customWidth="1"/>
    <col min="5" max="5" width="19.28515625" bestFit="1" customWidth="1"/>
    <col min="6" max="6" width="21.140625" bestFit="1" customWidth="1"/>
    <col min="7" max="7" width="41.28515625" bestFit="1" customWidth="1"/>
    <col min="8" max="8" width="38" customWidth="1"/>
    <col min="9" max="9" width="18.42578125" bestFit="1" customWidth="1"/>
    <col min="10" max="10" width="24.7109375" bestFit="1" customWidth="1"/>
    <col min="11" max="11" width="18.28515625" bestFit="1" customWidth="1"/>
    <col min="12" max="12" width="14.5703125" bestFit="1" customWidth="1"/>
  </cols>
  <sheetData>
    <row r="1" spans="1:12" ht="23.25" thickTop="1" thickBot="1" x14ac:dyDescent="0.3">
      <c r="A1" s="5" t="s">
        <v>136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45" thickTop="1" thickBot="1" x14ac:dyDescent="0.3">
      <c r="A2" s="156" t="s">
        <v>137</v>
      </c>
      <c r="B2" s="157" t="s">
        <v>138</v>
      </c>
      <c r="C2" s="216" t="s">
        <v>139</v>
      </c>
      <c r="D2" s="216" t="s">
        <v>140</v>
      </c>
      <c r="E2" s="216" t="s">
        <v>141</v>
      </c>
      <c r="F2" s="216" t="s">
        <v>142</v>
      </c>
      <c r="G2" s="216" t="s">
        <v>143</v>
      </c>
      <c r="H2" s="216" t="s">
        <v>144</v>
      </c>
      <c r="I2" s="216" t="s">
        <v>145</v>
      </c>
      <c r="J2" s="216" t="s">
        <v>146</v>
      </c>
      <c r="K2" s="216" t="s">
        <v>147</v>
      </c>
      <c r="L2" s="216" t="s">
        <v>4</v>
      </c>
    </row>
    <row r="3" spans="1:12" ht="23.25" thickTop="1" thickBot="1" x14ac:dyDescent="0.55000000000000004">
      <c r="A3" s="158">
        <v>1</v>
      </c>
      <c r="B3" s="158"/>
      <c r="C3" s="158"/>
      <c r="D3" s="159"/>
      <c r="E3" s="160"/>
      <c r="F3" s="212"/>
      <c r="G3" s="158"/>
      <c r="H3" s="213"/>
      <c r="I3" s="213"/>
      <c r="J3" s="214"/>
      <c r="K3" s="214"/>
      <c r="L3" s="161"/>
    </row>
    <row r="4" spans="1:12" ht="23.25" thickTop="1" thickBot="1" x14ac:dyDescent="0.55000000000000004">
      <c r="A4" s="158">
        <v>2</v>
      </c>
      <c r="B4" s="158"/>
      <c r="C4" s="158"/>
      <c r="D4" s="159"/>
      <c r="E4" s="160"/>
      <c r="F4" s="212"/>
      <c r="G4" s="158"/>
      <c r="H4" s="213"/>
      <c r="I4" s="213"/>
      <c r="J4" s="214"/>
      <c r="K4" s="214"/>
      <c r="L4" s="161"/>
    </row>
    <row r="5" spans="1:12" ht="23.25" thickTop="1" thickBot="1" x14ac:dyDescent="0.55000000000000004">
      <c r="A5" s="158">
        <v>3</v>
      </c>
      <c r="B5" s="158"/>
      <c r="C5" s="158"/>
      <c r="D5" s="159"/>
      <c r="E5" s="160"/>
      <c r="F5" s="212"/>
      <c r="G5" s="158"/>
      <c r="H5" s="213"/>
      <c r="I5" s="213"/>
      <c r="J5" s="214"/>
      <c r="K5" s="214"/>
      <c r="L5" s="161"/>
    </row>
    <row r="6" spans="1:12" ht="23.25" thickTop="1" thickBot="1" x14ac:dyDescent="0.55000000000000004">
      <c r="A6" s="158">
        <v>4</v>
      </c>
      <c r="B6" s="158"/>
      <c r="C6" s="158"/>
      <c r="D6" s="159"/>
      <c r="E6" s="160"/>
      <c r="F6" s="212"/>
      <c r="G6" s="158"/>
      <c r="H6" s="213"/>
      <c r="I6" s="213"/>
      <c r="J6" s="214"/>
      <c r="K6" s="214"/>
      <c r="L6" s="161"/>
    </row>
    <row r="7" spans="1:12" ht="23.25" thickTop="1" thickBot="1" x14ac:dyDescent="0.55000000000000004">
      <c r="A7" s="158">
        <v>5</v>
      </c>
      <c r="B7" s="158"/>
      <c r="C7" s="158"/>
      <c r="D7" s="159"/>
      <c r="E7" s="160"/>
      <c r="F7" s="212"/>
      <c r="G7" s="158"/>
      <c r="H7" s="213"/>
      <c r="I7" s="213"/>
      <c r="J7" s="214"/>
      <c r="K7" s="214"/>
      <c r="L7" s="161"/>
    </row>
    <row r="8" spans="1:12" ht="23.25" thickTop="1" thickBot="1" x14ac:dyDescent="0.55000000000000004">
      <c r="A8" s="158">
        <v>6</v>
      </c>
      <c r="B8" s="158"/>
      <c r="C8" s="158"/>
      <c r="D8" s="159"/>
      <c r="E8" s="160"/>
      <c r="F8" s="212"/>
      <c r="G8" s="158"/>
      <c r="H8" s="213"/>
      <c r="I8" s="213"/>
      <c r="J8" s="214"/>
      <c r="K8" s="214"/>
      <c r="L8" s="161"/>
    </row>
    <row r="9" spans="1:12" ht="23.25" thickTop="1" thickBot="1" x14ac:dyDescent="0.55000000000000004">
      <c r="A9" s="158">
        <v>7</v>
      </c>
      <c r="B9" s="158"/>
      <c r="C9" s="158"/>
      <c r="D9" s="159"/>
      <c r="E9" s="160"/>
      <c r="F9" s="212"/>
      <c r="G9" s="158"/>
      <c r="H9" s="213"/>
      <c r="I9" s="213"/>
      <c r="J9" s="214"/>
      <c r="K9" s="214"/>
      <c r="L9" s="161"/>
    </row>
    <row r="10" spans="1:12" ht="23.25" thickTop="1" thickBot="1" x14ac:dyDescent="0.55000000000000004">
      <c r="A10" s="158">
        <v>8</v>
      </c>
      <c r="B10" s="158"/>
      <c r="C10" s="158"/>
      <c r="D10" s="159"/>
      <c r="E10" s="160"/>
      <c r="F10" s="212"/>
      <c r="G10" s="158"/>
      <c r="H10" s="213"/>
      <c r="I10" s="213"/>
      <c r="J10" s="214"/>
      <c r="K10" s="214"/>
      <c r="L10" s="161"/>
    </row>
    <row r="11" spans="1:12" ht="23.25" thickTop="1" thickBot="1" x14ac:dyDescent="0.55000000000000004">
      <c r="A11" s="158">
        <v>9</v>
      </c>
      <c r="B11" s="158"/>
      <c r="C11" s="158"/>
      <c r="D11" s="159"/>
      <c r="E11" s="160"/>
      <c r="F11" s="212"/>
      <c r="G11" s="158"/>
      <c r="H11" s="213"/>
      <c r="I11" s="213"/>
      <c r="J11" s="214"/>
      <c r="K11" s="214"/>
      <c r="L11" s="161"/>
    </row>
    <row r="12" spans="1:12" ht="23.25" thickTop="1" thickBot="1" x14ac:dyDescent="0.55000000000000004">
      <c r="A12" s="158">
        <v>10</v>
      </c>
      <c r="B12" s="158"/>
      <c r="C12" s="158"/>
      <c r="D12" s="159"/>
      <c r="E12" s="160"/>
      <c r="F12" s="212"/>
      <c r="G12" s="158"/>
      <c r="H12" s="213"/>
      <c r="I12" s="213"/>
      <c r="J12" s="214"/>
      <c r="K12" s="214"/>
      <c r="L12" s="161"/>
    </row>
    <row r="13" spans="1:12" ht="23.25" thickTop="1" thickBot="1" x14ac:dyDescent="0.55000000000000004">
      <c r="A13" s="158">
        <v>11</v>
      </c>
      <c r="B13" s="158"/>
      <c r="C13" s="158"/>
      <c r="D13" s="159"/>
      <c r="E13" s="160"/>
      <c r="F13" s="212"/>
      <c r="G13" s="158"/>
      <c r="H13" s="213"/>
      <c r="I13" s="213"/>
      <c r="J13" s="214"/>
      <c r="K13" s="214"/>
      <c r="L13" s="161"/>
    </row>
    <row r="14" spans="1:12" ht="23.25" thickTop="1" thickBot="1" x14ac:dyDescent="0.55000000000000004">
      <c r="A14" s="158">
        <v>12</v>
      </c>
      <c r="B14" s="158"/>
      <c r="C14" s="158"/>
      <c r="D14" s="159"/>
      <c r="E14" s="160"/>
      <c r="F14" s="212"/>
      <c r="G14" s="158"/>
      <c r="H14" s="213"/>
      <c r="I14" s="213"/>
      <c r="J14" s="214"/>
      <c r="K14" s="214"/>
      <c r="L14" s="161"/>
    </row>
    <row r="15" spans="1:12" ht="23.25" thickTop="1" thickBot="1" x14ac:dyDescent="0.55000000000000004">
      <c r="A15" s="158">
        <v>13</v>
      </c>
      <c r="B15" s="158"/>
      <c r="C15" s="158"/>
      <c r="D15" s="159"/>
      <c r="E15" s="160"/>
      <c r="F15" s="212"/>
      <c r="G15" s="158"/>
      <c r="H15" s="213"/>
      <c r="I15" s="213"/>
      <c r="J15" s="214"/>
      <c r="K15" s="214"/>
      <c r="L15" s="161"/>
    </row>
    <row r="16" spans="1:12" ht="23.25" thickTop="1" thickBot="1" x14ac:dyDescent="0.55000000000000004">
      <c r="A16" s="158">
        <v>14</v>
      </c>
      <c r="B16" s="158"/>
      <c r="C16" s="158"/>
      <c r="D16" s="159"/>
      <c r="E16" s="160"/>
      <c r="F16" s="212"/>
      <c r="G16" s="158"/>
      <c r="H16" s="213"/>
      <c r="I16" s="213"/>
      <c r="J16" s="214"/>
      <c r="K16" s="214"/>
      <c r="L16" s="161"/>
    </row>
    <row r="17" spans="1:12" ht="23.25" thickTop="1" thickBot="1" x14ac:dyDescent="0.3">
      <c r="A17" s="162" t="s">
        <v>67</v>
      </c>
      <c r="B17" s="162"/>
      <c r="C17" s="162"/>
      <c r="D17" s="162"/>
      <c r="E17" s="162"/>
      <c r="F17" s="215"/>
      <c r="G17" s="215"/>
      <c r="H17" s="215"/>
      <c r="I17" s="215"/>
      <c r="J17" s="215"/>
      <c r="K17" s="215"/>
      <c r="L17" s="163">
        <f>SUBTOTAL(109,L3:L16)</f>
        <v>0</v>
      </c>
    </row>
    <row r="18" spans="1:12" ht="15.75" thickTop="1" x14ac:dyDescent="0.25"/>
  </sheetData>
  <mergeCells count="1">
    <mergeCell ref="A1:L1"/>
  </mergeCells>
  <dataValidations disablePrompts="1" count="3">
    <dataValidation type="custom" operator="notEqual" allowBlank="1" showInputMessage="1" showErrorMessage="1" error=" الخلية لا تقبل نص " prompt="ملاحظة: ادخال ارقام" sqref="L3:L16" xr:uid="{FF85D79E-781B-4284-A9EB-D26B4883E717}">
      <formula1>ISNUMBER(L3)</formula1>
    </dataValidation>
    <dataValidation type="date" allowBlank="1" showInputMessage="1" showErrorMessage="1" error=" الخلية لا تقبل نص او ارقام" prompt="مثال على الادخال : mm/dd/yyyy" sqref="J3:K16 E3:E16" xr:uid="{4EA25A10-C113-445F-83EC-AC10230A8793}">
      <formula1>42370</formula1>
      <formula2>51136</formula2>
    </dataValidation>
    <dataValidation type="custom" allowBlank="1" showInputMessage="1" showErrorMessage="1" error=" الخلية لا تقبل نص " prompt="ملاحظة: الادخال ارقام" sqref="D3:D16" xr:uid="{177B96E8-C9E5-4BFB-9B2F-A72550BFFDB5}">
      <formula1>ISNUMBER(D3)</formula1>
    </dataValidation>
  </dataValidations>
  <pageMargins left="0.7" right="0.7" top="0.75" bottom="0.75" header="0.3" footer="0.3"/>
  <pageSetup scale="22" orientation="portrait" r:id="rId1"/>
  <headerFooter>
    <oddHeader>&amp;C&amp;G</oddHeader>
    <oddFooter>&amp;C&amp;G</oddFooter>
  </headerFooter>
  <legacyDrawingHF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B3C50022-270D-4A74-8D4A-E4C633789B40}">
          <x14:formula1>
            <xm:f>Sheet1!$F$7:$F$14</xm:f>
          </x14:formula1>
          <xm:sqref>G3</xm:sqref>
        </x14:dataValidation>
        <x14:dataValidation type="list" allowBlank="1" showInputMessage="1" showErrorMessage="1" xr:uid="{6EC92678-937B-47C8-A690-38CFB52F65B2}">
          <x14:formula1>
            <xm:f>Sheet1!$H$7:$H$9</xm:f>
          </x14:formula1>
          <xm:sqref>B3</xm:sqref>
        </x14:dataValidation>
        <x14:dataValidation type="list" allowBlank="1" showInputMessage="1" showErrorMessage="1" xr:uid="{3D93D437-872D-4A49-AF0C-641075281ED5}">
          <x14:formula1>
            <xm:f>Sheet1!$R$8:$R$9</xm:f>
          </x14:formula1>
          <xm:sqref>I3</xm:sqref>
        </x14:dataValidation>
        <x14:dataValidation type="list" allowBlank="1" showInputMessage="1" showErrorMessage="1" xr:uid="{A366CCFD-58EE-4FD6-95A8-DA9F4625AC72}">
          <x14:formula1>
            <xm:f>Sheet1!$D$7:$D$11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2DEE-F241-4949-8319-BF5E028AD8FE}">
  <dimension ref="A6:U1296"/>
  <sheetViews>
    <sheetView rightToLeft="1" workbookViewId="0">
      <selection activeCell="O8" sqref="O8"/>
    </sheetView>
  </sheetViews>
  <sheetFormatPr defaultRowHeight="15" x14ac:dyDescent="0.25"/>
  <cols>
    <col min="4" max="4" width="19.28515625" bestFit="1" customWidth="1"/>
    <col min="6" max="6" width="16.42578125" bestFit="1" customWidth="1"/>
    <col min="8" max="8" width="18.5703125" bestFit="1" customWidth="1"/>
    <col min="10" max="10" width="8.5703125" bestFit="1" customWidth="1"/>
    <col min="15" max="15" width="16.85546875" bestFit="1" customWidth="1"/>
  </cols>
  <sheetData>
    <row r="6" spans="1:21" ht="44.25" thickBot="1" x14ac:dyDescent="0.3">
      <c r="A6" s="198" t="s">
        <v>173</v>
      </c>
      <c r="B6" s="198" t="s">
        <v>174</v>
      </c>
      <c r="D6" s="199" t="s">
        <v>175</v>
      </c>
      <c r="F6" s="198" t="s">
        <v>143</v>
      </c>
      <c r="H6" s="200" t="s">
        <v>138</v>
      </c>
    </row>
    <row r="7" spans="1:21" ht="110.25" thickTop="1" thickBot="1" x14ac:dyDescent="0.3">
      <c r="A7" s="201" t="s">
        <v>176</v>
      </c>
      <c r="B7" s="202">
        <v>3</v>
      </c>
      <c r="D7" s="203" t="s">
        <v>177</v>
      </c>
      <c r="F7" s="201" t="s">
        <v>178</v>
      </c>
      <c r="H7" t="s">
        <v>179</v>
      </c>
      <c r="J7" s="198" t="s">
        <v>180</v>
      </c>
      <c r="K7" s="198" t="s">
        <v>181</v>
      </c>
      <c r="L7" s="198" t="s">
        <v>182</v>
      </c>
      <c r="O7" s="204" t="s">
        <v>183</v>
      </c>
      <c r="R7" s="204" t="s">
        <v>145</v>
      </c>
      <c r="T7" s="204" t="s">
        <v>184</v>
      </c>
      <c r="U7" s="204" t="s">
        <v>185</v>
      </c>
    </row>
    <row r="8" spans="1:21" ht="23.25" thickTop="1" thickBot="1" x14ac:dyDescent="0.3">
      <c r="A8" s="201" t="s">
        <v>186</v>
      </c>
      <c r="B8" s="205">
        <v>4</v>
      </c>
      <c r="D8" s="203" t="s">
        <v>187</v>
      </c>
      <c r="F8" s="201" t="s">
        <v>188</v>
      </c>
      <c r="H8" t="s">
        <v>189</v>
      </c>
      <c r="J8" s="206">
        <f>'[1](1) البيانات الاساسية'!D9-'[1](3) العمليات المالية'!B9</f>
        <v>50000</v>
      </c>
      <c r="K8" s="207">
        <f>J8*20%</f>
        <v>10000</v>
      </c>
      <c r="L8" s="207">
        <f>'[1](4) وحدات المشروع'!F51*4%</f>
        <v>5000</v>
      </c>
      <c r="O8" s="201" t="s">
        <v>92</v>
      </c>
      <c r="R8" s="201" t="s">
        <v>150</v>
      </c>
      <c r="T8" s="201">
        <f>'[1](3) العمليات المالية'!D9*4%</f>
        <v>0</v>
      </c>
      <c r="U8" s="201">
        <f>('[1](1) البيانات الاساسية'!D9*5%)</f>
        <v>5000</v>
      </c>
    </row>
    <row r="9" spans="1:21" ht="23.25" thickTop="1" thickBot="1" x14ac:dyDescent="0.3">
      <c r="A9" s="201" t="s">
        <v>190</v>
      </c>
      <c r="B9" s="202">
        <v>5</v>
      </c>
      <c r="D9" s="203" t="s">
        <v>191</v>
      </c>
      <c r="F9" s="201" t="s">
        <v>192</v>
      </c>
      <c r="H9" t="s">
        <v>193</v>
      </c>
      <c r="O9" s="201" t="s">
        <v>194</v>
      </c>
      <c r="R9" s="201" t="s">
        <v>149</v>
      </c>
    </row>
    <row r="10" spans="1:21" ht="23.25" thickTop="1" thickBot="1" x14ac:dyDescent="0.3">
      <c r="A10" s="201" t="s">
        <v>195</v>
      </c>
      <c r="B10" s="205">
        <v>7</v>
      </c>
      <c r="D10" s="203" t="s">
        <v>196</v>
      </c>
      <c r="F10" s="201" t="s">
        <v>197</v>
      </c>
      <c r="O10" s="201" t="s">
        <v>198</v>
      </c>
    </row>
    <row r="11" spans="1:21" ht="23.25" thickTop="1" thickBot="1" x14ac:dyDescent="0.3">
      <c r="B11" s="202">
        <v>8</v>
      </c>
      <c r="D11" s="208" t="s">
        <v>199</v>
      </c>
      <c r="F11" s="201" t="s">
        <v>200</v>
      </c>
      <c r="O11" s="201" t="s">
        <v>201</v>
      </c>
    </row>
    <row r="12" spans="1:21" ht="23.25" thickTop="1" thickBot="1" x14ac:dyDescent="0.3">
      <c r="B12" s="205">
        <v>9</v>
      </c>
      <c r="F12" s="201" t="s">
        <v>114</v>
      </c>
      <c r="O12" s="201" t="s">
        <v>202</v>
      </c>
    </row>
    <row r="13" spans="1:21" ht="23.25" thickTop="1" thickBot="1" x14ac:dyDescent="0.3">
      <c r="B13" s="202">
        <v>10</v>
      </c>
      <c r="F13" s="201" t="s">
        <v>115</v>
      </c>
      <c r="O13" s="201" t="s">
        <v>203</v>
      </c>
    </row>
    <row r="14" spans="1:21" ht="66.75" thickTop="1" thickBot="1" x14ac:dyDescent="0.3">
      <c r="B14" s="205">
        <v>11</v>
      </c>
      <c r="F14" s="209" t="s">
        <v>148</v>
      </c>
      <c r="O14" s="201" t="s">
        <v>204</v>
      </c>
    </row>
    <row r="15" spans="1:21" ht="23.25" thickTop="1" thickBot="1" x14ac:dyDescent="0.3">
      <c r="B15" s="202">
        <v>12</v>
      </c>
      <c r="O15" s="201" t="s">
        <v>205</v>
      </c>
    </row>
    <row r="16" spans="1:21" ht="23.25" thickTop="1" thickBot="1" x14ac:dyDescent="0.3">
      <c r="B16" s="205">
        <v>13</v>
      </c>
      <c r="O16" s="201" t="s">
        <v>206</v>
      </c>
    </row>
    <row r="17" spans="2:15" ht="23.25" thickTop="1" thickBot="1" x14ac:dyDescent="0.3">
      <c r="B17" s="202">
        <v>17</v>
      </c>
      <c r="O17" s="201" t="s">
        <v>207</v>
      </c>
    </row>
    <row r="18" spans="2:15" ht="23.25" thickTop="1" thickBot="1" x14ac:dyDescent="0.3">
      <c r="B18" s="205">
        <v>14</v>
      </c>
      <c r="O18" s="201" t="s">
        <v>208</v>
      </c>
    </row>
    <row r="19" spans="2:15" ht="23.25" thickTop="1" thickBot="1" x14ac:dyDescent="0.3">
      <c r="B19" s="202">
        <v>18</v>
      </c>
      <c r="O19" s="201" t="s">
        <v>209</v>
      </c>
    </row>
    <row r="20" spans="2:15" ht="19.5" thickTop="1" x14ac:dyDescent="0.25">
      <c r="B20" s="205">
        <v>20</v>
      </c>
    </row>
    <row r="21" spans="2:15" ht="18.75" x14ac:dyDescent="0.25">
      <c r="B21" s="202">
        <v>23</v>
      </c>
    </row>
    <row r="22" spans="2:15" ht="18.75" x14ac:dyDescent="0.25">
      <c r="B22" s="205">
        <v>24</v>
      </c>
    </row>
    <row r="23" spans="2:15" ht="18.75" x14ac:dyDescent="0.25">
      <c r="B23" s="202">
        <v>25</v>
      </c>
    </row>
    <row r="24" spans="2:15" ht="18.75" x14ac:dyDescent="0.25">
      <c r="B24" s="205">
        <v>26</v>
      </c>
    </row>
    <row r="25" spans="2:15" ht="18.75" x14ac:dyDescent="0.25">
      <c r="B25" s="202">
        <v>27</v>
      </c>
    </row>
    <row r="26" spans="2:15" ht="18.75" x14ac:dyDescent="0.25">
      <c r="B26" s="205">
        <v>28</v>
      </c>
    </row>
    <row r="27" spans="2:15" ht="18.75" x14ac:dyDescent="0.25">
      <c r="B27" s="202">
        <v>29</v>
      </c>
    </row>
    <row r="28" spans="2:15" ht="18.75" x14ac:dyDescent="0.25">
      <c r="B28" s="205">
        <v>19</v>
      </c>
    </row>
    <row r="29" spans="2:15" ht="18.75" x14ac:dyDescent="0.25">
      <c r="B29" s="202">
        <v>30</v>
      </c>
    </row>
    <row r="30" spans="2:15" ht="18.75" x14ac:dyDescent="0.25">
      <c r="B30" s="205">
        <v>31</v>
      </c>
    </row>
    <row r="31" spans="2:15" ht="18.75" x14ac:dyDescent="0.25">
      <c r="B31" s="202">
        <v>32</v>
      </c>
    </row>
    <row r="32" spans="2:15" ht="18.75" x14ac:dyDescent="0.25">
      <c r="B32" s="205">
        <v>33</v>
      </c>
    </row>
    <row r="33" spans="2:2" ht="18.75" x14ac:dyDescent="0.25">
      <c r="B33" s="202">
        <v>34</v>
      </c>
    </row>
    <row r="34" spans="2:2" ht="18.75" x14ac:dyDescent="0.25">
      <c r="B34" s="205">
        <v>16</v>
      </c>
    </row>
    <row r="35" spans="2:2" ht="18.75" x14ac:dyDescent="0.25">
      <c r="B35" s="202">
        <v>21</v>
      </c>
    </row>
    <row r="36" spans="2:2" ht="18.75" x14ac:dyDescent="0.25">
      <c r="B36" s="205">
        <v>15</v>
      </c>
    </row>
    <row r="37" spans="2:2" ht="18.75" x14ac:dyDescent="0.25">
      <c r="B37" s="202">
        <v>22</v>
      </c>
    </row>
    <row r="38" spans="2:2" ht="18.75" x14ac:dyDescent="0.25">
      <c r="B38" s="205">
        <v>35</v>
      </c>
    </row>
    <row r="39" spans="2:2" ht="18.75" x14ac:dyDescent="0.25">
      <c r="B39" s="202">
        <v>36</v>
      </c>
    </row>
    <row r="40" spans="2:2" ht="18.75" x14ac:dyDescent="0.25">
      <c r="B40" s="205">
        <v>37</v>
      </c>
    </row>
    <row r="41" spans="2:2" ht="18.75" x14ac:dyDescent="0.25">
      <c r="B41" s="202">
        <v>39</v>
      </c>
    </row>
    <row r="42" spans="2:2" ht="18.75" x14ac:dyDescent="0.25">
      <c r="B42" s="205">
        <v>38</v>
      </c>
    </row>
    <row r="43" spans="2:2" ht="18.75" x14ac:dyDescent="0.25">
      <c r="B43" s="202">
        <v>46</v>
      </c>
    </row>
    <row r="44" spans="2:2" ht="18.75" x14ac:dyDescent="0.25">
      <c r="B44" s="205">
        <v>47</v>
      </c>
    </row>
    <row r="45" spans="2:2" ht="18.75" x14ac:dyDescent="0.25">
      <c r="B45" s="202">
        <v>44</v>
      </c>
    </row>
    <row r="46" spans="2:2" ht="18.75" x14ac:dyDescent="0.25">
      <c r="B46" s="205">
        <v>40</v>
      </c>
    </row>
    <row r="47" spans="2:2" ht="18.75" x14ac:dyDescent="0.25">
      <c r="B47" s="202">
        <v>43</v>
      </c>
    </row>
    <row r="48" spans="2:2" ht="18.75" x14ac:dyDescent="0.25">
      <c r="B48" s="205">
        <v>41</v>
      </c>
    </row>
    <row r="49" spans="2:2" ht="18.75" x14ac:dyDescent="0.25">
      <c r="B49" s="202">
        <v>42</v>
      </c>
    </row>
    <row r="50" spans="2:2" ht="18.75" x14ac:dyDescent="0.25">
      <c r="B50" s="205">
        <v>45</v>
      </c>
    </row>
    <row r="51" spans="2:2" ht="18.75" x14ac:dyDescent="0.25">
      <c r="B51" s="202">
        <v>51</v>
      </c>
    </row>
    <row r="52" spans="2:2" ht="18.75" x14ac:dyDescent="0.25">
      <c r="B52" s="205">
        <v>49</v>
      </c>
    </row>
    <row r="53" spans="2:2" ht="18.75" x14ac:dyDescent="0.25">
      <c r="B53" s="202">
        <v>50</v>
      </c>
    </row>
    <row r="54" spans="2:2" ht="18.75" x14ac:dyDescent="0.25">
      <c r="B54" s="205">
        <v>48</v>
      </c>
    </row>
    <row r="55" spans="2:2" ht="18.75" x14ac:dyDescent="0.25">
      <c r="B55" s="202">
        <v>53</v>
      </c>
    </row>
    <row r="56" spans="2:2" ht="18.75" x14ac:dyDescent="0.25">
      <c r="B56" s="205">
        <v>52</v>
      </c>
    </row>
    <row r="57" spans="2:2" ht="18.75" x14ac:dyDescent="0.25">
      <c r="B57" s="202">
        <v>54</v>
      </c>
    </row>
    <row r="58" spans="2:2" ht="18.75" x14ac:dyDescent="0.25">
      <c r="B58" s="205">
        <v>56</v>
      </c>
    </row>
    <row r="59" spans="2:2" ht="18.75" x14ac:dyDescent="0.25">
      <c r="B59" s="210" t="s">
        <v>210</v>
      </c>
    </row>
    <row r="60" spans="2:2" ht="18.75" x14ac:dyDescent="0.25">
      <c r="B60" s="205">
        <v>57</v>
      </c>
    </row>
    <row r="61" spans="2:2" ht="18.75" x14ac:dyDescent="0.25">
      <c r="B61" s="202">
        <v>58</v>
      </c>
    </row>
    <row r="62" spans="2:2" ht="18.75" x14ac:dyDescent="0.25">
      <c r="B62" s="205">
        <v>59</v>
      </c>
    </row>
    <row r="63" spans="2:2" ht="18.75" x14ac:dyDescent="0.25">
      <c r="B63" s="202">
        <v>60</v>
      </c>
    </row>
    <row r="64" spans="2:2" ht="18.75" x14ac:dyDescent="0.25">
      <c r="B64" s="205">
        <v>61</v>
      </c>
    </row>
    <row r="65" spans="2:2" ht="18.75" x14ac:dyDescent="0.25">
      <c r="B65" s="202">
        <v>62</v>
      </c>
    </row>
    <row r="66" spans="2:2" ht="18.75" x14ac:dyDescent="0.25">
      <c r="B66" s="211" t="s">
        <v>211</v>
      </c>
    </row>
    <row r="67" spans="2:2" ht="18.75" x14ac:dyDescent="0.25">
      <c r="B67" s="210" t="s">
        <v>212</v>
      </c>
    </row>
    <row r="68" spans="2:2" ht="18.75" x14ac:dyDescent="0.25">
      <c r="B68" s="205">
        <v>63</v>
      </c>
    </row>
    <row r="69" spans="2:2" ht="18.75" x14ac:dyDescent="0.25">
      <c r="B69" s="210" t="s">
        <v>213</v>
      </c>
    </row>
    <row r="70" spans="2:2" ht="18.75" x14ac:dyDescent="0.25">
      <c r="B70" s="205">
        <v>64</v>
      </c>
    </row>
    <row r="71" spans="2:2" ht="18.75" x14ac:dyDescent="0.25">
      <c r="B71" s="210" t="s">
        <v>214</v>
      </c>
    </row>
    <row r="72" spans="2:2" ht="18.75" x14ac:dyDescent="0.25">
      <c r="B72" s="211" t="s">
        <v>215</v>
      </c>
    </row>
    <row r="73" spans="2:2" ht="18.75" x14ac:dyDescent="0.25">
      <c r="B73" s="210" t="s">
        <v>216</v>
      </c>
    </row>
    <row r="74" spans="2:2" ht="18.75" x14ac:dyDescent="0.25">
      <c r="B74" s="205">
        <v>67</v>
      </c>
    </row>
    <row r="75" spans="2:2" ht="18.75" x14ac:dyDescent="0.25">
      <c r="B75" s="210" t="s">
        <v>217</v>
      </c>
    </row>
    <row r="76" spans="2:2" ht="18.75" x14ac:dyDescent="0.25">
      <c r="B76" s="211" t="s">
        <v>218</v>
      </c>
    </row>
    <row r="77" spans="2:2" ht="18.75" x14ac:dyDescent="0.25">
      <c r="B77" s="210" t="s">
        <v>219</v>
      </c>
    </row>
    <row r="78" spans="2:2" ht="18.75" x14ac:dyDescent="0.25">
      <c r="B78" s="211" t="s">
        <v>220</v>
      </c>
    </row>
    <row r="79" spans="2:2" ht="18.75" x14ac:dyDescent="0.25">
      <c r="B79" s="210" t="s">
        <v>221</v>
      </c>
    </row>
    <row r="80" spans="2:2" ht="18.75" x14ac:dyDescent="0.25">
      <c r="B80" s="211" t="s">
        <v>222</v>
      </c>
    </row>
    <row r="81" spans="2:2" ht="18.75" x14ac:dyDescent="0.25">
      <c r="B81" s="202">
        <v>68</v>
      </c>
    </row>
    <row r="82" spans="2:2" ht="18.75" x14ac:dyDescent="0.25">
      <c r="B82" s="211" t="s">
        <v>223</v>
      </c>
    </row>
    <row r="83" spans="2:2" ht="18.75" x14ac:dyDescent="0.25">
      <c r="B83" s="210" t="s">
        <v>224</v>
      </c>
    </row>
    <row r="84" spans="2:2" ht="18.75" x14ac:dyDescent="0.25">
      <c r="B84" s="205">
        <v>69</v>
      </c>
    </row>
    <row r="85" spans="2:2" ht="18.75" x14ac:dyDescent="0.25">
      <c r="B85" s="202">
        <v>70</v>
      </c>
    </row>
    <row r="86" spans="2:2" ht="18.75" x14ac:dyDescent="0.25">
      <c r="B86" s="211" t="s">
        <v>225</v>
      </c>
    </row>
    <row r="87" spans="2:2" ht="18.75" x14ac:dyDescent="0.25">
      <c r="B87" s="210" t="s">
        <v>226</v>
      </c>
    </row>
    <row r="88" spans="2:2" ht="18.75" x14ac:dyDescent="0.25">
      <c r="B88" s="211" t="s">
        <v>227</v>
      </c>
    </row>
    <row r="89" spans="2:2" ht="18.75" x14ac:dyDescent="0.25">
      <c r="B89" s="210" t="s">
        <v>228</v>
      </c>
    </row>
    <row r="90" spans="2:2" ht="18.75" x14ac:dyDescent="0.25">
      <c r="B90" s="211" t="s">
        <v>229</v>
      </c>
    </row>
    <row r="91" spans="2:2" ht="18.75" x14ac:dyDescent="0.25">
      <c r="B91" s="210" t="s">
        <v>230</v>
      </c>
    </row>
    <row r="92" spans="2:2" ht="18.75" x14ac:dyDescent="0.25">
      <c r="B92" s="205">
        <v>71</v>
      </c>
    </row>
    <row r="93" spans="2:2" ht="18.75" x14ac:dyDescent="0.25">
      <c r="B93" s="210" t="s">
        <v>231</v>
      </c>
    </row>
    <row r="94" spans="2:2" ht="18.75" x14ac:dyDescent="0.25">
      <c r="B94" s="205">
        <v>72</v>
      </c>
    </row>
    <row r="95" spans="2:2" ht="18.75" x14ac:dyDescent="0.25">
      <c r="B95" s="202">
        <v>73</v>
      </c>
    </row>
    <row r="96" spans="2:2" ht="18.75" x14ac:dyDescent="0.25">
      <c r="B96" s="211" t="s">
        <v>232</v>
      </c>
    </row>
    <row r="97" spans="2:2" ht="18.75" x14ac:dyDescent="0.25">
      <c r="B97" s="210" t="s">
        <v>233</v>
      </c>
    </row>
    <row r="98" spans="2:2" ht="18.75" x14ac:dyDescent="0.25">
      <c r="B98" s="211" t="s">
        <v>234</v>
      </c>
    </row>
    <row r="99" spans="2:2" ht="18.75" x14ac:dyDescent="0.25">
      <c r="B99" s="210" t="s">
        <v>235</v>
      </c>
    </row>
    <row r="100" spans="2:2" ht="18.75" x14ac:dyDescent="0.25">
      <c r="B100" s="211" t="s">
        <v>236</v>
      </c>
    </row>
    <row r="101" spans="2:2" ht="18.75" x14ac:dyDescent="0.25">
      <c r="B101" s="210" t="s">
        <v>237</v>
      </c>
    </row>
    <row r="102" spans="2:2" ht="18.75" x14ac:dyDescent="0.25">
      <c r="B102" s="211" t="s">
        <v>238</v>
      </c>
    </row>
    <row r="103" spans="2:2" ht="18.75" x14ac:dyDescent="0.25">
      <c r="B103" s="202">
        <v>74</v>
      </c>
    </row>
    <row r="104" spans="2:2" ht="18.75" x14ac:dyDescent="0.25">
      <c r="B104" s="211" t="s">
        <v>239</v>
      </c>
    </row>
    <row r="105" spans="2:2" ht="18.75" x14ac:dyDescent="0.25">
      <c r="B105" s="210" t="s">
        <v>240</v>
      </c>
    </row>
    <row r="106" spans="2:2" ht="18.75" x14ac:dyDescent="0.25">
      <c r="B106" s="205">
        <v>75</v>
      </c>
    </row>
    <row r="107" spans="2:2" ht="18.75" x14ac:dyDescent="0.25">
      <c r="B107" s="202">
        <v>76</v>
      </c>
    </row>
    <row r="108" spans="2:2" ht="18.75" x14ac:dyDescent="0.25">
      <c r="B108" s="205">
        <v>77</v>
      </c>
    </row>
    <row r="109" spans="2:2" ht="18.75" x14ac:dyDescent="0.25">
      <c r="B109" s="210" t="s">
        <v>241</v>
      </c>
    </row>
    <row r="110" spans="2:2" ht="18.75" x14ac:dyDescent="0.25">
      <c r="B110" s="211" t="s">
        <v>242</v>
      </c>
    </row>
    <row r="111" spans="2:2" ht="18.75" x14ac:dyDescent="0.25">
      <c r="B111" s="210" t="s">
        <v>243</v>
      </c>
    </row>
    <row r="112" spans="2:2" ht="18.75" x14ac:dyDescent="0.25">
      <c r="B112" s="211" t="s">
        <v>244</v>
      </c>
    </row>
    <row r="113" spans="2:2" ht="18.75" x14ac:dyDescent="0.25">
      <c r="B113" s="210" t="s">
        <v>245</v>
      </c>
    </row>
    <row r="114" spans="2:2" ht="18.75" x14ac:dyDescent="0.25">
      <c r="B114" s="211" t="s">
        <v>246</v>
      </c>
    </row>
    <row r="115" spans="2:2" ht="18.75" x14ac:dyDescent="0.25">
      <c r="B115" s="210" t="s">
        <v>247</v>
      </c>
    </row>
    <row r="116" spans="2:2" ht="18.75" x14ac:dyDescent="0.25">
      <c r="B116" s="211" t="s">
        <v>248</v>
      </c>
    </row>
    <row r="117" spans="2:2" ht="18.75" x14ac:dyDescent="0.25">
      <c r="B117" s="210" t="s">
        <v>249</v>
      </c>
    </row>
    <row r="118" spans="2:2" ht="18.75" x14ac:dyDescent="0.25">
      <c r="B118" s="211" t="s">
        <v>250</v>
      </c>
    </row>
    <row r="119" spans="2:2" ht="18.75" x14ac:dyDescent="0.25">
      <c r="B119" s="210" t="s">
        <v>251</v>
      </c>
    </row>
    <row r="120" spans="2:2" ht="18.75" x14ac:dyDescent="0.25">
      <c r="B120" s="211" t="s">
        <v>252</v>
      </c>
    </row>
    <row r="121" spans="2:2" ht="18.75" x14ac:dyDescent="0.25">
      <c r="B121" s="202">
        <v>78</v>
      </c>
    </row>
    <row r="122" spans="2:2" ht="18.75" x14ac:dyDescent="0.25">
      <c r="B122" s="211" t="s">
        <v>253</v>
      </c>
    </row>
    <row r="123" spans="2:2" ht="18.75" x14ac:dyDescent="0.25">
      <c r="B123" s="210" t="s">
        <v>254</v>
      </c>
    </row>
    <row r="124" spans="2:2" ht="18.75" x14ac:dyDescent="0.25">
      <c r="B124" s="211" t="s">
        <v>255</v>
      </c>
    </row>
    <row r="125" spans="2:2" ht="18.75" x14ac:dyDescent="0.25">
      <c r="B125" s="210" t="s">
        <v>256</v>
      </c>
    </row>
    <row r="126" spans="2:2" ht="18.75" x14ac:dyDescent="0.25">
      <c r="B126" s="211" t="s">
        <v>257</v>
      </c>
    </row>
    <row r="127" spans="2:2" ht="18.75" x14ac:dyDescent="0.25">
      <c r="B127" s="210" t="s">
        <v>258</v>
      </c>
    </row>
    <row r="128" spans="2:2" ht="18.75" x14ac:dyDescent="0.25">
      <c r="B128" s="211" t="s">
        <v>259</v>
      </c>
    </row>
    <row r="129" spans="2:2" ht="18.75" x14ac:dyDescent="0.25">
      <c r="B129" s="202">
        <v>79</v>
      </c>
    </row>
    <row r="130" spans="2:2" ht="18.75" x14ac:dyDescent="0.25">
      <c r="B130" s="211" t="s">
        <v>260</v>
      </c>
    </row>
    <row r="131" spans="2:2" ht="18.75" x14ac:dyDescent="0.25">
      <c r="B131" s="210" t="s">
        <v>261</v>
      </c>
    </row>
    <row r="132" spans="2:2" ht="18.75" x14ac:dyDescent="0.25">
      <c r="B132" s="211" t="s">
        <v>262</v>
      </c>
    </row>
    <row r="133" spans="2:2" ht="18.75" x14ac:dyDescent="0.25">
      <c r="B133" s="210" t="s">
        <v>263</v>
      </c>
    </row>
    <row r="134" spans="2:2" ht="18.75" x14ac:dyDescent="0.25">
      <c r="B134" s="205">
        <v>80</v>
      </c>
    </row>
    <row r="135" spans="2:2" ht="18.75" x14ac:dyDescent="0.25">
      <c r="B135" s="210" t="s">
        <v>264</v>
      </c>
    </row>
    <row r="136" spans="2:2" ht="18.75" x14ac:dyDescent="0.25">
      <c r="B136" s="211" t="s">
        <v>265</v>
      </c>
    </row>
    <row r="137" spans="2:2" ht="18.75" x14ac:dyDescent="0.25">
      <c r="B137" s="210" t="s">
        <v>266</v>
      </c>
    </row>
    <row r="138" spans="2:2" ht="18.75" x14ac:dyDescent="0.25">
      <c r="B138" s="211" t="s">
        <v>267</v>
      </c>
    </row>
    <row r="139" spans="2:2" ht="18.75" x14ac:dyDescent="0.25">
      <c r="B139" s="210" t="s">
        <v>268</v>
      </c>
    </row>
    <row r="140" spans="2:2" ht="18.75" x14ac:dyDescent="0.25">
      <c r="B140" s="211" t="s">
        <v>269</v>
      </c>
    </row>
    <row r="141" spans="2:2" ht="18.75" x14ac:dyDescent="0.25">
      <c r="B141" s="202">
        <v>81</v>
      </c>
    </row>
    <row r="142" spans="2:2" ht="18.75" x14ac:dyDescent="0.25">
      <c r="B142" s="205">
        <v>82</v>
      </c>
    </row>
    <row r="143" spans="2:2" ht="18.75" x14ac:dyDescent="0.25">
      <c r="B143" s="210" t="s">
        <v>270</v>
      </c>
    </row>
    <row r="144" spans="2:2" ht="18.75" x14ac:dyDescent="0.25">
      <c r="B144" s="211" t="s">
        <v>271</v>
      </c>
    </row>
    <row r="145" spans="2:2" ht="18.75" x14ac:dyDescent="0.25">
      <c r="B145" s="210" t="s">
        <v>272</v>
      </c>
    </row>
    <row r="146" spans="2:2" ht="18.75" x14ac:dyDescent="0.25">
      <c r="B146" s="211" t="s">
        <v>273</v>
      </c>
    </row>
    <row r="147" spans="2:2" ht="18.75" x14ac:dyDescent="0.25">
      <c r="B147" s="210" t="s">
        <v>274</v>
      </c>
    </row>
    <row r="148" spans="2:2" ht="18.75" x14ac:dyDescent="0.25">
      <c r="B148" s="205">
        <v>83</v>
      </c>
    </row>
    <row r="149" spans="2:2" ht="18.75" x14ac:dyDescent="0.25">
      <c r="B149" s="210" t="s">
        <v>275</v>
      </c>
    </row>
    <row r="150" spans="2:2" ht="18.75" x14ac:dyDescent="0.25">
      <c r="B150" s="211" t="s">
        <v>276</v>
      </c>
    </row>
    <row r="151" spans="2:2" ht="18.75" x14ac:dyDescent="0.25">
      <c r="B151" s="202">
        <v>84</v>
      </c>
    </row>
    <row r="152" spans="2:2" ht="18.75" x14ac:dyDescent="0.25">
      <c r="B152" s="211" t="s">
        <v>277</v>
      </c>
    </row>
    <row r="153" spans="2:2" ht="18.75" x14ac:dyDescent="0.25">
      <c r="B153" s="210" t="s">
        <v>278</v>
      </c>
    </row>
    <row r="154" spans="2:2" ht="18.75" x14ac:dyDescent="0.25">
      <c r="B154" s="205">
        <v>85</v>
      </c>
    </row>
    <row r="155" spans="2:2" ht="18.75" x14ac:dyDescent="0.25">
      <c r="B155" s="202">
        <v>86</v>
      </c>
    </row>
    <row r="156" spans="2:2" ht="18.75" x14ac:dyDescent="0.25">
      <c r="B156" s="211" t="s">
        <v>279</v>
      </c>
    </row>
    <row r="157" spans="2:2" ht="18.75" x14ac:dyDescent="0.25">
      <c r="B157" s="210" t="s">
        <v>280</v>
      </c>
    </row>
    <row r="158" spans="2:2" ht="18.75" x14ac:dyDescent="0.25">
      <c r="B158" s="211" t="s">
        <v>281</v>
      </c>
    </row>
    <row r="159" spans="2:2" ht="18.75" x14ac:dyDescent="0.25">
      <c r="B159" s="210" t="s">
        <v>282</v>
      </c>
    </row>
    <row r="160" spans="2:2" ht="18.75" x14ac:dyDescent="0.25">
      <c r="B160" s="205">
        <v>87</v>
      </c>
    </row>
    <row r="161" spans="2:2" ht="18.75" x14ac:dyDescent="0.25">
      <c r="B161" s="202">
        <v>88</v>
      </c>
    </row>
    <row r="162" spans="2:2" ht="18.75" x14ac:dyDescent="0.25">
      <c r="B162" s="205">
        <v>89</v>
      </c>
    </row>
    <row r="163" spans="2:2" ht="18.75" x14ac:dyDescent="0.25">
      <c r="B163" s="210" t="s">
        <v>283</v>
      </c>
    </row>
    <row r="164" spans="2:2" ht="18.75" x14ac:dyDescent="0.25">
      <c r="B164" s="211" t="s">
        <v>284</v>
      </c>
    </row>
    <row r="165" spans="2:2" ht="18.75" x14ac:dyDescent="0.25">
      <c r="B165" s="202">
        <v>90</v>
      </c>
    </row>
    <row r="166" spans="2:2" ht="18.75" x14ac:dyDescent="0.25">
      <c r="B166" s="205">
        <v>91</v>
      </c>
    </row>
    <row r="167" spans="2:2" ht="18.75" x14ac:dyDescent="0.25">
      <c r="B167" s="202">
        <v>92</v>
      </c>
    </row>
    <row r="168" spans="2:2" ht="18.75" x14ac:dyDescent="0.25">
      <c r="B168" s="211" t="s">
        <v>285</v>
      </c>
    </row>
    <row r="169" spans="2:2" ht="18.75" x14ac:dyDescent="0.25">
      <c r="B169" s="210" t="s">
        <v>286</v>
      </c>
    </row>
    <row r="170" spans="2:2" ht="18.75" x14ac:dyDescent="0.25">
      <c r="B170" s="205">
        <v>93</v>
      </c>
    </row>
    <row r="171" spans="2:2" ht="18.75" x14ac:dyDescent="0.25">
      <c r="B171" s="210" t="s">
        <v>287</v>
      </c>
    </row>
    <row r="172" spans="2:2" ht="18.75" x14ac:dyDescent="0.25">
      <c r="B172" s="211" t="s">
        <v>288</v>
      </c>
    </row>
    <row r="173" spans="2:2" ht="18.75" x14ac:dyDescent="0.25">
      <c r="B173" s="210" t="s">
        <v>289</v>
      </c>
    </row>
    <row r="174" spans="2:2" ht="18.75" x14ac:dyDescent="0.25">
      <c r="B174" s="211" t="s">
        <v>290</v>
      </c>
    </row>
    <row r="175" spans="2:2" ht="18.75" x14ac:dyDescent="0.25">
      <c r="B175" s="210" t="s">
        <v>291</v>
      </c>
    </row>
    <row r="176" spans="2:2" ht="18.75" x14ac:dyDescent="0.25">
      <c r="B176" s="211" t="s">
        <v>292</v>
      </c>
    </row>
    <row r="177" spans="2:2" ht="18.75" x14ac:dyDescent="0.25">
      <c r="B177" s="210" t="s">
        <v>293</v>
      </c>
    </row>
    <row r="178" spans="2:2" ht="18.75" x14ac:dyDescent="0.25">
      <c r="B178" s="211" t="s">
        <v>294</v>
      </c>
    </row>
    <row r="179" spans="2:2" ht="18.75" x14ac:dyDescent="0.25">
      <c r="B179" s="210" t="s">
        <v>295</v>
      </c>
    </row>
    <row r="180" spans="2:2" ht="18.75" x14ac:dyDescent="0.25">
      <c r="B180" s="211" t="s">
        <v>296</v>
      </c>
    </row>
    <row r="181" spans="2:2" ht="18.75" x14ac:dyDescent="0.25">
      <c r="B181" s="210" t="s">
        <v>297</v>
      </c>
    </row>
    <row r="182" spans="2:2" ht="18.75" x14ac:dyDescent="0.25">
      <c r="B182" s="211" t="s">
        <v>298</v>
      </c>
    </row>
    <row r="183" spans="2:2" ht="18.75" x14ac:dyDescent="0.25">
      <c r="B183" s="202">
        <v>94</v>
      </c>
    </row>
    <row r="184" spans="2:2" ht="18.75" x14ac:dyDescent="0.25">
      <c r="B184" s="205">
        <v>95</v>
      </c>
    </row>
    <row r="185" spans="2:2" ht="18.75" x14ac:dyDescent="0.25">
      <c r="B185" s="210" t="s">
        <v>299</v>
      </c>
    </row>
    <row r="186" spans="2:2" ht="18.75" x14ac:dyDescent="0.25">
      <c r="B186" s="205">
        <v>96</v>
      </c>
    </row>
    <row r="187" spans="2:2" ht="18.75" x14ac:dyDescent="0.25">
      <c r="B187" s="210" t="s">
        <v>300</v>
      </c>
    </row>
    <row r="188" spans="2:2" ht="18.75" x14ac:dyDescent="0.25">
      <c r="B188" s="211" t="s">
        <v>301</v>
      </c>
    </row>
    <row r="189" spans="2:2" ht="18.75" x14ac:dyDescent="0.25">
      <c r="B189" s="210" t="s">
        <v>302</v>
      </c>
    </row>
    <row r="190" spans="2:2" ht="18.75" x14ac:dyDescent="0.25">
      <c r="B190" s="211" t="s">
        <v>303</v>
      </c>
    </row>
    <row r="191" spans="2:2" ht="18.75" x14ac:dyDescent="0.25">
      <c r="B191" s="210" t="s">
        <v>304</v>
      </c>
    </row>
    <row r="192" spans="2:2" ht="18.75" x14ac:dyDescent="0.25">
      <c r="B192" s="205">
        <v>97</v>
      </c>
    </row>
    <row r="193" spans="2:2" ht="18.75" x14ac:dyDescent="0.25">
      <c r="B193" s="210" t="s">
        <v>305</v>
      </c>
    </row>
    <row r="194" spans="2:2" ht="18.75" x14ac:dyDescent="0.25">
      <c r="B194" s="211" t="s">
        <v>306</v>
      </c>
    </row>
    <row r="195" spans="2:2" ht="18.75" x14ac:dyDescent="0.25">
      <c r="B195" s="202">
        <v>98</v>
      </c>
    </row>
    <row r="196" spans="2:2" ht="18.75" x14ac:dyDescent="0.25">
      <c r="B196" s="211" t="s">
        <v>307</v>
      </c>
    </row>
    <row r="197" spans="2:2" ht="18.75" x14ac:dyDescent="0.25">
      <c r="B197" s="210" t="s">
        <v>308</v>
      </c>
    </row>
    <row r="198" spans="2:2" ht="18.75" x14ac:dyDescent="0.25">
      <c r="B198" s="211" t="s">
        <v>309</v>
      </c>
    </row>
    <row r="199" spans="2:2" ht="18.75" x14ac:dyDescent="0.25">
      <c r="B199" s="202">
        <v>99</v>
      </c>
    </row>
    <row r="200" spans="2:2" ht="18.75" x14ac:dyDescent="0.25">
      <c r="B200" s="211" t="s">
        <v>310</v>
      </c>
    </row>
    <row r="201" spans="2:2" ht="18.75" x14ac:dyDescent="0.25">
      <c r="B201" s="210" t="s">
        <v>311</v>
      </c>
    </row>
    <row r="202" spans="2:2" ht="18.75" x14ac:dyDescent="0.25">
      <c r="B202" s="211" t="s">
        <v>312</v>
      </c>
    </row>
    <row r="203" spans="2:2" ht="18.75" x14ac:dyDescent="0.25">
      <c r="B203" s="210" t="s">
        <v>313</v>
      </c>
    </row>
    <row r="204" spans="2:2" ht="18.75" x14ac:dyDescent="0.25">
      <c r="B204" s="211" t="s">
        <v>314</v>
      </c>
    </row>
    <row r="205" spans="2:2" ht="18.75" x14ac:dyDescent="0.25">
      <c r="B205" s="202">
        <v>100</v>
      </c>
    </row>
    <row r="206" spans="2:2" ht="18.75" x14ac:dyDescent="0.25">
      <c r="B206" s="205">
        <v>101</v>
      </c>
    </row>
    <row r="207" spans="2:2" ht="18.75" x14ac:dyDescent="0.25">
      <c r="B207" s="202">
        <v>102</v>
      </c>
    </row>
    <row r="208" spans="2:2" ht="18.75" x14ac:dyDescent="0.25">
      <c r="B208" s="205">
        <v>103</v>
      </c>
    </row>
    <row r="209" spans="2:2" ht="18.75" x14ac:dyDescent="0.25">
      <c r="B209" s="210" t="s">
        <v>315</v>
      </c>
    </row>
    <row r="210" spans="2:2" ht="18.75" x14ac:dyDescent="0.25">
      <c r="B210" s="205">
        <v>104</v>
      </c>
    </row>
    <row r="211" spans="2:2" ht="18.75" x14ac:dyDescent="0.25">
      <c r="B211" s="210" t="s">
        <v>316</v>
      </c>
    </row>
    <row r="212" spans="2:2" ht="18.75" x14ac:dyDescent="0.25">
      <c r="B212" s="211" t="s">
        <v>317</v>
      </c>
    </row>
    <row r="213" spans="2:2" ht="18.75" x14ac:dyDescent="0.25">
      <c r="B213" s="210" t="s">
        <v>318</v>
      </c>
    </row>
    <row r="214" spans="2:2" ht="18.75" x14ac:dyDescent="0.25">
      <c r="B214" s="205">
        <v>105</v>
      </c>
    </row>
    <row r="215" spans="2:2" ht="18.75" x14ac:dyDescent="0.25">
      <c r="B215" s="210" t="s">
        <v>319</v>
      </c>
    </row>
    <row r="216" spans="2:2" ht="18.75" x14ac:dyDescent="0.25">
      <c r="B216" s="211" t="s">
        <v>320</v>
      </c>
    </row>
    <row r="217" spans="2:2" ht="18.75" x14ac:dyDescent="0.25">
      <c r="B217" s="210" t="s">
        <v>321</v>
      </c>
    </row>
    <row r="218" spans="2:2" ht="18.75" x14ac:dyDescent="0.25">
      <c r="B218" s="205">
        <v>106</v>
      </c>
    </row>
    <row r="219" spans="2:2" ht="18.75" x14ac:dyDescent="0.25">
      <c r="B219" s="210" t="s">
        <v>322</v>
      </c>
    </row>
    <row r="220" spans="2:2" ht="18.75" x14ac:dyDescent="0.25">
      <c r="B220" s="211" t="s">
        <v>323</v>
      </c>
    </row>
    <row r="221" spans="2:2" ht="18.75" x14ac:dyDescent="0.25">
      <c r="B221" s="210" t="s">
        <v>324</v>
      </c>
    </row>
    <row r="222" spans="2:2" ht="18.75" x14ac:dyDescent="0.25">
      <c r="B222" s="205">
        <v>107</v>
      </c>
    </row>
    <row r="223" spans="2:2" ht="18.75" x14ac:dyDescent="0.25">
      <c r="B223" s="210" t="s">
        <v>325</v>
      </c>
    </row>
    <row r="224" spans="2:2" ht="18.75" x14ac:dyDescent="0.25">
      <c r="B224" s="211" t="s">
        <v>326</v>
      </c>
    </row>
    <row r="225" spans="2:2" ht="18.75" x14ac:dyDescent="0.25">
      <c r="B225" s="210" t="s">
        <v>327</v>
      </c>
    </row>
    <row r="226" spans="2:2" ht="18.75" x14ac:dyDescent="0.25">
      <c r="B226" s="211" t="s">
        <v>328</v>
      </c>
    </row>
    <row r="227" spans="2:2" ht="18.75" x14ac:dyDescent="0.25">
      <c r="B227" s="210" t="s">
        <v>329</v>
      </c>
    </row>
    <row r="228" spans="2:2" ht="18.75" x14ac:dyDescent="0.25">
      <c r="B228" s="211" t="s">
        <v>330</v>
      </c>
    </row>
    <row r="229" spans="2:2" ht="18.75" x14ac:dyDescent="0.25">
      <c r="B229" s="202">
        <v>108</v>
      </c>
    </row>
    <row r="230" spans="2:2" ht="18.75" x14ac:dyDescent="0.25">
      <c r="B230" s="211" t="s">
        <v>331</v>
      </c>
    </row>
    <row r="231" spans="2:2" ht="18.75" x14ac:dyDescent="0.25">
      <c r="B231" s="202">
        <v>109</v>
      </c>
    </row>
    <row r="232" spans="2:2" ht="18.75" x14ac:dyDescent="0.25">
      <c r="B232" s="211" t="s">
        <v>332</v>
      </c>
    </row>
    <row r="233" spans="2:2" ht="18.75" x14ac:dyDescent="0.25">
      <c r="B233" s="202">
        <v>110</v>
      </c>
    </row>
    <row r="234" spans="2:2" ht="18.75" x14ac:dyDescent="0.25">
      <c r="B234" s="205">
        <v>111</v>
      </c>
    </row>
    <row r="235" spans="2:2" ht="18.75" x14ac:dyDescent="0.25">
      <c r="B235" s="202">
        <v>112</v>
      </c>
    </row>
    <row r="236" spans="2:2" ht="18.75" x14ac:dyDescent="0.25">
      <c r="B236" s="205">
        <v>113</v>
      </c>
    </row>
    <row r="237" spans="2:2" ht="18.75" x14ac:dyDescent="0.25">
      <c r="B237" s="202">
        <v>114</v>
      </c>
    </row>
    <row r="238" spans="2:2" ht="18.75" x14ac:dyDescent="0.25">
      <c r="B238" s="205">
        <v>115</v>
      </c>
    </row>
    <row r="239" spans="2:2" ht="18.75" x14ac:dyDescent="0.25">
      <c r="B239" s="210" t="s">
        <v>333</v>
      </c>
    </row>
    <row r="240" spans="2:2" ht="18.75" x14ac:dyDescent="0.25">
      <c r="B240" s="205">
        <v>116</v>
      </c>
    </row>
    <row r="241" spans="2:2" ht="18.75" x14ac:dyDescent="0.25">
      <c r="B241" s="202">
        <v>117</v>
      </c>
    </row>
    <row r="242" spans="2:2" ht="18.75" x14ac:dyDescent="0.25">
      <c r="B242" s="211" t="s">
        <v>334</v>
      </c>
    </row>
    <row r="243" spans="2:2" ht="18.75" x14ac:dyDescent="0.25">
      <c r="B243" s="202">
        <v>118</v>
      </c>
    </row>
    <row r="244" spans="2:2" ht="18.75" x14ac:dyDescent="0.25">
      <c r="B244" s="211" t="s">
        <v>335</v>
      </c>
    </row>
    <row r="245" spans="2:2" ht="18.75" x14ac:dyDescent="0.25">
      <c r="B245" s="202">
        <v>119</v>
      </c>
    </row>
    <row r="246" spans="2:2" ht="18.75" x14ac:dyDescent="0.25">
      <c r="B246" s="205">
        <v>120</v>
      </c>
    </row>
    <row r="247" spans="2:2" ht="18.75" x14ac:dyDescent="0.25">
      <c r="B247" s="202">
        <v>121</v>
      </c>
    </row>
    <row r="248" spans="2:2" ht="18.75" x14ac:dyDescent="0.25">
      <c r="B248" s="211" t="s">
        <v>336</v>
      </c>
    </row>
    <row r="249" spans="2:2" ht="18.75" x14ac:dyDescent="0.25">
      <c r="B249" s="202">
        <v>122</v>
      </c>
    </row>
    <row r="250" spans="2:2" ht="18.75" x14ac:dyDescent="0.25">
      <c r="B250" s="205">
        <v>123</v>
      </c>
    </row>
    <row r="251" spans="2:2" ht="18.75" x14ac:dyDescent="0.25">
      <c r="B251" s="202">
        <v>124</v>
      </c>
    </row>
    <row r="252" spans="2:2" ht="18.75" x14ac:dyDescent="0.25">
      <c r="B252" s="205">
        <v>125</v>
      </c>
    </row>
    <row r="253" spans="2:2" ht="18.75" x14ac:dyDescent="0.25">
      <c r="B253" s="202">
        <v>126</v>
      </c>
    </row>
    <row r="254" spans="2:2" ht="18.75" x14ac:dyDescent="0.25">
      <c r="B254" s="211" t="s">
        <v>337</v>
      </c>
    </row>
    <row r="255" spans="2:2" ht="18.75" x14ac:dyDescent="0.25">
      <c r="B255" s="210" t="s">
        <v>338</v>
      </c>
    </row>
    <row r="256" spans="2:2" ht="18.75" x14ac:dyDescent="0.25">
      <c r="B256" s="211" t="s">
        <v>339</v>
      </c>
    </row>
    <row r="257" spans="2:2" ht="18.75" x14ac:dyDescent="0.25">
      <c r="B257" s="210" t="s">
        <v>340</v>
      </c>
    </row>
    <row r="258" spans="2:2" ht="18.75" x14ac:dyDescent="0.25">
      <c r="B258" s="205">
        <v>127</v>
      </c>
    </row>
    <row r="259" spans="2:2" ht="18.75" x14ac:dyDescent="0.25">
      <c r="B259" s="202">
        <v>128</v>
      </c>
    </row>
    <row r="260" spans="2:2" ht="18.75" x14ac:dyDescent="0.25">
      <c r="B260" s="211" t="s">
        <v>341</v>
      </c>
    </row>
    <row r="261" spans="2:2" ht="18.75" x14ac:dyDescent="0.25">
      <c r="B261" s="202">
        <v>129</v>
      </c>
    </row>
    <row r="262" spans="2:2" ht="18.75" x14ac:dyDescent="0.25">
      <c r="B262" s="205">
        <v>130</v>
      </c>
    </row>
    <row r="263" spans="2:2" ht="18.75" x14ac:dyDescent="0.25">
      <c r="B263" s="202">
        <v>131</v>
      </c>
    </row>
    <row r="264" spans="2:2" ht="18.75" x14ac:dyDescent="0.25">
      <c r="B264" s="205">
        <v>132</v>
      </c>
    </row>
    <row r="265" spans="2:2" ht="18.75" x14ac:dyDescent="0.25">
      <c r="B265" s="202">
        <v>133</v>
      </c>
    </row>
    <row r="266" spans="2:2" ht="18.75" x14ac:dyDescent="0.25">
      <c r="B266" s="205">
        <v>134</v>
      </c>
    </row>
    <row r="267" spans="2:2" ht="18.75" x14ac:dyDescent="0.25">
      <c r="B267" s="202">
        <v>135</v>
      </c>
    </row>
    <row r="268" spans="2:2" ht="18.75" x14ac:dyDescent="0.25">
      <c r="B268" s="205">
        <v>136</v>
      </c>
    </row>
    <row r="269" spans="2:2" ht="18.75" x14ac:dyDescent="0.25">
      <c r="B269" s="210" t="s">
        <v>342</v>
      </c>
    </row>
    <row r="270" spans="2:2" ht="18.75" x14ac:dyDescent="0.25">
      <c r="B270" s="211" t="s">
        <v>343</v>
      </c>
    </row>
    <row r="271" spans="2:2" ht="18.75" x14ac:dyDescent="0.25">
      <c r="B271" s="210" t="s">
        <v>344</v>
      </c>
    </row>
    <row r="272" spans="2:2" ht="18.75" x14ac:dyDescent="0.25">
      <c r="B272" s="205">
        <v>137</v>
      </c>
    </row>
    <row r="273" spans="2:2" ht="18.75" x14ac:dyDescent="0.25">
      <c r="B273" s="210" t="s">
        <v>345</v>
      </c>
    </row>
    <row r="274" spans="2:2" ht="18.75" x14ac:dyDescent="0.25">
      <c r="B274" s="205">
        <v>138</v>
      </c>
    </row>
    <row r="275" spans="2:2" ht="18.75" x14ac:dyDescent="0.25">
      <c r="B275" s="202">
        <v>139</v>
      </c>
    </row>
    <row r="276" spans="2:2" ht="18.75" x14ac:dyDescent="0.25">
      <c r="B276" s="205">
        <v>140</v>
      </c>
    </row>
    <row r="277" spans="2:2" ht="18.75" x14ac:dyDescent="0.25">
      <c r="B277" s="202">
        <v>141</v>
      </c>
    </row>
    <row r="278" spans="2:2" ht="18.75" x14ac:dyDescent="0.25">
      <c r="B278" s="211" t="s">
        <v>346</v>
      </c>
    </row>
    <row r="279" spans="2:2" ht="18.75" x14ac:dyDescent="0.25">
      <c r="B279" s="210" t="s">
        <v>347</v>
      </c>
    </row>
    <row r="280" spans="2:2" ht="18.75" x14ac:dyDescent="0.25">
      <c r="B280" s="205">
        <v>142</v>
      </c>
    </row>
    <row r="281" spans="2:2" ht="18.75" x14ac:dyDescent="0.25">
      <c r="B281" s="202">
        <v>143</v>
      </c>
    </row>
    <row r="282" spans="2:2" ht="18.75" x14ac:dyDescent="0.25">
      <c r="B282" s="205">
        <v>144</v>
      </c>
    </row>
    <row r="283" spans="2:2" ht="18.75" x14ac:dyDescent="0.25">
      <c r="B283" s="202">
        <v>145</v>
      </c>
    </row>
    <row r="284" spans="2:2" ht="18.75" x14ac:dyDescent="0.25">
      <c r="B284" s="211" t="s">
        <v>348</v>
      </c>
    </row>
    <row r="285" spans="2:2" ht="18.75" x14ac:dyDescent="0.25">
      <c r="B285" s="210" t="s">
        <v>349</v>
      </c>
    </row>
    <row r="286" spans="2:2" ht="18.75" x14ac:dyDescent="0.25">
      <c r="B286" s="211" t="s">
        <v>350</v>
      </c>
    </row>
    <row r="287" spans="2:2" ht="18.75" x14ac:dyDescent="0.25">
      <c r="B287" s="202">
        <v>146</v>
      </c>
    </row>
    <row r="288" spans="2:2" ht="18.75" x14ac:dyDescent="0.25">
      <c r="B288" s="205">
        <v>147</v>
      </c>
    </row>
    <row r="289" spans="2:2" ht="18.75" x14ac:dyDescent="0.25">
      <c r="B289" s="202">
        <v>148</v>
      </c>
    </row>
    <row r="290" spans="2:2" ht="18.75" x14ac:dyDescent="0.25">
      <c r="B290" s="205">
        <v>149</v>
      </c>
    </row>
    <row r="291" spans="2:2" ht="18.75" x14ac:dyDescent="0.25">
      <c r="B291" s="210" t="s">
        <v>351</v>
      </c>
    </row>
    <row r="292" spans="2:2" ht="18.75" x14ac:dyDescent="0.25">
      <c r="B292" s="205">
        <v>150</v>
      </c>
    </row>
    <row r="293" spans="2:2" ht="18.75" x14ac:dyDescent="0.25">
      <c r="B293" s="202">
        <v>151</v>
      </c>
    </row>
    <row r="294" spans="2:2" ht="18.75" x14ac:dyDescent="0.25">
      <c r="B294" s="211" t="s">
        <v>352</v>
      </c>
    </row>
    <row r="295" spans="2:2" ht="18.75" x14ac:dyDescent="0.25">
      <c r="B295" s="202">
        <v>152</v>
      </c>
    </row>
    <row r="296" spans="2:2" ht="18.75" x14ac:dyDescent="0.25">
      <c r="B296" s="205">
        <v>153</v>
      </c>
    </row>
    <row r="297" spans="2:2" ht="18.75" x14ac:dyDescent="0.25">
      <c r="B297" s="210" t="s">
        <v>353</v>
      </c>
    </row>
    <row r="298" spans="2:2" ht="18.75" x14ac:dyDescent="0.25">
      <c r="B298" s="211" t="s">
        <v>354</v>
      </c>
    </row>
    <row r="299" spans="2:2" ht="18.75" x14ac:dyDescent="0.25">
      <c r="B299" s="202">
        <v>154</v>
      </c>
    </row>
    <row r="300" spans="2:2" ht="18.75" x14ac:dyDescent="0.25">
      <c r="B300" s="211" t="s">
        <v>355</v>
      </c>
    </row>
    <row r="301" spans="2:2" ht="18.75" x14ac:dyDescent="0.25">
      <c r="B301" s="202">
        <v>155</v>
      </c>
    </row>
    <row r="302" spans="2:2" ht="18.75" x14ac:dyDescent="0.25">
      <c r="B302" s="211" t="s">
        <v>356</v>
      </c>
    </row>
    <row r="303" spans="2:2" ht="18.75" x14ac:dyDescent="0.25">
      <c r="B303" s="210" t="s">
        <v>357</v>
      </c>
    </row>
    <row r="304" spans="2:2" ht="18.75" x14ac:dyDescent="0.25">
      <c r="B304" s="205">
        <v>156</v>
      </c>
    </row>
    <row r="305" spans="2:2" ht="18.75" x14ac:dyDescent="0.25">
      <c r="B305" s="210" t="s">
        <v>358</v>
      </c>
    </row>
    <row r="306" spans="2:2" ht="18.75" x14ac:dyDescent="0.25">
      <c r="B306" s="211" t="s">
        <v>359</v>
      </c>
    </row>
    <row r="307" spans="2:2" ht="18.75" x14ac:dyDescent="0.25">
      <c r="B307" s="210" t="s">
        <v>360</v>
      </c>
    </row>
    <row r="308" spans="2:2" ht="18.75" x14ac:dyDescent="0.25">
      <c r="B308" s="211" t="s">
        <v>361</v>
      </c>
    </row>
    <row r="309" spans="2:2" ht="18.75" x14ac:dyDescent="0.25">
      <c r="B309" s="202">
        <v>157</v>
      </c>
    </row>
    <row r="310" spans="2:2" ht="18.75" x14ac:dyDescent="0.25">
      <c r="B310" s="205">
        <v>158</v>
      </c>
    </row>
    <row r="311" spans="2:2" ht="18.75" x14ac:dyDescent="0.25">
      <c r="B311" s="202">
        <v>159</v>
      </c>
    </row>
    <row r="312" spans="2:2" ht="18.75" x14ac:dyDescent="0.25">
      <c r="B312" s="211" t="s">
        <v>362</v>
      </c>
    </row>
    <row r="313" spans="2:2" ht="18.75" x14ac:dyDescent="0.25">
      <c r="B313" s="210" t="s">
        <v>363</v>
      </c>
    </row>
    <row r="314" spans="2:2" ht="18.75" x14ac:dyDescent="0.25">
      <c r="B314" s="211" t="s">
        <v>364</v>
      </c>
    </row>
    <row r="315" spans="2:2" ht="18.75" x14ac:dyDescent="0.25">
      <c r="B315" s="210" t="s">
        <v>365</v>
      </c>
    </row>
    <row r="316" spans="2:2" ht="18.75" x14ac:dyDescent="0.25">
      <c r="B316" s="211" t="s">
        <v>366</v>
      </c>
    </row>
    <row r="317" spans="2:2" ht="18.75" x14ac:dyDescent="0.25">
      <c r="B317" s="202">
        <v>160</v>
      </c>
    </row>
    <row r="318" spans="2:2" ht="18.75" x14ac:dyDescent="0.25">
      <c r="B318" s="205">
        <v>161</v>
      </c>
    </row>
    <row r="319" spans="2:2" ht="18.75" x14ac:dyDescent="0.25">
      <c r="B319" s="202">
        <v>162</v>
      </c>
    </row>
    <row r="320" spans="2:2" ht="18.75" x14ac:dyDescent="0.25">
      <c r="B320" s="205">
        <v>163</v>
      </c>
    </row>
    <row r="321" spans="2:2" ht="18.75" x14ac:dyDescent="0.25">
      <c r="B321" s="202">
        <v>164</v>
      </c>
    </row>
    <row r="322" spans="2:2" ht="18.75" x14ac:dyDescent="0.25">
      <c r="B322" s="205">
        <v>173</v>
      </c>
    </row>
    <row r="323" spans="2:2" ht="18.75" x14ac:dyDescent="0.25">
      <c r="B323" s="202">
        <v>165</v>
      </c>
    </row>
    <row r="324" spans="2:2" ht="18.75" x14ac:dyDescent="0.25">
      <c r="B324" s="205">
        <v>166</v>
      </c>
    </row>
    <row r="325" spans="2:2" ht="18.75" x14ac:dyDescent="0.25">
      <c r="B325" s="202">
        <v>167</v>
      </c>
    </row>
    <row r="326" spans="2:2" ht="18.75" x14ac:dyDescent="0.25">
      <c r="B326" s="211" t="s">
        <v>367</v>
      </c>
    </row>
    <row r="327" spans="2:2" ht="18.75" x14ac:dyDescent="0.25">
      <c r="B327" s="202">
        <v>168</v>
      </c>
    </row>
    <row r="328" spans="2:2" ht="18.75" x14ac:dyDescent="0.25">
      <c r="B328" s="205">
        <v>169</v>
      </c>
    </row>
    <row r="329" spans="2:2" ht="18.75" x14ac:dyDescent="0.25">
      <c r="B329" s="202">
        <v>170</v>
      </c>
    </row>
    <row r="330" spans="2:2" ht="18.75" x14ac:dyDescent="0.25">
      <c r="B330" s="205">
        <v>171</v>
      </c>
    </row>
    <row r="331" spans="2:2" ht="18.75" x14ac:dyDescent="0.25">
      <c r="B331" s="202">
        <v>172</v>
      </c>
    </row>
    <row r="332" spans="2:2" ht="18.75" x14ac:dyDescent="0.25">
      <c r="B332" s="205">
        <v>174</v>
      </c>
    </row>
    <row r="333" spans="2:2" ht="18.75" x14ac:dyDescent="0.25">
      <c r="B333" s="202">
        <v>175</v>
      </c>
    </row>
    <row r="334" spans="2:2" ht="18.75" x14ac:dyDescent="0.25">
      <c r="B334" s="205">
        <v>176</v>
      </c>
    </row>
    <row r="335" spans="2:2" ht="18.75" x14ac:dyDescent="0.25">
      <c r="B335" s="210" t="s">
        <v>368</v>
      </c>
    </row>
    <row r="336" spans="2:2" ht="18.75" x14ac:dyDescent="0.25">
      <c r="B336" s="205">
        <v>177</v>
      </c>
    </row>
    <row r="337" spans="2:2" ht="18.75" x14ac:dyDescent="0.25">
      <c r="B337" s="210" t="s">
        <v>369</v>
      </c>
    </row>
    <row r="338" spans="2:2" ht="18.75" x14ac:dyDescent="0.25">
      <c r="B338" s="205">
        <v>178</v>
      </c>
    </row>
    <row r="339" spans="2:2" ht="18.75" x14ac:dyDescent="0.25">
      <c r="B339" s="202">
        <v>179</v>
      </c>
    </row>
    <row r="340" spans="2:2" ht="18.75" x14ac:dyDescent="0.25">
      <c r="B340" s="205">
        <v>180</v>
      </c>
    </row>
    <row r="341" spans="2:2" ht="18.75" x14ac:dyDescent="0.25">
      <c r="B341" s="202">
        <v>181</v>
      </c>
    </row>
    <row r="342" spans="2:2" ht="18.75" x14ac:dyDescent="0.25">
      <c r="B342" s="205">
        <v>182</v>
      </c>
    </row>
    <row r="343" spans="2:2" ht="18.75" x14ac:dyDescent="0.25">
      <c r="B343" s="202">
        <v>183</v>
      </c>
    </row>
    <row r="344" spans="2:2" ht="18.75" x14ac:dyDescent="0.25">
      <c r="B344" s="211" t="s">
        <v>370</v>
      </c>
    </row>
    <row r="345" spans="2:2" ht="18.75" x14ac:dyDescent="0.25">
      <c r="B345" s="210" t="s">
        <v>371</v>
      </c>
    </row>
    <row r="346" spans="2:2" ht="18.75" x14ac:dyDescent="0.25">
      <c r="B346" s="205">
        <v>185</v>
      </c>
    </row>
    <row r="347" spans="2:2" ht="18.75" x14ac:dyDescent="0.25">
      <c r="B347" s="202">
        <v>186</v>
      </c>
    </row>
    <row r="348" spans="2:2" ht="18.75" x14ac:dyDescent="0.25">
      <c r="B348" s="205">
        <v>187</v>
      </c>
    </row>
    <row r="349" spans="2:2" ht="18.75" x14ac:dyDescent="0.25">
      <c r="B349" s="202">
        <v>188</v>
      </c>
    </row>
    <row r="350" spans="2:2" ht="18.75" x14ac:dyDescent="0.25">
      <c r="B350" s="205">
        <v>189</v>
      </c>
    </row>
    <row r="351" spans="2:2" ht="18.75" x14ac:dyDescent="0.25">
      <c r="B351" s="210" t="s">
        <v>372</v>
      </c>
    </row>
    <row r="352" spans="2:2" ht="18.75" x14ac:dyDescent="0.25">
      <c r="B352" s="211" t="s">
        <v>373</v>
      </c>
    </row>
    <row r="353" spans="2:2" ht="18.75" x14ac:dyDescent="0.25">
      <c r="B353" s="210" t="s">
        <v>374</v>
      </c>
    </row>
    <row r="354" spans="2:2" ht="18.75" x14ac:dyDescent="0.25">
      <c r="B354" s="205">
        <v>190</v>
      </c>
    </row>
    <row r="355" spans="2:2" ht="18.75" x14ac:dyDescent="0.25">
      <c r="B355" s="202">
        <v>191</v>
      </c>
    </row>
    <row r="356" spans="2:2" ht="18.75" x14ac:dyDescent="0.25">
      <c r="B356" s="205">
        <v>192</v>
      </c>
    </row>
    <row r="357" spans="2:2" ht="18.75" x14ac:dyDescent="0.25">
      <c r="B357" s="202">
        <v>193</v>
      </c>
    </row>
    <row r="358" spans="2:2" ht="18.75" x14ac:dyDescent="0.25">
      <c r="B358" s="211" t="s">
        <v>375</v>
      </c>
    </row>
    <row r="359" spans="2:2" ht="18.75" x14ac:dyDescent="0.25">
      <c r="B359" s="202">
        <v>194</v>
      </c>
    </row>
    <row r="360" spans="2:2" ht="18.75" x14ac:dyDescent="0.25">
      <c r="B360" s="205">
        <v>195</v>
      </c>
    </row>
    <row r="361" spans="2:2" ht="18.75" x14ac:dyDescent="0.25">
      <c r="B361" s="210" t="s">
        <v>376</v>
      </c>
    </row>
    <row r="362" spans="2:2" ht="18.75" x14ac:dyDescent="0.25">
      <c r="B362" s="211" t="s">
        <v>377</v>
      </c>
    </row>
    <row r="363" spans="2:2" ht="18.75" x14ac:dyDescent="0.25">
      <c r="B363" s="210" t="s">
        <v>378</v>
      </c>
    </row>
    <row r="364" spans="2:2" ht="18.75" x14ac:dyDescent="0.25">
      <c r="B364" s="211" t="s">
        <v>379</v>
      </c>
    </row>
    <row r="365" spans="2:2" ht="18.75" x14ac:dyDescent="0.25">
      <c r="B365" s="202">
        <v>196</v>
      </c>
    </row>
    <row r="366" spans="2:2" ht="18.75" x14ac:dyDescent="0.25">
      <c r="B366" s="211" t="s">
        <v>380</v>
      </c>
    </row>
    <row r="367" spans="2:2" ht="18.75" x14ac:dyDescent="0.25">
      <c r="B367" s="210" t="s">
        <v>381</v>
      </c>
    </row>
    <row r="368" spans="2:2" ht="18.75" x14ac:dyDescent="0.25">
      <c r="B368" s="211" t="s">
        <v>382</v>
      </c>
    </row>
    <row r="369" spans="2:2" ht="18.75" x14ac:dyDescent="0.25">
      <c r="B369" s="202">
        <v>197</v>
      </c>
    </row>
    <row r="370" spans="2:2" ht="18.75" x14ac:dyDescent="0.25">
      <c r="B370" s="205">
        <v>198</v>
      </c>
    </row>
    <row r="371" spans="2:2" ht="18.75" x14ac:dyDescent="0.25">
      <c r="B371" s="202">
        <v>199</v>
      </c>
    </row>
    <row r="372" spans="2:2" ht="18.75" x14ac:dyDescent="0.25">
      <c r="B372" s="211" t="s">
        <v>383</v>
      </c>
    </row>
    <row r="373" spans="2:2" ht="18.75" x14ac:dyDescent="0.25">
      <c r="B373" s="202">
        <v>200</v>
      </c>
    </row>
    <row r="374" spans="2:2" ht="18.75" x14ac:dyDescent="0.25">
      <c r="B374" s="211" t="s">
        <v>384</v>
      </c>
    </row>
    <row r="375" spans="2:2" ht="18.75" x14ac:dyDescent="0.25">
      <c r="B375" s="202">
        <v>201</v>
      </c>
    </row>
    <row r="376" spans="2:2" ht="18.75" x14ac:dyDescent="0.25">
      <c r="B376" s="211" t="s">
        <v>385</v>
      </c>
    </row>
    <row r="377" spans="2:2" ht="18.75" x14ac:dyDescent="0.25">
      <c r="B377" s="210" t="s">
        <v>386</v>
      </c>
    </row>
    <row r="378" spans="2:2" ht="18.75" x14ac:dyDescent="0.25">
      <c r="B378" s="205">
        <v>202</v>
      </c>
    </row>
    <row r="379" spans="2:2" ht="18.75" x14ac:dyDescent="0.25">
      <c r="B379" s="202">
        <v>203</v>
      </c>
    </row>
    <row r="380" spans="2:2" ht="18.75" x14ac:dyDescent="0.25">
      <c r="B380" s="211" t="s">
        <v>387</v>
      </c>
    </row>
    <row r="381" spans="2:2" ht="18.75" x14ac:dyDescent="0.25">
      <c r="B381" s="210" t="s">
        <v>388</v>
      </c>
    </row>
    <row r="382" spans="2:2" ht="18.75" x14ac:dyDescent="0.25">
      <c r="B382" s="205">
        <v>184</v>
      </c>
    </row>
    <row r="383" spans="2:2" ht="18.75" x14ac:dyDescent="0.25">
      <c r="B383" s="202">
        <v>204</v>
      </c>
    </row>
    <row r="384" spans="2:2" ht="18.75" x14ac:dyDescent="0.25">
      <c r="B384" s="211" t="s">
        <v>389</v>
      </c>
    </row>
    <row r="385" spans="2:2" ht="18.75" x14ac:dyDescent="0.25">
      <c r="B385" s="210" t="s">
        <v>390</v>
      </c>
    </row>
    <row r="386" spans="2:2" ht="18.75" x14ac:dyDescent="0.25">
      <c r="B386" s="211" t="s">
        <v>391</v>
      </c>
    </row>
    <row r="387" spans="2:2" ht="18.75" x14ac:dyDescent="0.25">
      <c r="B387" s="210" t="s">
        <v>392</v>
      </c>
    </row>
    <row r="388" spans="2:2" ht="18.75" x14ac:dyDescent="0.25">
      <c r="B388" s="211" t="s">
        <v>393</v>
      </c>
    </row>
    <row r="389" spans="2:2" ht="18.75" x14ac:dyDescent="0.25">
      <c r="B389" s="210" t="s">
        <v>394</v>
      </c>
    </row>
    <row r="390" spans="2:2" ht="18.75" x14ac:dyDescent="0.25">
      <c r="B390" s="205">
        <v>205</v>
      </c>
    </row>
    <row r="391" spans="2:2" ht="18.75" x14ac:dyDescent="0.25">
      <c r="B391" s="202">
        <v>206</v>
      </c>
    </row>
    <row r="392" spans="2:2" ht="18.75" x14ac:dyDescent="0.25">
      <c r="B392" s="205">
        <v>207</v>
      </c>
    </row>
    <row r="393" spans="2:2" ht="18.75" x14ac:dyDescent="0.25">
      <c r="B393" s="202">
        <v>208</v>
      </c>
    </row>
    <row r="394" spans="2:2" ht="18.75" x14ac:dyDescent="0.25">
      <c r="B394" s="205">
        <v>211</v>
      </c>
    </row>
    <row r="395" spans="2:2" ht="18.75" x14ac:dyDescent="0.25">
      <c r="B395" s="202">
        <v>209</v>
      </c>
    </row>
    <row r="396" spans="2:2" ht="18.75" x14ac:dyDescent="0.25">
      <c r="B396" s="205">
        <v>210</v>
      </c>
    </row>
    <row r="397" spans="2:2" ht="18.75" x14ac:dyDescent="0.25">
      <c r="B397" s="202">
        <v>212</v>
      </c>
    </row>
    <row r="398" spans="2:2" ht="18.75" x14ac:dyDescent="0.25">
      <c r="B398" s="211" t="s">
        <v>395</v>
      </c>
    </row>
    <row r="399" spans="2:2" ht="18.75" x14ac:dyDescent="0.25">
      <c r="B399" s="210" t="s">
        <v>396</v>
      </c>
    </row>
    <row r="400" spans="2:2" ht="18.75" x14ac:dyDescent="0.25">
      <c r="B400" s="211" t="s">
        <v>397</v>
      </c>
    </row>
    <row r="401" spans="2:2" ht="18.75" x14ac:dyDescent="0.25">
      <c r="B401" s="210" t="s">
        <v>398</v>
      </c>
    </row>
    <row r="402" spans="2:2" ht="18.75" x14ac:dyDescent="0.25">
      <c r="B402" s="211" t="s">
        <v>399</v>
      </c>
    </row>
    <row r="403" spans="2:2" ht="18.75" x14ac:dyDescent="0.25">
      <c r="B403" s="210" t="s">
        <v>400</v>
      </c>
    </row>
    <row r="404" spans="2:2" ht="18.75" x14ac:dyDescent="0.25">
      <c r="B404" s="211" t="s">
        <v>401</v>
      </c>
    </row>
    <row r="405" spans="2:2" ht="18.75" x14ac:dyDescent="0.25">
      <c r="B405" s="202">
        <v>213</v>
      </c>
    </row>
    <row r="406" spans="2:2" ht="18.75" x14ac:dyDescent="0.25">
      <c r="B406" s="205">
        <v>214</v>
      </c>
    </row>
    <row r="407" spans="2:2" ht="18.75" x14ac:dyDescent="0.25">
      <c r="B407" s="202">
        <v>215</v>
      </c>
    </row>
    <row r="408" spans="2:2" ht="18.75" x14ac:dyDescent="0.25">
      <c r="B408" s="205">
        <v>216</v>
      </c>
    </row>
    <row r="409" spans="2:2" ht="18.75" x14ac:dyDescent="0.25">
      <c r="B409" s="202">
        <v>217</v>
      </c>
    </row>
    <row r="410" spans="2:2" ht="18.75" x14ac:dyDescent="0.25">
      <c r="B410" s="211" t="s">
        <v>402</v>
      </c>
    </row>
    <row r="411" spans="2:2" ht="18.75" x14ac:dyDescent="0.25">
      <c r="B411" s="210" t="s">
        <v>403</v>
      </c>
    </row>
    <row r="412" spans="2:2" ht="18.75" x14ac:dyDescent="0.25">
      <c r="B412" s="205">
        <v>218</v>
      </c>
    </row>
    <row r="413" spans="2:2" ht="18.75" x14ac:dyDescent="0.25">
      <c r="B413" s="202">
        <v>219</v>
      </c>
    </row>
    <row r="414" spans="2:2" ht="18.75" x14ac:dyDescent="0.25">
      <c r="B414" s="205">
        <v>220</v>
      </c>
    </row>
    <row r="415" spans="2:2" ht="18.75" x14ac:dyDescent="0.25">
      <c r="B415" s="202">
        <v>221</v>
      </c>
    </row>
    <row r="416" spans="2:2" ht="18.75" x14ac:dyDescent="0.25">
      <c r="B416" s="205">
        <v>222</v>
      </c>
    </row>
    <row r="417" spans="2:2" ht="18.75" x14ac:dyDescent="0.25">
      <c r="B417" s="210" t="s">
        <v>404</v>
      </c>
    </row>
    <row r="418" spans="2:2" ht="18.75" x14ac:dyDescent="0.25">
      <c r="B418" s="205">
        <v>223</v>
      </c>
    </row>
    <row r="419" spans="2:2" ht="18.75" x14ac:dyDescent="0.25">
      <c r="B419" s="202">
        <v>224</v>
      </c>
    </row>
    <row r="420" spans="2:2" ht="18.75" x14ac:dyDescent="0.25">
      <c r="B420" s="205">
        <v>225</v>
      </c>
    </row>
    <row r="421" spans="2:2" ht="18.75" x14ac:dyDescent="0.25">
      <c r="B421" s="202">
        <v>227</v>
      </c>
    </row>
    <row r="422" spans="2:2" ht="18.75" x14ac:dyDescent="0.25">
      <c r="B422" s="205">
        <v>226</v>
      </c>
    </row>
    <row r="423" spans="2:2" ht="18.75" x14ac:dyDescent="0.25">
      <c r="B423" s="202">
        <v>228</v>
      </c>
    </row>
    <row r="424" spans="2:2" ht="18.75" x14ac:dyDescent="0.25">
      <c r="B424" s="211" t="s">
        <v>405</v>
      </c>
    </row>
    <row r="425" spans="2:2" ht="18.75" x14ac:dyDescent="0.25">
      <c r="B425" s="202">
        <v>229</v>
      </c>
    </row>
    <row r="426" spans="2:2" ht="18.75" x14ac:dyDescent="0.25">
      <c r="B426" s="205">
        <v>230</v>
      </c>
    </row>
    <row r="427" spans="2:2" ht="18.75" x14ac:dyDescent="0.25">
      <c r="B427" s="202">
        <v>231</v>
      </c>
    </row>
    <row r="428" spans="2:2" ht="18.75" x14ac:dyDescent="0.25">
      <c r="B428" s="205">
        <v>232</v>
      </c>
    </row>
    <row r="429" spans="2:2" ht="18.75" x14ac:dyDescent="0.25">
      <c r="B429" s="202">
        <v>233</v>
      </c>
    </row>
    <row r="430" spans="2:2" ht="18.75" x14ac:dyDescent="0.25">
      <c r="B430" s="211" t="s">
        <v>406</v>
      </c>
    </row>
    <row r="431" spans="2:2" ht="18.75" x14ac:dyDescent="0.25">
      <c r="B431" s="210" t="s">
        <v>407</v>
      </c>
    </row>
    <row r="432" spans="2:2" ht="18.75" x14ac:dyDescent="0.25">
      <c r="B432" s="211" t="s">
        <v>408</v>
      </c>
    </row>
    <row r="433" spans="2:2" ht="18.75" x14ac:dyDescent="0.25">
      <c r="B433" s="210" t="s">
        <v>409</v>
      </c>
    </row>
    <row r="434" spans="2:2" ht="18.75" x14ac:dyDescent="0.25">
      <c r="B434" s="211" t="s">
        <v>410</v>
      </c>
    </row>
    <row r="435" spans="2:2" ht="18.75" x14ac:dyDescent="0.25">
      <c r="B435" s="202">
        <v>234</v>
      </c>
    </row>
    <row r="436" spans="2:2" ht="18.75" x14ac:dyDescent="0.25">
      <c r="B436" s="205">
        <v>235</v>
      </c>
    </row>
    <row r="437" spans="2:2" ht="18.75" x14ac:dyDescent="0.25">
      <c r="B437" s="210" t="s">
        <v>411</v>
      </c>
    </row>
    <row r="438" spans="2:2" ht="18.75" x14ac:dyDescent="0.25">
      <c r="B438" s="211" t="s">
        <v>412</v>
      </c>
    </row>
    <row r="439" spans="2:2" ht="18.75" x14ac:dyDescent="0.25">
      <c r="B439" s="210" t="s">
        <v>413</v>
      </c>
    </row>
    <row r="440" spans="2:2" ht="18.75" x14ac:dyDescent="0.25">
      <c r="B440" s="211" t="s">
        <v>414</v>
      </c>
    </row>
    <row r="441" spans="2:2" ht="18.75" x14ac:dyDescent="0.25">
      <c r="B441" s="202">
        <v>236</v>
      </c>
    </row>
    <row r="442" spans="2:2" ht="18.75" x14ac:dyDescent="0.25">
      <c r="B442" s="205">
        <v>237</v>
      </c>
    </row>
    <row r="443" spans="2:2" ht="18.75" x14ac:dyDescent="0.25">
      <c r="B443" s="202">
        <v>238</v>
      </c>
    </row>
    <row r="444" spans="2:2" ht="18.75" x14ac:dyDescent="0.25">
      <c r="B444" s="211" t="s">
        <v>415</v>
      </c>
    </row>
    <row r="445" spans="2:2" ht="18.75" x14ac:dyDescent="0.25">
      <c r="B445" s="210" t="s">
        <v>416</v>
      </c>
    </row>
    <row r="446" spans="2:2" ht="18.75" x14ac:dyDescent="0.25">
      <c r="B446" s="211" t="s">
        <v>417</v>
      </c>
    </row>
    <row r="447" spans="2:2" ht="18.75" x14ac:dyDescent="0.25">
      <c r="B447" s="210" t="s">
        <v>418</v>
      </c>
    </row>
    <row r="448" spans="2:2" ht="18.75" x14ac:dyDescent="0.25">
      <c r="B448" s="205">
        <v>239</v>
      </c>
    </row>
    <row r="449" spans="2:2" ht="18.75" x14ac:dyDescent="0.25">
      <c r="B449" s="202">
        <v>240</v>
      </c>
    </row>
    <row r="450" spans="2:2" ht="18.75" x14ac:dyDescent="0.25">
      <c r="B450" s="205">
        <v>241</v>
      </c>
    </row>
    <row r="451" spans="2:2" ht="18.75" x14ac:dyDescent="0.25">
      <c r="B451" s="202">
        <v>242</v>
      </c>
    </row>
    <row r="452" spans="2:2" ht="18.75" x14ac:dyDescent="0.25">
      <c r="B452" s="205">
        <v>244</v>
      </c>
    </row>
    <row r="453" spans="2:2" ht="18.75" x14ac:dyDescent="0.25">
      <c r="B453" s="210" t="s">
        <v>419</v>
      </c>
    </row>
    <row r="454" spans="2:2" ht="18.75" x14ac:dyDescent="0.25">
      <c r="B454" s="205">
        <v>243</v>
      </c>
    </row>
    <row r="455" spans="2:2" ht="18.75" x14ac:dyDescent="0.25">
      <c r="B455" s="210" t="s">
        <v>420</v>
      </c>
    </row>
    <row r="456" spans="2:2" ht="18.75" x14ac:dyDescent="0.25">
      <c r="B456" s="211" t="s">
        <v>421</v>
      </c>
    </row>
    <row r="457" spans="2:2" ht="18.75" x14ac:dyDescent="0.25">
      <c r="B457" s="210" t="s">
        <v>422</v>
      </c>
    </row>
    <row r="458" spans="2:2" ht="18.75" x14ac:dyDescent="0.25">
      <c r="B458" s="205">
        <v>245</v>
      </c>
    </row>
    <row r="459" spans="2:2" ht="18.75" x14ac:dyDescent="0.25">
      <c r="B459" s="210" t="s">
        <v>423</v>
      </c>
    </row>
    <row r="460" spans="2:2" ht="18.75" x14ac:dyDescent="0.25">
      <c r="B460" s="211" t="s">
        <v>424</v>
      </c>
    </row>
    <row r="461" spans="2:2" ht="18.75" x14ac:dyDescent="0.25">
      <c r="B461" s="202">
        <v>246</v>
      </c>
    </row>
    <row r="462" spans="2:2" ht="18.75" x14ac:dyDescent="0.25">
      <c r="B462" s="211" t="s">
        <v>425</v>
      </c>
    </row>
    <row r="463" spans="2:2" ht="18.75" x14ac:dyDescent="0.25">
      <c r="B463" s="210" t="s">
        <v>426</v>
      </c>
    </row>
    <row r="464" spans="2:2" ht="18.75" x14ac:dyDescent="0.25">
      <c r="B464" s="211" t="s">
        <v>427</v>
      </c>
    </row>
    <row r="465" spans="2:2" ht="18.75" x14ac:dyDescent="0.25">
      <c r="B465" s="202">
        <v>247</v>
      </c>
    </row>
    <row r="466" spans="2:2" ht="18.75" x14ac:dyDescent="0.25">
      <c r="B466" s="205">
        <v>249</v>
      </c>
    </row>
    <row r="467" spans="2:2" ht="18.75" x14ac:dyDescent="0.25">
      <c r="B467" s="210" t="s">
        <v>428</v>
      </c>
    </row>
    <row r="468" spans="2:2" ht="18.75" x14ac:dyDescent="0.25">
      <c r="B468" s="211" t="s">
        <v>429</v>
      </c>
    </row>
    <row r="469" spans="2:2" ht="18.75" x14ac:dyDescent="0.25">
      <c r="B469" s="210" t="s">
        <v>430</v>
      </c>
    </row>
    <row r="470" spans="2:2" ht="18.75" x14ac:dyDescent="0.25">
      <c r="B470" s="211" t="s">
        <v>431</v>
      </c>
    </row>
    <row r="471" spans="2:2" ht="18.75" x14ac:dyDescent="0.25">
      <c r="B471" s="210" t="s">
        <v>432</v>
      </c>
    </row>
    <row r="472" spans="2:2" ht="18.75" x14ac:dyDescent="0.25">
      <c r="B472" s="205">
        <v>248</v>
      </c>
    </row>
    <row r="473" spans="2:2" ht="18.75" x14ac:dyDescent="0.25">
      <c r="B473" s="202">
        <v>250</v>
      </c>
    </row>
    <row r="474" spans="2:2" ht="18.75" x14ac:dyDescent="0.25">
      <c r="B474" s="211" t="s">
        <v>433</v>
      </c>
    </row>
    <row r="475" spans="2:2" ht="18.75" x14ac:dyDescent="0.25">
      <c r="B475" s="202">
        <v>253</v>
      </c>
    </row>
    <row r="476" spans="2:2" ht="18.75" x14ac:dyDescent="0.25">
      <c r="B476" s="205">
        <v>254</v>
      </c>
    </row>
    <row r="477" spans="2:2" ht="18.75" x14ac:dyDescent="0.25">
      <c r="B477" s="202">
        <v>255</v>
      </c>
    </row>
    <row r="478" spans="2:2" ht="18.75" x14ac:dyDescent="0.25">
      <c r="B478" s="211" t="s">
        <v>434</v>
      </c>
    </row>
    <row r="479" spans="2:2" ht="18.75" x14ac:dyDescent="0.25">
      <c r="B479" s="210" t="s">
        <v>435</v>
      </c>
    </row>
    <row r="480" spans="2:2" ht="18.75" x14ac:dyDescent="0.25">
      <c r="B480" s="211" t="s">
        <v>436</v>
      </c>
    </row>
    <row r="481" spans="2:2" ht="18.75" x14ac:dyDescent="0.25">
      <c r="B481" s="210" t="s">
        <v>437</v>
      </c>
    </row>
    <row r="482" spans="2:2" ht="18.75" x14ac:dyDescent="0.25">
      <c r="B482" s="211" t="s">
        <v>438</v>
      </c>
    </row>
    <row r="483" spans="2:2" ht="18.75" x14ac:dyDescent="0.25">
      <c r="B483" s="202">
        <v>251</v>
      </c>
    </row>
    <row r="484" spans="2:2" ht="18.75" x14ac:dyDescent="0.25">
      <c r="B484" s="205">
        <v>256</v>
      </c>
    </row>
    <row r="485" spans="2:2" ht="18.75" x14ac:dyDescent="0.25">
      <c r="B485" s="202">
        <v>252</v>
      </c>
    </row>
    <row r="486" spans="2:2" ht="18.75" x14ac:dyDescent="0.25">
      <c r="B486" s="205">
        <v>257</v>
      </c>
    </row>
    <row r="487" spans="2:2" ht="18.75" x14ac:dyDescent="0.25">
      <c r="B487" s="202">
        <v>258</v>
      </c>
    </row>
    <row r="488" spans="2:2" ht="18.75" x14ac:dyDescent="0.25">
      <c r="B488" s="205">
        <v>259</v>
      </c>
    </row>
    <row r="489" spans="2:2" ht="18.75" x14ac:dyDescent="0.25">
      <c r="B489" s="202">
        <v>260</v>
      </c>
    </row>
    <row r="490" spans="2:2" ht="18.75" x14ac:dyDescent="0.25">
      <c r="B490" s="211" t="s">
        <v>439</v>
      </c>
    </row>
    <row r="491" spans="2:2" ht="18.75" x14ac:dyDescent="0.25">
      <c r="B491" s="210" t="s">
        <v>440</v>
      </c>
    </row>
    <row r="492" spans="2:2" ht="18.75" x14ac:dyDescent="0.25">
      <c r="B492" s="205">
        <v>261</v>
      </c>
    </row>
    <row r="493" spans="2:2" ht="18.75" x14ac:dyDescent="0.25">
      <c r="B493" s="202">
        <v>264</v>
      </c>
    </row>
    <row r="494" spans="2:2" ht="18.75" x14ac:dyDescent="0.25">
      <c r="B494" s="205">
        <v>265</v>
      </c>
    </row>
    <row r="495" spans="2:2" ht="18.75" x14ac:dyDescent="0.25">
      <c r="B495" s="210" t="s">
        <v>441</v>
      </c>
    </row>
    <row r="496" spans="2:2" ht="18.75" x14ac:dyDescent="0.25">
      <c r="B496" s="205">
        <v>263</v>
      </c>
    </row>
    <row r="497" spans="2:2" ht="18.75" x14ac:dyDescent="0.25">
      <c r="B497" s="202">
        <v>266</v>
      </c>
    </row>
    <row r="498" spans="2:2" ht="18.75" x14ac:dyDescent="0.25">
      <c r="B498" s="205">
        <v>267</v>
      </c>
    </row>
    <row r="499" spans="2:2" ht="18.75" x14ac:dyDescent="0.25">
      <c r="B499" s="202">
        <v>270</v>
      </c>
    </row>
    <row r="500" spans="2:2" ht="18.75" x14ac:dyDescent="0.25">
      <c r="B500" s="205">
        <v>269</v>
      </c>
    </row>
    <row r="501" spans="2:2" ht="18.75" x14ac:dyDescent="0.25">
      <c r="B501" s="202">
        <v>268</v>
      </c>
    </row>
    <row r="502" spans="2:2" ht="18.75" x14ac:dyDescent="0.25">
      <c r="B502" s="205">
        <v>271</v>
      </c>
    </row>
    <row r="503" spans="2:2" ht="18.75" x14ac:dyDescent="0.25">
      <c r="B503" s="210" t="s">
        <v>442</v>
      </c>
    </row>
    <row r="504" spans="2:2" ht="18.75" x14ac:dyDescent="0.25">
      <c r="B504" s="211" t="s">
        <v>443</v>
      </c>
    </row>
    <row r="505" spans="2:2" ht="18.75" x14ac:dyDescent="0.25">
      <c r="B505" s="210" t="s">
        <v>444</v>
      </c>
    </row>
    <row r="506" spans="2:2" ht="18.75" x14ac:dyDescent="0.25">
      <c r="B506" s="211" t="s">
        <v>445</v>
      </c>
    </row>
    <row r="507" spans="2:2" ht="18.75" x14ac:dyDescent="0.25">
      <c r="B507" s="202">
        <v>262</v>
      </c>
    </row>
    <row r="508" spans="2:2" ht="18.75" x14ac:dyDescent="0.25">
      <c r="B508" s="205">
        <v>272</v>
      </c>
    </row>
    <row r="509" spans="2:2" ht="18.75" x14ac:dyDescent="0.25">
      <c r="B509" s="202">
        <v>273</v>
      </c>
    </row>
    <row r="510" spans="2:2" ht="18.75" x14ac:dyDescent="0.25">
      <c r="B510" s="205">
        <v>274</v>
      </c>
    </row>
    <row r="511" spans="2:2" ht="18.75" x14ac:dyDescent="0.25">
      <c r="B511" s="202">
        <v>275</v>
      </c>
    </row>
    <row r="512" spans="2:2" ht="18.75" x14ac:dyDescent="0.25">
      <c r="B512" s="211" t="s">
        <v>446</v>
      </c>
    </row>
    <row r="513" spans="2:2" ht="18.75" x14ac:dyDescent="0.25">
      <c r="B513" s="210" t="s">
        <v>447</v>
      </c>
    </row>
    <row r="514" spans="2:2" ht="18.75" x14ac:dyDescent="0.25">
      <c r="B514" s="205">
        <v>276</v>
      </c>
    </row>
    <row r="515" spans="2:2" ht="18.75" x14ac:dyDescent="0.25">
      <c r="B515" s="202">
        <v>278</v>
      </c>
    </row>
    <row r="516" spans="2:2" ht="18.75" x14ac:dyDescent="0.25">
      <c r="B516" s="205">
        <v>279</v>
      </c>
    </row>
    <row r="517" spans="2:2" ht="18.75" x14ac:dyDescent="0.25">
      <c r="B517" s="202">
        <v>280</v>
      </c>
    </row>
    <row r="518" spans="2:2" ht="18.75" x14ac:dyDescent="0.25">
      <c r="B518" s="205">
        <v>282</v>
      </c>
    </row>
    <row r="519" spans="2:2" ht="18.75" x14ac:dyDescent="0.25">
      <c r="B519" s="202">
        <v>283</v>
      </c>
    </row>
    <row r="520" spans="2:2" ht="18.75" x14ac:dyDescent="0.25">
      <c r="B520" s="205">
        <v>277</v>
      </c>
    </row>
    <row r="521" spans="2:2" ht="18.75" x14ac:dyDescent="0.25">
      <c r="B521" s="202">
        <v>281</v>
      </c>
    </row>
    <row r="522" spans="2:2" ht="18.75" x14ac:dyDescent="0.25">
      <c r="B522" s="205">
        <v>284</v>
      </c>
    </row>
    <row r="523" spans="2:2" ht="18.75" x14ac:dyDescent="0.25">
      <c r="B523" s="202">
        <v>288</v>
      </c>
    </row>
    <row r="524" spans="2:2" ht="18.75" x14ac:dyDescent="0.25">
      <c r="B524" s="211" t="s">
        <v>448</v>
      </c>
    </row>
    <row r="525" spans="2:2" ht="18.75" x14ac:dyDescent="0.25">
      <c r="B525" s="210" t="s">
        <v>449</v>
      </c>
    </row>
    <row r="526" spans="2:2" ht="18.75" x14ac:dyDescent="0.25">
      <c r="B526" s="211" t="s">
        <v>450</v>
      </c>
    </row>
    <row r="527" spans="2:2" ht="18.75" x14ac:dyDescent="0.25">
      <c r="B527" s="210" t="s">
        <v>451</v>
      </c>
    </row>
    <row r="528" spans="2:2" ht="18.75" x14ac:dyDescent="0.25">
      <c r="B528" s="211" t="s">
        <v>452</v>
      </c>
    </row>
    <row r="529" spans="2:2" ht="18.75" x14ac:dyDescent="0.25">
      <c r="B529" s="202">
        <v>289</v>
      </c>
    </row>
    <row r="530" spans="2:2" ht="18.75" x14ac:dyDescent="0.25">
      <c r="B530" s="211" t="s">
        <v>453</v>
      </c>
    </row>
    <row r="531" spans="2:2" ht="18.75" x14ac:dyDescent="0.25">
      <c r="B531" s="210" t="s">
        <v>454</v>
      </c>
    </row>
    <row r="532" spans="2:2" ht="18.75" x14ac:dyDescent="0.25">
      <c r="B532" s="205">
        <v>285</v>
      </c>
    </row>
    <row r="533" spans="2:2" ht="18.75" x14ac:dyDescent="0.25">
      <c r="B533" s="202">
        <v>286</v>
      </c>
    </row>
    <row r="534" spans="2:2" ht="18.75" x14ac:dyDescent="0.25">
      <c r="B534" s="205">
        <v>287</v>
      </c>
    </row>
    <row r="535" spans="2:2" ht="18.75" x14ac:dyDescent="0.25">
      <c r="B535" s="202">
        <v>290</v>
      </c>
    </row>
    <row r="536" spans="2:2" ht="18.75" x14ac:dyDescent="0.25">
      <c r="B536" s="211" t="s">
        <v>455</v>
      </c>
    </row>
    <row r="537" spans="2:2" ht="18.75" x14ac:dyDescent="0.25">
      <c r="B537" s="202">
        <v>294</v>
      </c>
    </row>
    <row r="538" spans="2:2" ht="18.75" x14ac:dyDescent="0.25">
      <c r="B538" s="205">
        <v>292</v>
      </c>
    </row>
    <row r="539" spans="2:2" ht="18.75" x14ac:dyDescent="0.25">
      <c r="B539" s="210" t="s">
        <v>456</v>
      </c>
    </row>
    <row r="540" spans="2:2" ht="18.75" x14ac:dyDescent="0.25">
      <c r="B540" s="211" t="s">
        <v>457</v>
      </c>
    </row>
    <row r="541" spans="2:2" ht="18.75" x14ac:dyDescent="0.25">
      <c r="B541" s="210" t="s">
        <v>458</v>
      </c>
    </row>
    <row r="542" spans="2:2" ht="18.75" x14ac:dyDescent="0.25">
      <c r="B542" s="211" t="s">
        <v>459</v>
      </c>
    </row>
    <row r="543" spans="2:2" ht="18.75" x14ac:dyDescent="0.25">
      <c r="B543" s="210" t="s">
        <v>460</v>
      </c>
    </row>
    <row r="544" spans="2:2" ht="18.75" x14ac:dyDescent="0.25">
      <c r="B544" s="211" t="s">
        <v>461</v>
      </c>
    </row>
    <row r="545" spans="2:2" ht="18.75" x14ac:dyDescent="0.25">
      <c r="B545" s="210" t="s">
        <v>462</v>
      </c>
    </row>
    <row r="546" spans="2:2" ht="18.75" x14ac:dyDescent="0.25">
      <c r="B546" s="211" t="s">
        <v>463</v>
      </c>
    </row>
    <row r="547" spans="2:2" ht="18.75" x14ac:dyDescent="0.25">
      <c r="B547" s="210" t="s">
        <v>464</v>
      </c>
    </row>
    <row r="548" spans="2:2" ht="18.75" x14ac:dyDescent="0.25">
      <c r="B548" s="205">
        <v>293</v>
      </c>
    </row>
    <row r="549" spans="2:2" ht="18.75" x14ac:dyDescent="0.25">
      <c r="B549" s="210" t="s">
        <v>465</v>
      </c>
    </row>
    <row r="550" spans="2:2" ht="18.75" x14ac:dyDescent="0.25">
      <c r="B550" s="211" t="s">
        <v>466</v>
      </c>
    </row>
    <row r="551" spans="2:2" ht="18.75" x14ac:dyDescent="0.25">
      <c r="B551" s="210" t="s">
        <v>467</v>
      </c>
    </row>
    <row r="552" spans="2:2" ht="18.75" x14ac:dyDescent="0.25">
      <c r="B552" s="211" t="s">
        <v>468</v>
      </c>
    </row>
    <row r="553" spans="2:2" ht="18.75" x14ac:dyDescent="0.25">
      <c r="B553" s="202">
        <v>291</v>
      </c>
    </row>
    <row r="554" spans="2:2" ht="18.75" x14ac:dyDescent="0.25">
      <c r="B554" s="205">
        <v>295</v>
      </c>
    </row>
    <row r="555" spans="2:2" ht="18.75" x14ac:dyDescent="0.25">
      <c r="B555" s="202">
        <v>296</v>
      </c>
    </row>
    <row r="556" spans="2:2" ht="18.75" x14ac:dyDescent="0.25">
      <c r="B556" s="205">
        <v>297</v>
      </c>
    </row>
    <row r="557" spans="2:2" ht="18.75" x14ac:dyDescent="0.25">
      <c r="B557" s="202">
        <v>298</v>
      </c>
    </row>
    <row r="558" spans="2:2" ht="18.75" x14ac:dyDescent="0.25">
      <c r="B558" s="205">
        <v>299</v>
      </c>
    </row>
    <row r="559" spans="2:2" ht="18.75" x14ac:dyDescent="0.25">
      <c r="B559" s="210" t="s">
        <v>469</v>
      </c>
    </row>
    <row r="560" spans="2:2" ht="18.75" x14ac:dyDescent="0.25">
      <c r="B560" s="211" t="s">
        <v>470</v>
      </c>
    </row>
    <row r="561" spans="2:2" ht="18.75" x14ac:dyDescent="0.25">
      <c r="B561" s="210" t="s">
        <v>471</v>
      </c>
    </row>
    <row r="562" spans="2:2" ht="18.75" x14ac:dyDescent="0.25">
      <c r="B562" s="211" t="s">
        <v>472</v>
      </c>
    </row>
    <row r="563" spans="2:2" ht="18.75" x14ac:dyDescent="0.25">
      <c r="B563" s="210" t="s">
        <v>473</v>
      </c>
    </row>
    <row r="564" spans="2:2" ht="18.75" x14ac:dyDescent="0.25">
      <c r="B564" s="205">
        <v>300</v>
      </c>
    </row>
    <row r="565" spans="2:2" ht="18.75" x14ac:dyDescent="0.25">
      <c r="B565" s="210" t="s">
        <v>474</v>
      </c>
    </row>
    <row r="566" spans="2:2" ht="18.75" x14ac:dyDescent="0.25">
      <c r="B566" s="211" t="s">
        <v>475</v>
      </c>
    </row>
    <row r="567" spans="2:2" ht="18.75" x14ac:dyDescent="0.25">
      <c r="B567" s="210" t="s">
        <v>476</v>
      </c>
    </row>
    <row r="568" spans="2:2" ht="18.75" x14ac:dyDescent="0.25">
      <c r="B568" s="211" t="s">
        <v>477</v>
      </c>
    </row>
    <row r="569" spans="2:2" ht="18.75" x14ac:dyDescent="0.25">
      <c r="B569" s="210" t="s">
        <v>478</v>
      </c>
    </row>
    <row r="570" spans="2:2" ht="18.75" x14ac:dyDescent="0.25">
      <c r="B570" s="211" t="s">
        <v>479</v>
      </c>
    </row>
    <row r="571" spans="2:2" ht="18.75" x14ac:dyDescent="0.25">
      <c r="B571" s="210" t="s">
        <v>480</v>
      </c>
    </row>
    <row r="572" spans="2:2" ht="18.75" x14ac:dyDescent="0.25">
      <c r="B572" s="211" t="s">
        <v>481</v>
      </c>
    </row>
    <row r="573" spans="2:2" ht="18.75" x14ac:dyDescent="0.25">
      <c r="B573" s="210" t="s">
        <v>482</v>
      </c>
    </row>
    <row r="574" spans="2:2" ht="18.75" x14ac:dyDescent="0.25">
      <c r="B574" s="211" t="s">
        <v>483</v>
      </c>
    </row>
    <row r="575" spans="2:2" ht="18.75" x14ac:dyDescent="0.25">
      <c r="B575" s="210" t="s">
        <v>484</v>
      </c>
    </row>
    <row r="576" spans="2:2" ht="18.75" x14ac:dyDescent="0.25">
      <c r="B576" s="205">
        <v>301</v>
      </c>
    </row>
    <row r="577" spans="2:2" ht="18.75" x14ac:dyDescent="0.25">
      <c r="B577" s="210" t="s">
        <v>485</v>
      </c>
    </row>
    <row r="578" spans="2:2" ht="18.75" x14ac:dyDescent="0.25">
      <c r="B578" s="205">
        <v>302</v>
      </c>
    </row>
    <row r="579" spans="2:2" ht="18.75" x14ac:dyDescent="0.25">
      <c r="B579" s="202">
        <v>303</v>
      </c>
    </row>
    <row r="580" spans="2:2" ht="18.75" x14ac:dyDescent="0.25">
      <c r="B580" s="205">
        <v>304</v>
      </c>
    </row>
    <row r="581" spans="2:2" ht="18.75" x14ac:dyDescent="0.25">
      <c r="B581" s="210" t="s">
        <v>486</v>
      </c>
    </row>
    <row r="582" spans="2:2" ht="18.75" x14ac:dyDescent="0.25">
      <c r="B582" s="211" t="s">
        <v>487</v>
      </c>
    </row>
    <row r="583" spans="2:2" ht="18.75" x14ac:dyDescent="0.25">
      <c r="B583" s="202">
        <v>305</v>
      </c>
    </row>
    <row r="584" spans="2:2" ht="18.75" x14ac:dyDescent="0.25">
      <c r="B584" s="205">
        <v>306</v>
      </c>
    </row>
    <row r="585" spans="2:2" ht="18.75" x14ac:dyDescent="0.25">
      <c r="B585" s="210" t="s">
        <v>488</v>
      </c>
    </row>
    <row r="586" spans="2:2" ht="18.75" x14ac:dyDescent="0.25">
      <c r="B586" s="211" t="s">
        <v>489</v>
      </c>
    </row>
    <row r="587" spans="2:2" ht="18.75" x14ac:dyDescent="0.25">
      <c r="B587" s="210" t="s">
        <v>490</v>
      </c>
    </row>
    <row r="588" spans="2:2" ht="18.75" x14ac:dyDescent="0.25">
      <c r="B588" s="211" t="s">
        <v>491</v>
      </c>
    </row>
    <row r="589" spans="2:2" ht="18.75" x14ac:dyDescent="0.25">
      <c r="B589" s="210" t="s">
        <v>492</v>
      </c>
    </row>
    <row r="590" spans="2:2" ht="18.75" x14ac:dyDescent="0.25">
      <c r="B590" s="205">
        <v>309</v>
      </c>
    </row>
    <row r="591" spans="2:2" ht="18.75" x14ac:dyDescent="0.25">
      <c r="B591" s="210" t="s">
        <v>493</v>
      </c>
    </row>
    <row r="592" spans="2:2" ht="18.75" x14ac:dyDescent="0.25">
      <c r="B592" s="211" t="s">
        <v>494</v>
      </c>
    </row>
    <row r="593" spans="2:2" ht="18.75" x14ac:dyDescent="0.25">
      <c r="B593" s="210" t="s">
        <v>495</v>
      </c>
    </row>
    <row r="594" spans="2:2" ht="18.75" x14ac:dyDescent="0.25">
      <c r="B594" s="205">
        <v>307</v>
      </c>
    </row>
    <row r="595" spans="2:2" ht="18.75" x14ac:dyDescent="0.25">
      <c r="B595" s="210" t="s">
        <v>496</v>
      </c>
    </row>
    <row r="596" spans="2:2" ht="18.75" x14ac:dyDescent="0.25">
      <c r="B596" s="205">
        <v>310</v>
      </c>
    </row>
    <row r="597" spans="2:2" ht="18.75" x14ac:dyDescent="0.25">
      <c r="B597" s="202">
        <v>312</v>
      </c>
    </row>
    <row r="598" spans="2:2" ht="18.75" x14ac:dyDescent="0.25">
      <c r="B598" s="211" t="s">
        <v>497</v>
      </c>
    </row>
    <row r="599" spans="2:2" ht="18.75" x14ac:dyDescent="0.25">
      <c r="B599" s="202">
        <v>311</v>
      </c>
    </row>
    <row r="600" spans="2:2" ht="18.75" x14ac:dyDescent="0.25">
      <c r="B600" s="211" t="s">
        <v>498</v>
      </c>
    </row>
    <row r="601" spans="2:2" ht="18.75" x14ac:dyDescent="0.25">
      <c r="B601" s="210" t="s">
        <v>499</v>
      </c>
    </row>
    <row r="602" spans="2:2" ht="18.75" x14ac:dyDescent="0.25">
      <c r="B602" s="211" t="s">
        <v>500</v>
      </c>
    </row>
    <row r="603" spans="2:2" ht="18.75" x14ac:dyDescent="0.25">
      <c r="B603" s="210" t="s">
        <v>501</v>
      </c>
    </row>
    <row r="604" spans="2:2" ht="18.75" x14ac:dyDescent="0.25">
      <c r="B604" s="211" t="s">
        <v>502</v>
      </c>
    </row>
    <row r="605" spans="2:2" ht="18.75" x14ac:dyDescent="0.25">
      <c r="B605" s="210" t="s">
        <v>503</v>
      </c>
    </row>
    <row r="606" spans="2:2" ht="18.75" x14ac:dyDescent="0.25">
      <c r="B606" s="211" t="s">
        <v>504</v>
      </c>
    </row>
    <row r="607" spans="2:2" ht="18.75" x14ac:dyDescent="0.25">
      <c r="B607" s="210" t="s">
        <v>505</v>
      </c>
    </row>
    <row r="608" spans="2:2" ht="18.75" x14ac:dyDescent="0.25">
      <c r="B608" s="205">
        <v>313</v>
      </c>
    </row>
    <row r="609" spans="2:2" ht="18.75" x14ac:dyDescent="0.25">
      <c r="B609" s="202">
        <v>317</v>
      </c>
    </row>
    <row r="610" spans="2:2" ht="18.75" x14ac:dyDescent="0.25">
      <c r="B610" s="205">
        <v>308</v>
      </c>
    </row>
    <row r="611" spans="2:2" ht="18.75" x14ac:dyDescent="0.25">
      <c r="B611" s="202">
        <v>315</v>
      </c>
    </row>
    <row r="612" spans="2:2" ht="18.75" x14ac:dyDescent="0.25">
      <c r="B612" s="205">
        <v>316</v>
      </c>
    </row>
    <row r="613" spans="2:2" ht="18.75" x14ac:dyDescent="0.25">
      <c r="B613" s="202">
        <v>319</v>
      </c>
    </row>
    <row r="614" spans="2:2" ht="18.75" x14ac:dyDescent="0.25">
      <c r="B614" s="205">
        <v>320</v>
      </c>
    </row>
    <row r="615" spans="2:2" ht="18.75" x14ac:dyDescent="0.25">
      <c r="B615" s="210" t="s">
        <v>506</v>
      </c>
    </row>
    <row r="616" spans="2:2" ht="18.75" x14ac:dyDescent="0.25">
      <c r="B616" s="211" t="s">
        <v>507</v>
      </c>
    </row>
    <row r="617" spans="2:2" ht="18.75" x14ac:dyDescent="0.25">
      <c r="B617" s="202">
        <v>318</v>
      </c>
    </row>
    <row r="618" spans="2:2" ht="18.75" x14ac:dyDescent="0.25">
      <c r="B618" s="211" t="s">
        <v>508</v>
      </c>
    </row>
    <row r="619" spans="2:2" ht="18.75" x14ac:dyDescent="0.25">
      <c r="B619" s="210" t="s">
        <v>509</v>
      </c>
    </row>
    <row r="620" spans="2:2" ht="18.75" x14ac:dyDescent="0.25">
      <c r="B620" s="211" t="s">
        <v>510</v>
      </c>
    </row>
    <row r="621" spans="2:2" ht="18.75" x14ac:dyDescent="0.25">
      <c r="B621" s="202">
        <v>323</v>
      </c>
    </row>
    <row r="622" spans="2:2" ht="18.75" x14ac:dyDescent="0.25">
      <c r="B622" s="205">
        <v>324</v>
      </c>
    </row>
    <row r="623" spans="2:2" ht="18.75" x14ac:dyDescent="0.25">
      <c r="B623" s="210" t="s">
        <v>511</v>
      </c>
    </row>
    <row r="624" spans="2:2" ht="18.75" x14ac:dyDescent="0.25">
      <c r="B624" s="205">
        <v>325</v>
      </c>
    </row>
    <row r="625" spans="2:2" ht="18.75" x14ac:dyDescent="0.25">
      <c r="B625" s="210" t="s">
        <v>512</v>
      </c>
    </row>
    <row r="626" spans="2:2" ht="18.75" x14ac:dyDescent="0.25">
      <c r="B626" s="205">
        <v>321</v>
      </c>
    </row>
    <row r="627" spans="2:2" ht="18.75" x14ac:dyDescent="0.25">
      <c r="B627" s="210" t="s">
        <v>513</v>
      </c>
    </row>
    <row r="628" spans="2:2" ht="18.75" x14ac:dyDescent="0.25">
      <c r="B628" s="211" t="s">
        <v>514</v>
      </c>
    </row>
    <row r="629" spans="2:2" ht="18.75" x14ac:dyDescent="0.25">
      <c r="B629" s="202">
        <v>326</v>
      </c>
    </row>
    <row r="630" spans="2:2" ht="18.75" x14ac:dyDescent="0.25">
      <c r="B630" s="205">
        <v>327</v>
      </c>
    </row>
    <row r="631" spans="2:2" ht="18.75" x14ac:dyDescent="0.25">
      <c r="B631" s="202">
        <v>314</v>
      </c>
    </row>
    <row r="632" spans="2:2" ht="18.75" x14ac:dyDescent="0.25">
      <c r="B632" s="205">
        <v>329</v>
      </c>
    </row>
    <row r="633" spans="2:2" ht="18.75" x14ac:dyDescent="0.25">
      <c r="B633" s="202">
        <v>328</v>
      </c>
    </row>
    <row r="634" spans="2:2" ht="18.75" x14ac:dyDescent="0.25">
      <c r="B634" s="205">
        <v>330</v>
      </c>
    </row>
    <row r="635" spans="2:2" ht="18.75" x14ac:dyDescent="0.25">
      <c r="B635" s="202">
        <v>331</v>
      </c>
    </row>
    <row r="636" spans="2:2" ht="18.75" x14ac:dyDescent="0.25">
      <c r="B636" s="205">
        <v>333</v>
      </c>
    </row>
    <row r="637" spans="2:2" ht="18.75" x14ac:dyDescent="0.25">
      <c r="B637" s="210" t="s">
        <v>515</v>
      </c>
    </row>
    <row r="638" spans="2:2" ht="18.75" x14ac:dyDescent="0.25">
      <c r="B638" s="205">
        <v>334</v>
      </c>
    </row>
    <row r="639" spans="2:2" ht="18.75" x14ac:dyDescent="0.25">
      <c r="B639" s="202">
        <v>322</v>
      </c>
    </row>
    <row r="640" spans="2:2" ht="18.75" x14ac:dyDescent="0.25">
      <c r="B640" s="205">
        <v>335</v>
      </c>
    </row>
    <row r="641" spans="2:2" ht="18.75" x14ac:dyDescent="0.25">
      <c r="B641" s="202">
        <v>336</v>
      </c>
    </row>
    <row r="642" spans="2:2" ht="18.75" x14ac:dyDescent="0.25">
      <c r="B642" s="205">
        <v>337</v>
      </c>
    </row>
    <row r="643" spans="2:2" ht="18.75" x14ac:dyDescent="0.25">
      <c r="B643" s="202">
        <v>338</v>
      </c>
    </row>
    <row r="644" spans="2:2" ht="18.75" x14ac:dyDescent="0.25">
      <c r="B644" s="211" t="s">
        <v>516</v>
      </c>
    </row>
    <row r="645" spans="2:2" ht="18.75" x14ac:dyDescent="0.25">
      <c r="B645" s="210" t="s">
        <v>517</v>
      </c>
    </row>
    <row r="646" spans="2:2" ht="18.75" x14ac:dyDescent="0.25">
      <c r="B646" s="205">
        <v>339</v>
      </c>
    </row>
    <row r="647" spans="2:2" ht="18.75" x14ac:dyDescent="0.25">
      <c r="B647" s="202">
        <v>341</v>
      </c>
    </row>
    <row r="648" spans="2:2" ht="18.75" x14ac:dyDescent="0.25">
      <c r="B648" s="211" t="s">
        <v>518</v>
      </c>
    </row>
    <row r="649" spans="2:2" ht="18.75" x14ac:dyDescent="0.25">
      <c r="B649" s="202">
        <v>343</v>
      </c>
    </row>
    <row r="650" spans="2:2" ht="18.75" x14ac:dyDescent="0.25">
      <c r="B650" s="205">
        <v>332</v>
      </c>
    </row>
    <row r="651" spans="2:2" ht="18.75" x14ac:dyDescent="0.25">
      <c r="B651" s="202">
        <v>345</v>
      </c>
    </row>
    <row r="652" spans="2:2" ht="18.75" x14ac:dyDescent="0.25">
      <c r="B652" s="205">
        <v>346</v>
      </c>
    </row>
    <row r="653" spans="2:2" ht="18.75" x14ac:dyDescent="0.25">
      <c r="B653" s="210" t="s">
        <v>519</v>
      </c>
    </row>
    <row r="654" spans="2:2" ht="18.75" x14ac:dyDescent="0.25">
      <c r="B654" s="205">
        <v>349</v>
      </c>
    </row>
    <row r="655" spans="2:2" ht="18.75" x14ac:dyDescent="0.25">
      <c r="B655" s="202">
        <v>350</v>
      </c>
    </row>
    <row r="656" spans="2:2" ht="18.75" x14ac:dyDescent="0.25">
      <c r="B656" s="205">
        <v>347</v>
      </c>
    </row>
    <row r="657" spans="2:2" ht="18.75" x14ac:dyDescent="0.25">
      <c r="B657" s="202">
        <v>348</v>
      </c>
    </row>
    <row r="658" spans="2:2" ht="18.75" x14ac:dyDescent="0.25">
      <c r="B658" s="211" t="s">
        <v>520</v>
      </c>
    </row>
    <row r="659" spans="2:2" ht="18.75" x14ac:dyDescent="0.25">
      <c r="B659" s="202">
        <v>344</v>
      </c>
    </row>
    <row r="660" spans="2:2" ht="18.75" x14ac:dyDescent="0.25">
      <c r="B660" s="205">
        <v>342</v>
      </c>
    </row>
    <row r="661" spans="2:2" ht="18.75" x14ac:dyDescent="0.25">
      <c r="B661" s="202">
        <v>356</v>
      </c>
    </row>
    <row r="662" spans="2:2" ht="18.75" x14ac:dyDescent="0.25">
      <c r="B662" s="211" t="s">
        <v>521</v>
      </c>
    </row>
    <row r="663" spans="2:2" ht="18.75" x14ac:dyDescent="0.25">
      <c r="B663" s="202">
        <v>340</v>
      </c>
    </row>
    <row r="664" spans="2:2" ht="18.75" x14ac:dyDescent="0.25">
      <c r="B664" s="211" t="s">
        <v>522</v>
      </c>
    </row>
    <row r="665" spans="2:2" ht="18.75" x14ac:dyDescent="0.25">
      <c r="B665" s="202">
        <v>359</v>
      </c>
    </row>
    <row r="666" spans="2:2" ht="18.75" x14ac:dyDescent="0.25">
      <c r="B666" s="205">
        <v>364</v>
      </c>
    </row>
    <row r="667" spans="2:2" ht="18.75" x14ac:dyDescent="0.25">
      <c r="B667" s="202">
        <v>362</v>
      </c>
    </row>
    <row r="668" spans="2:2" ht="18.75" x14ac:dyDescent="0.25">
      <c r="B668" s="205">
        <v>365</v>
      </c>
    </row>
    <row r="669" spans="2:2" ht="18.75" x14ac:dyDescent="0.25">
      <c r="B669" s="202">
        <v>358</v>
      </c>
    </row>
    <row r="670" spans="2:2" ht="18.75" x14ac:dyDescent="0.25">
      <c r="B670" s="205">
        <v>363</v>
      </c>
    </row>
    <row r="671" spans="2:2" ht="18.75" x14ac:dyDescent="0.25">
      <c r="B671" s="202">
        <v>357</v>
      </c>
    </row>
    <row r="672" spans="2:2" ht="18.75" x14ac:dyDescent="0.25">
      <c r="B672" s="205">
        <v>360</v>
      </c>
    </row>
    <row r="673" spans="2:2" ht="18.75" x14ac:dyDescent="0.25">
      <c r="B673" s="202">
        <v>361</v>
      </c>
    </row>
    <row r="674" spans="2:2" ht="18.75" x14ac:dyDescent="0.25">
      <c r="B674" s="205">
        <v>409</v>
      </c>
    </row>
    <row r="675" spans="2:2" ht="18.75" x14ac:dyDescent="0.25">
      <c r="B675" s="202">
        <v>367</v>
      </c>
    </row>
    <row r="676" spans="2:2" ht="18.75" x14ac:dyDescent="0.25">
      <c r="B676" s="205">
        <v>354</v>
      </c>
    </row>
    <row r="677" spans="2:2" ht="18.75" x14ac:dyDescent="0.25">
      <c r="B677" s="202">
        <v>351</v>
      </c>
    </row>
    <row r="678" spans="2:2" ht="18.75" x14ac:dyDescent="0.25">
      <c r="B678" s="205">
        <v>352</v>
      </c>
    </row>
    <row r="679" spans="2:2" ht="18.75" x14ac:dyDescent="0.25">
      <c r="B679" s="202">
        <v>353</v>
      </c>
    </row>
    <row r="680" spans="2:2" ht="18.75" x14ac:dyDescent="0.25">
      <c r="B680" s="205">
        <v>355</v>
      </c>
    </row>
    <row r="681" spans="2:2" ht="18.75" x14ac:dyDescent="0.25">
      <c r="B681" s="202">
        <v>368</v>
      </c>
    </row>
    <row r="682" spans="2:2" ht="18.75" x14ac:dyDescent="0.25">
      <c r="B682" s="205">
        <v>369</v>
      </c>
    </row>
    <row r="683" spans="2:2" ht="18.75" x14ac:dyDescent="0.25">
      <c r="B683" s="202">
        <v>370</v>
      </c>
    </row>
    <row r="684" spans="2:2" ht="18.75" x14ac:dyDescent="0.25">
      <c r="B684" s="205">
        <v>371</v>
      </c>
    </row>
    <row r="685" spans="2:2" ht="18.75" x14ac:dyDescent="0.25">
      <c r="B685" s="202">
        <v>381</v>
      </c>
    </row>
    <row r="686" spans="2:2" ht="18.75" x14ac:dyDescent="0.25">
      <c r="B686" s="205">
        <v>366</v>
      </c>
    </row>
    <row r="687" spans="2:2" ht="18.75" x14ac:dyDescent="0.25">
      <c r="B687" s="210" t="s">
        <v>523</v>
      </c>
    </row>
    <row r="688" spans="2:2" ht="18.75" x14ac:dyDescent="0.25">
      <c r="B688" s="205">
        <v>372</v>
      </c>
    </row>
    <row r="689" spans="2:2" ht="18.75" x14ac:dyDescent="0.25">
      <c r="B689" s="202">
        <v>373</v>
      </c>
    </row>
    <row r="690" spans="2:2" ht="18.75" x14ac:dyDescent="0.25">
      <c r="B690" s="205">
        <v>374</v>
      </c>
    </row>
    <row r="691" spans="2:2" ht="18.75" x14ac:dyDescent="0.25">
      <c r="B691" s="202">
        <v>375</v>
      </c>
    </row>
    <row r="692" spans="2:2" ht="18.75" x14ac:dyDescent="0.25">
      <c r="B692" s="205">
        <v>376</v>
      </c>
    </row>
    <row r="693" spans="2:2" ht="18.75" x14ac:dyDescent="0.25">
      <c r="B693" s="202">
        <v>377</v>
      </c>
    </row>
    <row r="694" spans="2:2" ht="18.75" x14ac:dyDescent="0.25">
      <c r="B694" s="205">
        <v>378</v>
      </c>
    </row>
    <row r="695" spans="2:2" ht="18.75" x14ac:dyDescent="0.25">
      <c r="B695" s="202">
        <v>379</v>
      </c>
    </row>
    <row r="696" spans="2:2" ht="18.75" x14ac:dyDescent="0.25">
      <c r="B696" s="205">
        <v>380</v>
      </c>
    </row>
    <row r="697" spans="2:2" ht="18.75" x14ac:dyDescent="0.25">
      <c r="B697" s="210" t="s">
        <v>524</v>
      </c>
    </row>
    <row r="698" spans="2:2" ht="18.75" x14ac:dyDescent="0.25">
      <c r="B698" s="205">
        <v>382</v>
      </c>
    </row>
    <row r="699" spans="2:2" ht="18.75" x14ac:dyDescent="0.25">
      <c r="B699" s="202">
        <v>383</v>
      </c>
    </row>
    <row r="700" spans="2:2" ht="18.75" x14ac:dyDescent="0.25">
      <c r="B700" s="205">
        <v>384</v>
      </c>
    </row>
    <row r="701" spans="2:2" ht="18.75" x14ac:dyDescent="0.25">
      <c r="B701" s="202">
        <v>385</v>
      </c>
    </row>
    <row r="702" spans="2:2" ht="18.75" x14ac:dyDescent="0.25">
      <c r="B702" s="205">
        <v>386</v>
      </c>
    </row>
    <row r="703" spans="2:2" ht="18.75" x14ac:dyDescent="0.25">
      <c r="B703" s="202">
        <v>387</v>
      </c>
    </row>
    <row r="704" spans="2:2" ht="18.75" x14ac:dyDescent="0.25">
      <c r="B704" s="205">
        <v>389</v>
      </c>
    </row>
    <row r="705" spans="2:2" ht="18.75" x14ac:dyDescent="0.25">
      <c r="B705" s="202">
        <v>390</v>
      </c>
    </row>
    <row r="706" spans="2:2" ht="18.75" x14ac:dyDescent="0.25">
      <c r="B706" s="205">
        <v>388</v>
      </c>
    </row>
    <row r="707" spans="2:2" ht="18.75" x14ac:dyDescent="0.25">
      <c r="B707" s="202">
        <v>392</v>
      </c>
    </row>
    <row r="708" spans="2:2" ht="18.75" x14ac:dyDescent="0.25">
      <c r="B708" s="205">
        <v>393</v>
      </c>
    </row>
    <row r="709" spans="2:2" ht="18.75" x14ac:dyDescent="0.25">
      <c r="B709" s="202">
        <v>394</v>
      </c>
    </row>
    <row r="710" spans="2:2" ht="18.75" x14ac:dyDescent="0.25">
      <c r="B710" s="205">
        <v>395</v>
      </c>
    </row>
    <row r="711" spans="2:2" ht="18.75" x14ac:dyDescent="0.25">
      <c r="B711" s="202">
        <v>396</v>
      </c>
    </row>
    <row r="712" spans="2:2" ht="18.75" x14ac:dyDescent="0.25">
      <c r="B712" s="205">
        <v>397</v>
      </c>
    </row>
    <row r="713" spans="2:2" ht="18.75" x14ac:dyDescent="0.25">
      <c r="B713" s="202">
        <v>398</v>
      </c>
    </row>
    <row r="714" spans="2:2" ht="18.75" x14ac:dyDescent="0.25">
      <c r="B714" s="205">
        <v>399</v>
      </c>
    </row>
    <row r="715" spans="2:2" ht="18.75" x14ac:dyDescent="0.25">
      <c r="B715" s="202">
        <v>400</v>
      </c>
    </row>
    <row r="716" spans="2:2" ht="18.75" x14ac:dyDescent="0.25">
      <c r="B716" s="205">
        <v>391</v>
      </c>
    </row>
    <row r="717" spans="2:2" ht="18.75" x14ac:dyDescent="0.25">
      <c r="B717" s="202">
        <v>401</v>
      </c>
    </row>
    <row r="718" spans="2:2" ht="18.75" x14ac:dyDescent="0.25">
      <c r="B718" s="205">
        <v>402</v>
      </c>
    </row>
    <row r="719" spans="2:2" ht="18.75" x14ac:dyDescent="0.25">
      <c r="B719" s="202">
        <v>403</v>
      </c>
    </row>
    <row r="720" spans="2:2" ht="18.75" x14ac:dyDescent="0.25">
      <c r="B720" s="205">
        <v>404</v>
      </c>
    </row>
    <row r="721" spans="2:2" ht="18.75" x14ac:dyDescent="0.25">
      <c r="B721" s="202">
        <v>405</v>
      </c>
    </row>
    <row r="722" spans="2:2" ht="18.75" x14ac:dyDescent="0.25">
      <c r="B722" s="205">
        <v>406</v>
      </c>
    </row>
    <row r="723" spans="2:2" ht="18.75" x14ac:dyDescent="0.25">
      <c r="B723" s="202">
        <v>407</v>
      </c>
    </row>
    <row r="724" spans="2:2" ht="18.75" x14ac:dyDescent="0.25">
      <c r="B724" s="205">
        <v>408</v>
      </c>
    </row>
    <row r="725" spans="2:2" ht="18.75" x14ac:dyDescent="0.25">
      <c r="B725" s="202">
        <v>410</v>
      </c>
    </row>
    <row r="726" spans="2:2" ht="18.75" x14ac:dyDescent="0.25">
      <c r="B726" s="205">
        <v>411</v>
      </c>
    </row>
    <row r="727" spans="2:2" ht="18.75" x14ac:dyDescent="0.25">
      <c r="B727" s="202">
        <v>412</v>
      </c>
    </row>
    <row r="728" spans="2:2" ht="18.75" x14ac:dyDescent="0.25">
      <c r="B728" s="205">
        <v>413</v>
      </c>
    </row>
    <row r="729" spans="2:2" ht="18.75" x14ac:dyDescent="0.25">
      <c r="B729" s="202">
        <v>414</v>
      </c>
    </row>
    <row r="730" spans="2:2" ht="18.75" x14ac:dyDescent="0.25">
      <c r="B730" s="205">
        <v>415</v>
      </c>
    </row>
    <row r="731" spans="2:2" ht="18.75" x14ac:dyDescent="0.25">
      <c r="B731" s="202" t="s">
        <v>525</v>
      </c>
    </row>
    <row r="732" spans="2:2" ht="18.75" x14ac:dyDescent="0.25">
      <c r="B732" s="205" t="s">
        <v>526</v>
      </c>
    </row>
    <row r="733" spans="2:2" ht="18.75" x14ac:dyDescent="0.25">
      <c r="B733" s="202">
        <v>416</v>
      </c>
    </row>
    <row r="734" spans="2:2" ht="18.75" x14ac:dyDescent="0.25">
      <c r="B734" s="205">
        <v>417</v>
      </c>
    </row>
    <row r="735" spans="2:2" ht="18.75" x14ac:dyDescent="0.25">
      <c r="B735" s="202">
        <v>418</v>
      </c>
    </row>
    <row r="736" spans="2:2" ht="18.75" x14ac:dyDescent="0.25">
      <c r="B736" s="205">
        <v>419</v>
      </c>
    </row>
    <row r="737" spans="2:2" ht="18.75" x14ac:dyDescent="0.25">
      <c r="B737" s="202" t="s">
        <v>527</v>
      </c>
    </row>
    <row r="738" spans="2:2" ht="18.75" x14ac:dyDescent="0.25">
      <c r="B738" s="205">
        <v>420</v>
      </c>
    </row>
    <row r="739" spans="2:2" ht="18.75" x14ac:dyDescent="0.25">
      <c r="B739" s="202">
        <v>421</v>
      </c>
    </row>
    <row r="740" spans="2:2" ht="18.75" x14ac:dyDescent="0.25">
      <c r="B740" s="205">
        <v>422</v>
      </c>
    </row>
    <row r="741" spans="2:2" ht="18.75" x14ac:dyDescent="0.25">
      <c r="B741" s="202">
        <v>423</v>
      </c>
    </row>
    <row r="742" spans="2:2" ht="18.75" x14ac:dyDescent="0.25">
      <c r="B742" s="205">
        <v>424</v>
      </c>
    </row>
    <row r="743" spans="2:2" ht="18.75" x14ac:dyDescent="0.25">
      <c r="B743" s="202">
        <v>425</v>
      </c>
    </row>
    <row r="744" spans="2:2" ht="18.75" x14ac:dyDescent="0.25">
      <c r="B744" s="205">
        <v>426</v>
      </c>
    </row>
    <row r="745" spans="2:2" ht="18.75" x14ac:dyDescent="0.25">
      <c r="B745" s="202">
        <v>427</v>
      </c>
    </row>
    <row r="746" spans="2:2" ht="18.75" x14ac:dyDescent="0.25">
      <c r="B746" s="211" t="s">
        <v>528</v>
      </c>
    </row>
    <row r="747" spans="2:2" ht="18.75" x14ac:dyDescent="0.25">
      <c r="B747" s="210" t="s">
        <v>529</v>
      </c>
    </row>
    <row r="748" spans="2:2" ht="18.75" x14ac:dyDescent="0.25">
      <c r="B748" s="205">
        <v>434</v>
      </c>
    </row>
    <row r="749" spans="2:2" ht="18.75" x14ac:dyDescent="0.25">
      <c r="B749" s="202">
        <v>428</v>
      </c>
    </row>
    <row r="750" spans="2:2" ht="18.75" x14ac:dyDescent="0.25">
      <c r="B750" s="205">
        <v>429</v>
      </c>
    </row>
    <row r="751" spans="2:2" ht="18.75" x14ac:dyDescent="0.25">
      <c r="B751" s="202">
        <v>430</v>
      </c>
    </row>
    <row r="752" spans="2:2" ht="18.75" x14ac:dyDescent="0.25">
      <c r="B752" s="205">
        <v>431</v>
      </c>
    </row>
    <row r="753" spans="2:2" ht="18.75" x14ac:dyDescent="0.25">
      <c r="B753" s="202">
        <v>432</v>
      </c>
    </row>
    <row r="754" spans="2:2" ht="18.75" x14ac:dyDescent="0.25">
      <c r="B754" s="205">
        <v>433</v>
      </c>
    </row>
    <row r="755" spans="2:2" ht="18.75" x14ac:dyDescent="0.25">
      <c r="B755" s="202">
        <v>435</v>
      </c>
    </row>
    <row r="756" spans="2:2" ht="18.75" x14ac:dyDescent="0.25">
      <c r="B756" s="205">
        <v>436</v>
      </c>
    </row>
    <row r="757" spans="2:2" ht="18.75" x14ac:dyDescent="0.25">
      <c r="B757" s="202">
        <v>437</v>
      </c>
    </row>
    <row r="758" spans="2:2" ht="18.75" x14ac:dyDescent="0.25">
      <c r="B758" s="205">
        <v>438</v>
      </c>
    </row>
    <row r="759" spans="2:2" ht="18.75" x14ac:dyDescent="0.25">
      <c r="B759" s="202">
        <v>439</v>
      </c>
    </row>
    <row r="760" spans="2:2" ht="18.75" x14ac:dyDescent="0.25">
      <c r="B760" s="205">
        <v>440</v>
      </c>
    </row>
    <row r="761" spans="2:2" ht="18.75" x14ac:dyDescent="0.25">
      <c r="B761" s="202">
        <v>441</v>
      </c>
    </row>
    <row r="762" spans="2:2" ht="18.75" x14ac:dyDescent="0.25">
      <c r="B762" s="205">
        <v>442</v>
      </c>
    </row>
    <row r="763" spans="2:2" ht="18.75" x14ac:dyDescent="0.25">
      <c r="B763" s="202">
        <v>443</v>
      </c>
    </row>
    <row r="764" spans="2:2" ht="18.75" x14ac:dyDescent="0.25">
      <c r="B764" s="211" t="s">
        <v>530</v>
      </c>
    </row>
    <row r="765" spans="2:2" ht="18.75" x14ac:dyDescent="0.25">
      <c r="B765" s="210" t="s">
        <v>531</v>
      </c>
    </row>
    <row r="766" spans="2:2" ht="18.75" x14ac:dyDescent="0.25">
      <c r="B766" s="211" t="s">
        <v>532</v>
      </c>
    </row>
    <row r="767" spans="2:2" ht="18.75" x14ac:dyDescent="0.25">
      <c r="B767" s="210" t="s">
        <v>533</v>
      </c>
    </row>
    <row r="768" spans="2:2" ht="18.75" x14ac:dyDescent="0.25">
      <c r="B768" s="211" t="s">
        <v>534</v>
      </c>
    </row>
    <row r="769" spans="2:2" ht="18.75" x14ac:dyDescent="0.25">
      <c r="B769" s="202">
        <v>444</v>
      </c>
    </row>
    <row r="770" spans="2:2" ht="18.75" x14ac:dyDescent="0.25">
      <c r="B770" s="205">
        <v>445</v>
      </c>
    </row>
    <row r="771" spans="2:2" ht="18.75" x14ac:dyDescent="0.25">
      <c r="B771" s="202">
        <v>446</v>
      </c>
    </row>
    <row r="772" spans="2:2" ht="18.75" x14ac:dyDescent="0.25">
      <c r="B772" s="205">
        <v>447</v>
      </c>
    </row>
    <row r="773" spans="2:2" ht="18.75" x14ac:dyDescent="0.25">
      <c r="B773" s="202">
        <v>448</v>
      </c>
    </row>
    <row r="774" spans="2:2" ht="18.75" x14ac:dyDescent="0.25">
      <c r="B774" s="205">
        <v>449</v>
      </c>
    </row>
    <row r="775" spans="2:2" ht="18.75" x14ac:dyDescent="0.25">
      <c r="B775" s="202">
        <v>450</v>
      </c>
    </row>
    <row r="776" spans="2:2" ht="18.75" x14ac:dyDescent="0.25">
      <c r="B776" s="211" t="s">
        <v>535</v>
      </c>
    </row>
    <row r="777" spans="2:2" ht="18.75" x14ac:dyDescent="0.25">
      <c r="B777" s="210" t="s">
        <v>536</v>
      </c>
    </row>
    <row r="778" spans="2:2" ht="18.75" x14ac:dyDescent="0.25">
      <c r="B778" s="205">
        <v>451</v>
      </c>
    </row>
    <row r="779" spans="2:2" ht="18.75" x14ac:dyDescent="0.25">
      <c r="B779" s="202">
        <v>452</v>
      </c>
    </row>
    <row r="780" spans="2:2" ht="18.75" x14ac:dyDescent="0.25">
      <c r="B780" s="205">
        <v>453</v>
      </c>
    </row>
    <row r="781" spans="2:2" ht="18.75" x14ac:dyDescent="0.25">
      <c r="B781" s="202">
        <v>454</v>
      </c>
    </row>
    <row r="782" spans="2:2" ht="18.75" x14ac:dyDescent="0.25">
      <c r="B782" s="205">
        <v>455</v>
      </c>
    </row>
    <row r="783" spans="2:2" ht="18.75" x14ac:dyDescent="0.25">
      <c r="B783" s="202">
        <v>456</v>
      </c>
    </row>
    <row r="784" spans="2:2" ht="18.75" x14ac:dyDescent="0.25">
      <c r="B784" s="205">
        <v>457</v>
      </c>
    </row>
    <row r="785" spans="2:2" ht="18.75" x14ac:dyDescent="0.25">
      <c r="B785" s="202">
        <v>458</v>
      </c>
    </row>
    <row r="786" spans="2:2" ht="18.75" x14ac:dyDescent="0.25">
      <c r="B786" s="205">
        <v>459</v>
      </c>
    </row>
    <row r="787" spans="2:2" ht="18.75" x14ac:dyDescent="0.25">
      <c r="B787" s="202">
        <v>460</v>
      </c>
    </row>
    <row r="788" spans="2:2" ht="18.75" x14ac:dyDescent="0.25">
      <c r="B788" s="205">
        <v>461</v>
      </c>
    </row>
    <row r="789" spans="2:2" ht="18.75" x14ac:dyDescent="0.25">
      <c r="B789" s="202">
        <v>462</v>
      </c>
    </row>
    <row r="790" spans="2:2" ht="18.75" x14ac:dyDescent="0.25">
      <c r="B790" s="205">
        <v>463</v>
      </c>
    </row>
    <row r="791" spans="2:2" ht="18.75" x14ac:dyDescent="0.25">
      <c r="B791" s="210" t="s">
        <v>537</v>
      </c>
    </row>
    <row r="792" spans="2:2" ht="18.75" x14ac:dyDescent="0.25">
      <c r="B792" s="211" t="s">
        <v>538</v>
      </c>
    </row>
    <row r="793" spans="2:2" ht="18.75" x14ac:dyDescent="0.25">
      <c r="B793" s="210" t="s">
        <v>539</v>
      </c>
    </row>
    <row r="794" spans="2:2" ht="18.75" x14ac:dyDescent="0.25">
      <c r="B794" s="211" t="s">
        <v>540</v>
      </c>
    </row>
    <row r="795" spans="2:2" ht="18.75" x14ac:dyDescent="0.25">
      <c r="B795" s="210" t="s">
        <v>541</v>
      </c>
    </row>
    <row r="796" spans="2:2" ht="18.75" x14ac:dyDescent="0.25">
      <c r="B796" s="211" t="s">
        <v>542</v>
      </c>
    </row>
    <row r="797" spans="2:2" ht="18.75" x14ac:dyDescent="0.25">
      <c r="B797" s="210" t="s">
        <v>543</v>
      </c>
    </row>
    <row r="798" spans="2:2" ht="18.75" x14ac:dyDescent="0.25">
      <c r="B798" s="211" t="s">
        <v>544</v>
      </c>
    </row>
    <row r="799" spans="2:2" ht="18.75" x14ac:dyDescent="0.25">
      <c r="B799" s="210" t="s">
        <v>545</v>
      </c>
    </row>
    <row r="800" spans="2:2" ht="18.75" x14ac:dyDescent="0.25">
      <c r="B800" s="211" t="s">
        <v>546</v>
      </c>
    </row>
    <row r="801" spans="2:2" ht="18.75" x14ac:dyDescent="0.25">
      <c r="B801" s="202">
        <v>464</v>
      </c>
    </row>
    <row r="802" spans="2:2" ht="18.75" x14ac:dyDescent="0.25">
      <c r="B802" s="205">
        <v>465</v>
      </c>
    </row>
    <row r="803" spans="2:2" ht="18.75" x14ac:dyDescent="0.25">
      <c r="B803" s="202">
        <v>466</v>
      </c>
    </row>
    <row r="804" spans="2:2" ht="18.75" x14ac:dyDescent="0.25">
      <c r="B804" s="205">
        <v>467</v>
      </c>
    </row>
    <row r="805" spans="2:2" ht="18.75" x14ac:dyDescent="0.25">
      <c r="B805" s="202">
        <v>468</v>
      </c>
    </row>
    <row r="806" spans="2:2" ht="18.75" x14ac:dyDescent="0.25">
      <c r="B806" s="205">
        <v>469</v>
      </c>
    </row>
    <row r="807" spans="2:2" ht="18.75" x14ac:dyDescent="0.25">
      <c r="B807" s="202">
        <v>618</v>
      </c>
    </row>
    <row r="808" spans="2:2" ht="18.75" x14ac:dyDescent="0.25">
      <c r="B808" s="205">
        <v>612</v>
      </c>
    </row>
    <row r="809" spans="2:2" ht="18.75" x14ac:dyDescent="0.25">
      <c r="B809" s="202">
        <v>620</v>
      </c>
    </row>
    <row r="810" spans="2:2" ht="18.75" x14ac:dyDescent="0.25">
      <c r="B810" s="205">
        <v>619</v>
      </c>
    </row>
    <row r="811" spans="2:2" ht="18.75" x14ac:dyDescent="0.25">
      <c r="B811" s="202">
        <v>617</v>
      </c>
    </row>
    <row r="812" spans="2:2" ht="18.75" x14ac:dyDescent="0.25">
      <c r="B812" s="205">
        <v>616</v>
      </c>
    </row>
    <row r="813" spans="2:2" ht="18.75" x14ac:dyDescent="0.25">
      <c r="B813" s="202">
        <v>613</v>
      </c>
    </row>
    <row r="814" spans="2:2" ht="18.75" x14ac:dyDescent="0.25">
      <c r="B814" s="205">
        <v>614</v>
      </c>
    </row>
    <row r="815" spans="2:2" ht="18.75" x14ac:dyDescent="0.25">
      <c r="B815" s="202" t="s">
        <v>547</v>
      </c>
    </row>
    <row r="816" spans="2:2" ht="18.75" x14ac:dyDescent="0.25">
      <c r="B816" s="211" t="s">
        <v>548</v>
      </c>
    </row>
    <row r="817" spans="2:2" ht="18.75" x14ac:dyDescent="0.25">
      <c r="B817" s="202" t="s">
        <v>549</v>
      </c>
    </row>
    <row r="818" spans="2:2" ht="18.75" x14ac:dyDescent="0.25">
      <c r="B818" s="205">
        <v>625</v>
      </c>
    </row>
    <row r="819" spans="2:2" ht="18.75" x14ac:dyDescent="0.25">
      <c r="B819" s="202">
        <v>627</v>
      </c>
    </row>
    <row r="820" spans="2:2" ht="18.75" x14ac:dyDescent="0.25">
      <c r="B820" s="205">
        <v>633</v>
      </c>
    </row>
    <row r="821" spans="2:2" ht="18.75" x14ac:dyDescent="0.25">
      <c r="B821" s="202">
        <v>624</v>
      </c>
    </row>
    <row r="822" spans="2:2" ht="18.75" x14ac:dyDescent="0.25">
      <c r="B822" s="205">
        <v>635</v>
      </c>
    </row>
    <row r="823" spans="2:2" ht="18.75" x14ac:dyDescent="0.25">
      <c r="B823" s="202">
        <v>632</v>
      </c>
    </row>
    <row r="824" spans="2:2" ht="18.75" x14ac:dyDescent="0.25">
      <c r="B824" s="205">
        <v>643</v>
      </c>
    </row>
    <row r="825" spans="2:2" ht="18.75" x14ac:dyDescent="0.25">
      <c r="B825" s="202">
        <v>630</v>
      </c>
    </row>
    <row r="826" spans="2:2" ht="18.75" x14ac:dyDescent="0.25">
      <c r="B826" s="205">
        <v>634</v>
      </c>
    </row>
    <row r="827" spans="2:2" ht="18.75" x14ac:dyDescent="0.25">
      <c r="B827" s="202">
        <v>642</v>
      </c>
    </row>
    <row r="828" spans="2:2" ht="18.75" x14ac:dyDescent="0.25">
      <c r="B828" s="205">
        <v>631</v>
      </c>
    </row>
    <row r="829" spans="2:2" ht="18.75" x14ac:dyDescent="0.25">
      <c r="B829" s="202" t="s">
        <v>550</v>
      </c>
    </row>
    <row r="830" spans="2:2" ht="18.75" x14ac:dyDescent="0.25">
      <c r="B830" s="205" t="s">
        <v>551</v>
      </c>
    </row>
    <row r="831" spans="2:2" ht="18.75" x14ac:dyDescent="0.25">
      <c r="B831" s="202">
        <v>652</v>
      </c>
    </row>
    <row r="832" spans="2:2" ht="18.75" x14ac:dyDescent="0.25">
      <c r="B832" s="205">
        <v>657</v>
      </c>
    </row>
    <row r="833" spans="2:2" ht="18.75" x14ac:dyDescent="0.25">
      <c r="B833" s="202" t="s">
        <v>552</v>
      </c>
    </row>
    <row r="834" spans="2:2" ht="18.75" x14ac:dyDescent="0.25">
      <c r="B834" s="205" t="s">
        <v>553</v>
      </c>
    </row>
    <row r="835" spans="2:2" ht="18.75" x14ac:dyDescent="0.25">
      <c r="B835" s="202" t="s">
        <v>554</v>
      </c>
    </row>
    <row r="836" spans="2:2" ht="18.75" x14ac:dyDescent="0.25">
      <c r="B836" s="205" t="s">
        <v>555</v>
      </c>
    </row>
    <row r="837" spans="2:2" ht="18.75" x14ac:dyDescent="0.25">
      <c r="B837" s="202">
        <v>670</v>
      </c>
    </row>
    <row r="838" spans="2:2" ht="18.75" x14ac:dyDescent="0.25">
      <c r="B838" s="205">
        <v>673</v>
      </c>
    </row>
    <row r="839" spans="2:2" ht="18.75" x14ac:dyDescent="0.25">
      <c r="B839" s="202">
        <v>659</v>
      </c>
    </row>
    <row r="840" spans="2:2" ht="18.75" x14ac:dyDescent="0.25">
      <c r="B840" s="205" t="s">
        <v>556</v>
      </c>
    </row>
    <row r="841" spans="2:2" ht="18.75" x14ac:dyDescent="0.25">
      <c r="B841" s="202" t="s">
        <v>557</v>
      </c>
    </row>
    <row r="842" spans="2:2" ht="18.75" x14ac:dyDescent="0.25">
      <c r="B842" s="205" t="s">
        <v>558</v>
      </c>
    </row>
    <row r="843" spans="2:2" ht="18.75" x14ac:dyDescent="0.25">
      <c r="B843" s="202" t="s">
        <v>559</v>
      </c>
    </row>
    <row r="844" spans="2:2" ht="18.75" x14ac:dyDescent="0.25">
      <c r="B844" s="205" t="s">
        <v>560</v>
      </c>
    </row>
    <row r="845" spans="2:2" ht="18.75" x14ac:dyDescent="0.25">
      <c r="B845" s="202" t="s">
        <v>561</v>
      </c>
    </row>
    <row r="846" spans="2:2" ht="18.75" x14ac:dyDescent="0.25">
      <c r="B846" s="205">
        <v>653</v>
      </c>
    </row>
    <row r="847" spans="2:2" ht="18.75" x14ac:dyDescent="0.25">
      <c r="B847" s="202">
        <v>669</v>
      </c>
    </row>
    <row r="848" spans="2:2" ht="18.75" x14ac:dyDescent="0.25">
      <c r="B848" s="205">
        <v>601</v>
      </c>
    </row>
    <row r="849" spans="2:2" ht="18.75" x14ac:dyDescent="0.25">
      <c r="B849" s="202" t="s">
        <v>562</v>
      </c>
    </row>
    <row r="850" spans="2:2" ht="18.75" x14ac:dyDescent="0.25">
      <c r="B850" s="205" t="s">
        <v>563</v>
      </c>
    </row>
    <row r="851" spans="2:2" ht="18.75" x14ac:dyDescent="0.25">
      <c r="B851" s="202">
        <v>638</v>
      </c>
    </row>
    <row r="852" spans="2:2" ht="18.75" x14ac:dyDescent="0.25">
      <c r="B852" s="205">
        <v>676</v>
      </c>
    </row>
    <row r="853" spans="2:2" ht="18.75" x14ac:dyDescent="0.25">
      <c r="B853" s="202">
        <v>681</v>
      </c>
    </row>
    <row r="854" spans="2:2" ht="18.75" x14ac:dyDescent="0.25">
      <c r="B854" s="205">
        <v>608</v>
      </c>
    </row>
    <row r="855" spans="2:2" ht="18.75" x14ac:dyDescent="0.25">
      <c r="B855" s="202">
        <v>679</v>
      </c>
    </row>
    <row r="856" spans="2:2" ht="18.75" x14ac:dyDescent="0.25">
      <c r="B856" s="205" t="s">
        <v>564</v>
      </c>
    </row>
    <row r="857" spans="2:2" ht="18.75" x14ac:dyDescent="0.25">
      <c r="B857" s="202">
        <v>668</v>
      </c>
    </row>
    <row r="858" spans="2:2" ht="18.75" x14ac:dyDescent="0.25">
      <c r="B858" s="205">
        <v>689</v>
      </c>
    </row>
    <row r="859" spans="2:2" ht="18.75" x14ac:dyDescent="0.25">
      <c r="B859" s="202">
        <v>691</v>
      </c>
    </row>
    <row r="860" spans="2:2" ht="18.75" x14ac:dyDescent="0.25">
      <c r="B860" s="205">
        <v>699</v>
      </c>
    </row>
    <row r="861" spans="2:2" ht="18.75" x14ac:dyDescent="0.25">
      <c r="B861" s="202" t="s">
        <v>565</v>
      </c>
    </row>
    <row r="862" spans="2:2" ht="18.75" x14ac:dyDescent="0.25">
      <c r="B862" s="205" t="s">
        <v>566</v>
      </c>
    </row>
    <row r="863" spans="2:2" ht="18.75" x14ac:dyDescent="0.25">
      <c r="B863" s="202" t="s">
        <v>567</v>
      </c>
    </row>
    <row r="864" spans="2:2" ht="18.75" x14ac:dyDescent="0.25">
      <c r="B864" s="205">
        <v>658</v>
      </c>
    </row>
    <row r="865" spans="2:2" ht="18.75" x14ac:dyDescent="0.25">
      <c r="B865" s="202">
        <v>667</v>
      </c>
    </row>
    <row r="866" spans="2:2" ht="18.75" x14ac:dyDescent="0.25">
      <c r="B866" s="205">
        <v>671</v>
      </c>
    </row>
    <row r="867" spans="2:2" ht="18.75" x14ac:dyDescent="0.25">
      <c r="B867" s="202">
        <v>674</v>
      </c>
    </row>
    <row r="868" spans="2:2" ht="18.75" x14ac:dyDescent="0.25">
      <c r="B868" s="205">
        <v>705</v>
      </c>
    </row>
    <row r="869" spans="2:2" ht="18.75" x14ac:dyDescent="0.25">
      <c r="B869" s="202">
        <v>694</v>
      </c>
    </row>
    <row r="870" spans="2:2" ht="18.75" x14ac:dyDescent="0.25">
      <c r="B870" s="205">
        <v>660</v>
      </c>
    </row>
    <row r="871" spans="2:2" ht="18.75" x14ac:dyDescent="0.25">
      <c r="B871" s="202">
        <v>706</v>
      </c>
    </row>
    <row r="872" spans="2:2" ht="18.75" x14ac:dyDescent="0.25">
      <c r="B872" s="205">
        <v>700</v>
      </c>
    </row>
    <row r="873" spans="2:2" ht="18.75" x14ac:dyDescent="0.25">
      <c r="B873" s="202">
        <v>704</v>
      </c>
    </row>
    <row r="874" spans="2:2" ht="18.75" x14ac:dyDescent="0.25">
      <c r="B874" s="205" t="s">
        <v>568</v>
      </c>
    </row>
    <row r="875" spans="2:2" ht="18.75" x14ac:dyDescent="0.25">
      <c r="B875" s="202">
        <v>680</v>
      </c>
    </row>
    <row r="876" spans="2:2" ht="18.75" x14ac:dyDescent="0.25">
      <c r="B876" s="205">
        <v>683</v>
      </c>
    </row>
    <row r="877" spans="2:2" ht="18.75" x14ac:dyDescent="0.25">
      <c r="B877" s="202">
        <v>685</v>
      </c>
    </row>
    <row r="878" spans="2:2" ht="18.75" x14ac:dyDescent="0.25">
      <c r="B878" s="205">
        <v>686</v>
      </c>
    </row>
    <row r="879" spans="2:2" ht="18.75" x14ac:dyDescent="0.25">
      <c r="B879" s="202">
        <v>692</v>
      </c>
    </row>
    <row r="880" spans="2:2" ht="18.75" x14ac:dyDescent="0.25">
      <c r="B880" s="205">
        <v>701</v>
      </c>
    </row>
    <row r="881" spans="2:2" ht="18.75" x14ac:dyDescent="0.25">
      <c r="B881" s="202">
        <v>708</v>
      </c>
    </row>
    <row r="882" spans="2:2" ht="18.75" x14ac:dyDescent="0.25">
      <c r="B882" s="205">
        <v>707</v>
      </c>
    </row>
    <row r="883" spans="2:2" ht="18.75" x14ac:dyDescent="0.25">
      <c r="B883" s="202">
        <v>714</v>
      </c>
    </row>
    <row r="884" spans="2:2" ht="18.75" x14ac:dyDescent="0.25">
      <c r="B884" s="205">
        <v>718</v>
      </c>
    </row>
    <row r="885" spans="2:2" ht="18.75" x14ac:dyDescent="0.25">
      <c r="B885" s="202">
        <v>724</v>
      </c>
    </row>
    <row r="886" spans="2:2" ht="18.75" x14ac:dyDescent="0.25">
      <c r="B886" s="205">
        <v>723</v>
      </c>
    </row>
    <row r="887" spans="2:2" ht="18.75" x14ac:dyDescent="0.25">
      <c r="B887" s="202">
        <v>720</v>
      </c>
    </row>
    <row r="888" spans="2:2" ht="18.75" x14ac:dyDescent="0.25">
      <c r="B888" s="205">
        <v>711</v>
      </c>
    </row>
    <row r="889" spans="2:2" ht="18.75" x14ac:dyDescent="0.25">
      <c r="B889" s="202">
        <v>722</v>
      </c>
    </row>
    <row r="890" spans="2:2" ht="18.75" x14ac:dyDescent="0.25">
      <c r="B890" s="205">
        <v>721</v>
      </c>
    </row>
    <row r="891" spans="2:2" ht="18.75" x14ac:dyDescent="0.25">
      <c r="B891" s="202">
        <v>719</v>
      </c>
    </row>
    <row r="892" spans="2:2" ht="18.75" x14ac:dyDescent="0.25">
      <c r="B892" s="205" t="s">
        <v>569</v>
      </c>
    </row>
    <row r="893" spans="2:2" ht="18.75" x14ac:dyDescent="0.25">
      <c r="B893" s="202" t="s">
        <v>570</v>
      </c>
    </row>
    <row r="894" spans="2:2" ht="18.75" x14ac:dyDescent="0.25">
      <c r="B894" s="205" t="s">
        <v>571</v>
      </c>
    </row>
    <row r="895" spans="2:2" ht="18.75" x14ac:dyDescent="0.25">
      <c r="B895" s="202" t="s">
        <v>572</v>
      </c>
    </row>
    <row r="896" spans="2:2" ht="18.75" x14ac:dyDescent="0.25">
      <c r="B896" s="205">
        <v>716</v>
      </c>
    </row>
    <row r="897" spans="2:2" ht="18.75" x14ac:dyDescent="0.25">
      <c r="B897" s="202">
        <v>693</v>
      </c>
    </row>
    <row r="898" spans="2:2" ht="18.75" x14ac:dyDescent="0.25">
      <c r="B898" s="205" t="s">
        <v>573</v>
      </c>
    </row>
    <row r="899" spans="2:2" ht="18.75" x14ac:dyDescent="0.25">
      <c r="B899" s="202">
        <v>735</v>
      </c>
    </row>
    <row r="900" spans="2:2" ht="18.75" x14ac:dyDescent="0.25">
      <c r="B900" s="205" t="s">
        <v>574</v>
      </c>
    </row>
    <row r="901" spans="2:2" ht="18.75" x14ac:dyDescent="0.25">
      <c r="B901" s="202" t="s">
        <v>575</v>
      </c>
    </row>
    <row r="902" spans="2:2" ht="18.75" x14ac:dyDescent="0.25">
      <c r="B902" s="205" t="s">
        <v>576</v>
      </c>
    </row>
    <row r="903" spans="2:2" ht="18.75" x14ac:dyDescent="0.25">
      <c r="B903" s="202">
        <v>734</v>
      </c>
    </row>
    <row r="904" spans="2:2" ht="18.75" x14ac:dyDescent="0.25">
      <c r="B904" s="205">
        <v>730</v>
      </c>
    </row>
    <row r="905" spans="2:2" ht="18.75" x14ac:dyDescent="0.25">
      <c r="B905" s="202">
        <v>729</v>
      </c>
    </row>
    <row r="906" spans="2:2" ht="18.75" x14ac:dyDescent="0.25">
      <c r="B906" s="205">
        <v>732</v>
      </c>
    </row>
    <row r="907" spans="2:2" ht="18.75" x14ac:dyDescent="0.25">
      <c r="B907" s="202">
        <v>740</v>
      </c>
    </row>
    <row r="908" spans="2:2" ht="18.75" x14ac:dyDescent="0.25">
      <c r="B908" s="205">
        <v>731</v>
      </c>
    </row>
    <row r="909" spans="2:2" ht="18.75" x14ac:dyDescent="0.25">
      <c r="B909" s="202">
        <v>753</v>
      </c>
    </row>
    <row r="910" spans="2:2" ht="18.75" x14ac:dyDescent="0.25">
      <c r="B910" s="205">
        <v>744</v>
      </c>
    </row>
    <row r="911" spans="2:2" ht="18.75" x14ac:dyDescent="0.25">
      <c r="B911" s="202">
        <v>743</v>
      </c>
    </row>
    <row r="912" spans="2:2" ht="18.75" x14ac:dyDescent="0.25">
      <c r="B912" s="205" t="s">
        <v>577</v>
      </c>
    </row>
    <row r="913" spans="2:2" ht="18.75" x14ac:dyDescent="0.25">
      <c r="B913" s="202">
        <v>758</v>
      </c>
    </row>
    <row r="914" spans="2:2" ht="18.75" x14ac:dyDescent="0.25">
      <c r="B914" s="205">
        <v>759</v>
      </c>
    </row>
    <row r="915" spans="2:2" ht="18.75" x14ac:dyDescent="0.25">
      <c r="B915" s="202">
        <v>733</v>
      </c>
    </row>
    <row r="916" spans="2:2" ht="18.75" x14ac:dyDescent="0.25">
      <c r="B916" s="205">
        <v>757</v>
      </c>
    </row>
    <row r="917" spans="2:2" ht="18.75" x14ac:dyDescent="0.25">
      <c r="B917" s="202">
        <v>760</v>
      </c>
    </row>
    <row r="918" spans="2:2" ht="18.75" x14ac:dyDescent="0.25">
      <c r="B918" s="205">
        <v>755</v>
      </c>
    </row>
    <row r="919" spans="2:2" ht="18.75" x14ac:dyDescent="0.25">
      <c r="B919" s="202">
        <v>767</v>
      </c>
    </row>
    <row r="920" spans="2:2" ht="18.75" x14ac:dyDescent="0.25">
      <c r="B920" s="205">
        <v>742</v>
      </c>
    </row>
    <row r="921" spans="2:2" ht="18.75" x14ac:dyDescent="0.25">
      <c r="B921" s="202">
        <v>772</v>
      </c>
    </row>
    <row r="922" spans="2:2" ht="18.75" x14ac:dyDescent="0.25">
      <c r="B922" s="205">
        <v>761</v>
      </c>
    </row>
    <row r="923" spans="2:2" ht="18.75" x14ac:dyDescent="0.25">
      <c r="B923" s="202" t="s">
        <v>578</v>
      </c>
    </row>
    <row r="924" spans="2:2" ht="18.75" x14ac:dyDescent="0.25">
      <c r="B924" s="205" t="s">
        <v>579</v>
      </c>
    </row>
    <row r="925" spans="2:2" ht="18.75" x14ac:dyDescent="0.25">
      <c r="B925" s="202">
        <v>678</v>
      </c>
    </row>
    <row r="926" spans="2:2" ht="18.75" x14ac:dyDescent="0.25">
      <c r="B926" s="205" t="s">
        <v>580</v>
      </c>
    </row>
    <row r="927" spans="2:2" ht="18.75" x14ac:dyDescent="0.25">
      <c r="B927" s="202">
        <v>766</v>
      </c>
    </row>
    <row r="928" spans="2:2" ht="18.75" x14ac:dyDescent="0.25">
      <c r="B928" s="205" t="s">
        <v>581</v>
      </c>
    </row>
    <row r="929" spans="2:2" ht="18.75" x14ac:dyDescent="0.25">
      <c r="B929" s="202">
        <v>773</v>
      </c>
    </row>
    <row r="930" spans="2:2" ht="18.75" x14ac:dyDescent="0.25">
      <c r="B930" s="205">
        <v>774</v>
      </c>
    </row>
    <row r="931" spans="2:2" ht="18.75" x14ac:dyDescent="0.25">
      <c r="B931" s="202">
        <v>781</v>
      </c>
    </row>
    <row r="932" spans="2:2" ht="18.75" x14ac:dyDescent="0.25">
      <c r="B932" s="205">
        <v>769</v>
      </c>
    </row>
    <row r="933" spans="2:2" ht="18.75" x14ac:dyDescent="0.25">
      <c r="B933" s="202">
        <v>770</v>
      </c>
    </row>
    <row r="934" spans="2:2" ht="18.75" x14ac:dyDescent="0.25">
      <c r="B934" s="205">
        <v>768</v>
      </c>
    </row>
    <row r="935" spans="2:2" ht="18.75" x14ac:dyDescent="0.25">
      <c r="B935" s="202">
        <v>788</v>
      </c>
    </row>
    <row r="936" spans="2:2" ht="18.75" x14ac:dyDescent="0.25">
      <c r="B936" s="205">
        <v>771</v>
      </c>
    </row>
    <row r="937" spans="2:2" ht="18.75" x14ac:dyDescent="0.25">
      <c r="B937" s="202">
        <v>780</v>
      </c>
    </row>
    <row r="938" spans="2:2" ht="18.75" x14ac:dyDescent="0.25">
      <c r="B938" s="205">
        <v>779</v>
      </c>
    </row>
    <row r="939" spans="2:2" ht="18.75" x14ac:dyDescent="0.25">
      <c r="B939" s="202">
        <v>777</v>
      </c>
    </row>
    <row r="940" spans="2:2" ht="18.75" x14ac:dyDescent="0.25">
      <c r="B940" s="205">
        <v>784</v>
      </c>
    </row>
    <row r="941" spans="2:2" ht="18.75" x14ac:dyDescent="0.25">
      <c r="B941" s="202">
        <v>783</v>
      </c>
    </row>
    <row r="942" spans="2:2" ht="18.75" x14ac:dyDescent="0.25">
      <c r="B942" s="205" t="s">
        <v>582</v>
      </c>
    </row>
    <row r="943" spans="2:2" ht="18.75" x14ac:dyDescent="0.25">
      <c r="B943" s="202">
        <v>791</v>
      </c>
    </row>
    <row r="944" spans="2:2" ht="18.75" x14ac:dyDescent="0.25">
      <c r="B944" s="205">
        <v>792</v>
      </c>
    </row>
    <row r="945" spans="2:2" ht="18.75" x14ac:dyDescent="0.25">
      <c r="B945" s="202">
        <v>794</v>
      </c>
    </row>
    <row r="946" spans="2:2" ht="18.75" x14ac:dyDescent="0.25">
      <c r="B946" s="205" t="s">
        <v>583</v>
      </c>
    </row>
    <row r="947" spans="2:2" ht="18.75" x14ac:dyDescent="0.25">
      <c r="B947" s="202">
        <v>795</v>
      </c>
    </row>
    <row r="948" spans="2:2" ht="18.75" x14ac:dyDescent="0.25">
      <c r="B948" s="205">
        <v>750</v>
      </c>
    </row>
    <row r="949" spans="2:2" ht="18.75" x14ac:dyDescent="0.25">
      <c r="B949" s="202" t="s">
        <v>584</v>
      </c>
    </row>
    <row r="950" spans="2:2" ht="18.75" x14ac:dyDescent="0.25">
      <c r="B950" s="205">
        <v>752</v>
      </c>
    </row>
    <row r="951" spans="2:2" ht="18.75" x14ac:dyDescent="0.25">
      <c r="B951" s="202">
        <v>736</v>
      </c>
    </row>
    <row r="952" spans="2:2" ht="18.75" x14ac:dyDescent="0.25">
      <c r="B952" s="205">
        <v>737</v>
      </c>
    </row>
    <row r="953" spans="2:2" ht="18.75" x14ac:dyDescent="0.25">
      <c r="B953" s="202">
        <v>799</v>
      </c>
    </row>
    <row r="954" spans="2:2" ht="18.75" x14ac:dyDescent="0.25">
      <c r="B954" s="205">
        <v>785</v>
      </c>
    </row>
    <row r="955" spans="2:2" ht="18.75" x14ac:dyDescent="0.25">
      <c r="B955" s="202">
        <v>775</v>
      </c>
    </row>
    <row r="956" spans="2:2" ht="18.75" x14ac:dyDescent="0.25">
      <c r="B956" s="205">
        <v>898</v>
      </c>
    </row>
    <row r="957" spans="2:2" ht="18.75" x14ac:dyDescent="0.25">
      <c r="B957" s="202">
        <v>796</v>
      </c>
    </row>
    <row r="958" spans="2:2" ht="18.75" x14ac:dyDescent="0.25">
      <c r="B958" s="205">
        <v>787</v>
      </c>
    </row>
    <row r="959" spans="2:2" ht="18.75" x14ac:dyDescent="0.25">
      <c r="B959" s="202" t="s">
        <v>585</v>
      </c>
    </row>
    <row r="960" spans="2:2" ht="18.75" x14ac:dyDescent="0.25">
      <c r="B960" s="205">
        <v>805</v>
      </c>
    </row>
    <row r="961" spans="2:2" ht="18.75" x14ac:dyDescent="0.25">
      <c r="B961" s="202" t="s">
        <v>586</v>
      </c>
    </row>
    <row r="962" spans="2:2" ht="18.75" x14ac:dyDescent="0.25">
      <c r="B962" s="205">
        <v>803</v>
      </c>
    </row>
    <row r="963" spans="2:2" ht="18.75" x14ac:dyDescent="0.25">
      <c r="B963" s="202">
        <v>801</v>
      </c>
    </row>
    <row r="964" spans="2:2" ht="18.75" x14ac:dyDescent="0.25">
      <c r="B964" s="205">
        <v>786</v>
      </c>
    </row>
    <row r="965" spans="2:2" ht="18.75" x14ac:dyDescent="0.25">
      <c r="B965" s="202">
        <v>797</v>
      </c>
    </row>
    <row r="966" spans="2:2" ht="18.75" x14ac:dyDescent="0.25">
      <c r="B966" s="205">
        <v>802</v>
      </c>
    </row>
    <row r="967" spans="2:2" ht="18.75" x14ac:dyDescent="0.25">
      <c r="B967" s="202">
        <v>804</v>
      </c>
    </row>
    <row r="968" spans="2:2" ht="18.75" x14ac:dyDescent="0.25">
      <c r="B968" s="205">
        <v>806</v>
      </c>
    </row>
    <row r="969" spans="2:2" ht="18.75" x14ac:dyDescent="0.25">
      <c r="B969" s="202">
        <v>807</v>
      </c>
    </row>
    <row r="970" spans="2:2" ht="18.75" x14ac:dyDescent="0.25">
      <c r="B970" s="205">
        <v>782</v>
      </c>
    </row>
    <row r="971" spans="2:2" ht="18.75" x14ac:dyDescent="0.25">
      <c r="B971" s="202">
        <v>811</v>
      </c>
    </row>
    <row r="972" spans="2:2" ht="18.75" x14ac:dyDescent="0.25">
      <c r="B972" s="205">
        <v>812</v>
      </c>
    </row>
    <row r="973" spans="2:2" ht="18.75" x14ac:dyDescent="0.25">
      <c r="B973" s="202">
        <v>817</v>
      </c>
    </row>
    <row r="974" spans="2:2" ht="18.75" x14ac:dyDescent="0.25">
      <c r="B974" s="205">
        <v>815</v>
      </c>
    </row>
    <row r="975" spans="2:2" ht="18.75" x14ac:dyDescent="0.25">
      <c r="B975" s="202">
        <v>813</v>
      </c>
    </row>
    <row r="976" spans="2:2" ht="18.75" x14ac:dyDescent="0.25">
      <c r="B976" s="205">
        <v>778</v>
      </c>
    </row>
    <row r="977" spans="2:2" ht="18.75" x14ac:dyDescent="0.25">
      <c r="B977" s="202">
        <v>824</v>
      </c>
    </row>
    <row r="978" spans="2:2" ht="18.75" x14ac:dyDescent="0.25">
      <c r="B978" s="205">
        <v>821</v>
      </c>
    </row>
    <row r="979" spans="2:2" ht="18.75" x14ac:dyDescent="0.25">
      <c r="B979" s="202">
        <v>819</v>
      </c>
    </row>
    <row r="980" spans="2:2" ht="18.75" x14ac:dyDescent="0.25">
      <c r="B980" s="205">
        <v>900</v>
      </c>
    </row>
    <row r="981" spans="2:2" ht="18.75" x14ac:dyDescent="0.25">
      <c r="B981" s="202">
        <v>901</v>
      </c>
    </row>
    <row r="982" spans="2:2" ht="18.75" x14ac:dyDescent="0.25">
      <c r="B982" s="205">
        <v>902</v>
      </c>
    </row>
    <row r="983" spans="2:2" ht="18.75" x14ac:dyDescent="0.25">
      <c r="B983" s="202">
        <v>903</v>
      </c>
    </row>
    <row r="984" spans="2:2" ht="18.75" x14ac:dyDescent="0.25">
      <c r="B984" s="205">
        <v>904</v>
      </c>
    </row>
    <row r="985" spans="2:2" ht="18.75" x14ac:dyDescent="0.25">
      <c r="B985" s="202">
        <v>905</v>
      </c>
    </row>
    <row r="986" spans="2:2" ht="18.75" x14ac:dyDescent="0.25">
      <c r="B986" s="205" t="s">
        <v>587</v>
      </c>
    </row>
    <row r="987" spans="2:2" ht="18.75" x14ac:dyDescent="0.25">
      <c r="B987" s="202">
        <v>818</v>
      </c>
    </row>
    <row r="988" spans="2:2" ht="18.75" x14ac:dyDescent="0.25">
      <c r="B988" s="205">
        <v>725</v>
      </c>
    </row>
    <row r="989" spans="2:2" ht="18.75" x14ac:dyDescent="0.25">
      <c r="B989" s="202">
        <v>816</v>
      </c>
    </row>
    <row r="990" spans="2:2" ht="18.75" x14ac:dyDescent="0.25">
      <c r="B990" s="205" t="s">
        <v>588</v>
      </c>
    </row>
    <row r="991" spans="2:2" ht="18.75" x14ac:dyDescent="0.25">
      <c r="B991" s="202">
        <v>825</v>
      </c>
    </row>
    <row r="992" spans="2:2" ht="18.75" x14ac:dyDescent="0.25">
      <c r="B992" s="205">
        <v>822</v>
      </c>
    </row>
    <row r="993" spans="2:2" ht="18.75" x14ac:dyDescent="0.25">
      <c r="B993" s="202">
        <v>826</v>
      </c>
    </row>
    <row r="994" spans="2:2" ht="18.75" x14ac:dyDescent="0.25">
      <c r="B994" s="205">
        <v>827</v>
      </c>
    </row>
    <row r="995" spans="2:2" ht="18.75" x14ac:dyDescent="0.25">
      <c r="B995" s="202" t="s">
        <v>589</v>
      </c>
    </row>
    <row r="996" spans="2:2" ht="18.75" x14ac:dyDescent="0.25">
      <c r="B996" s="211" t="s">
        <v>590</v>
      </c>
    </row>
    <row r="997" spans="2:2" ht="18.75" x14ac:dyDescent="0.25">
      <c r="B997" s="202">
        <v>831</v>
      </c>
    </row>
    <row r="998" spans="2:2" ht="18.75" x14ac:dyDescent="0.25">
      <c r="B998" s="205">
        <v>835</v>
      </c>
    </row>
    <row r="999" spans="2:2" ht="18.75" x14ac:dyDescent="0.25">
      <c r="B999" s="202">
        <v>838</v>
      </c>
    </row>
    <row r="1000" spans="2:2" ht="18.75" x14ac:dyDescent="0.25">
      <c r="B1000" s="205">
        <v>832</v>
      </c>
    </row>
    <row r="1001" spans="2:2" ht="18.75" x14ac:dyDescent="0.25">
      <c r="B1001" s="202">
        <v>837</v>
      </c>
    </row>
    <row r="1002" spans="2:2" ht="18.75" x14ac:dyDescent="0.25">
      <c r="B1002" s="205">
        <v>836</v>
      </c>
    </row>
    <row r="1003" spans="2:2" ht="18.75" x14ac:dyDescent="0.25">
      <c r="B1003" s="202" t="s">
        <v>591</v>
      </c>
    </row>
    <row r="1004" spans="2:2" ht="18.75" x14ac:dyDescent="0.25">
      <c r="B1004" s="205">
        <v>830</v>
      </c>
    </row>
    <row r="1005" spans="2:2" ht="18.75" x14ac:dyDescent="0.25">
      <c r="B1005" s="202">
        <v>843</v>
      </c>
    </row>
    <row r="1006" spans="2:2" ht="18.75" x14ac:dyDescent="0.25">
      <c r="B1006" s="205">
        <v>839</v>
      </c>
    </row>
    <row r="1007" spans="2:2" ht="18.75" x14ac:dyDescent="0.25">
      <c r="B1007" s="202">
        <v>841</v>
      </c>
    </row>
    <row r="1008" spans="2:2" ht="18.75" x14ac:dyDescent="0.25">
      <c r="B1008" s="205" t="s">
        <v>592</v>
      </c>
    </row>
    <row r="1009" spans="2:2" ht="18.75" x14ac:dyDescent="0.25">
      <c r="B1009" s="202">
        <v>828</v>
      </c>
    </row>
    <row r="1010" spans="2:2" ht="18.75" x14ac:dyDescent="0.25">
      <c r="B1010" s="205">
        <v>848</v>
      </c>
    </row>
    <row r="1011" spans="2:2" ht="18.75" x14ac:dyDescent="0.25">
      <c r="B1011" s="202">
        <v>842</v>
      </c>
    </row>
    <row r="1012" spans="2:2" ht="18.75" x14ac:dyDescent="0.25">
      <c r="B1012" s="205">
        <v>849</v>
      </c>
    </row>
    <row r="1013" spans="2:2" ht="18.75" x14ac:dyDescent="0.25">
      <c r="B1013" s="202">
        <v>854</v>
      </c>
    </row>
    <row r="1014" spans="2:2" ht="18.75" x14ac:dyDescent="0.25">
      <c r="B1014" s="211" t="s">
        <v>593</v>
      </c>
    </row>
    <row r="1015" spans="2:2" ht="18.75" x14ac:dyDescent="0.25">
      <c r="B1015" s="202">
        <v>853</v>
      </c>
    </row>
    <row r="1016" spans="2:2" ht="18.75" x14ac:dyDescent="0.25">
      <c r="B1016" s="205">
        <v>850</v>
      </c>
    </row>
    <row r="1017" spans="2:2" ht="18.75" x14ac:dyDescent="0.25">
      <c r="B1017" s="202">
        <v>851</v>
      </c>
    </row>
    <row r="1018" spans="2:2" ht="18.75" x14ac:dyDescent="0.25">
      <c r="B1018" s="205">
        <v>852</v>
      </c>
    </row>
    <row r="1019" spans="2:2" ht="18.75" x14ac:dyDescent="0.25">
      <c r="B1019" s="202">
        <v>861</v>
      </c>
    </row>
    <row r="1020" spans="2:2" ht="18.75" x14ac:dyDescent="0.25">
      <c r="B1020" s="205">
        <v>860</v>
      </c>
    </row>
    <row r="1021" spans="2:2" ht="18.75" x14ac:dyDescent="0.25">
      <c r="B1021" s="202">
        <v>862</v>
      </c>
    </row>
    <row r="1022" spans="2:2" ht="18.75" x14ac:dyDescent="0.25">
      <c r="B1022" s="205">
        <v>859</v>
      </c>
    </row>
    <row r="1023" spans="2:2" ht="18.75" x14ac:dyDescent="0.25">
      <c r="B1023" s="202">
        <v>857</v>
      </c>
    </row>
    <row r="1024" spans="2:2" ht="18.75" x14ac:dyDescent="0.25">
      <c r="B1024" s="205">
        <v>864</v>
      </c>
    </row>
    <row r="1025" spans="2:2" ht="18.75" x14ac:dyDescent="0.25">
      <c r="B1025" s="202">
        <v>855</v>
      </c>
    </row>
    <row r="1026" spans="2:2" ht="18.75" x14ac:dyDescent="0.25">
      <c r="B1026" s="205">
        <v>845</v>
      </c>
    </row>
    <row r="1027" spans="2:2" ht="18.75" x14ac:dyDescent="0.25">
      <c r="B1027" s="202" t="s">
        <v>594</v>
      </c>
    </row>
    <row r="1028" spans="2:2" ht="18.75" x14ac:dyDescent="0.25">
      <c r="B1028" s="205">
        <v>844</v>
      </c>
    </row>
    <row r="1029" spans="2:2" ht="18.75" x14ac:dyDescent="0.25">
      <c r="B1029" s="202">
        <v>856</v>
      </c>
    </row>
    <row r="1030" spans="2:2" ht="18.75" x14ac:dyDescent="0.25">
      <c r="B1030" s="205">
        <v>865</v>
      </c>
    </row>
    <row r="1031" spans="2:2" ht="18.75" x14ac:dyDescent="0.25">
      <c r="B1031" s="202">
        <v>847</v>
      </c>
    </row>
    <row r="1032" spans="2:2" ht="18.75" x14ac:dyDescent="0.25">
      <c r="B1032" s="205">
        <v>869</v>
      </c>
    </row>
    <row r="1033" spans="2:2" ht="18.75" x14ac:dyDescent="0.25">
      <c r="B1033" s="202">
        <v>868</v>
      </c>
    </row>
    <row r="1034" spans="2:2" ht="18.75" x14ac:dyDescent="0.25">
      <c r="B1034" s="205">
        <v>866</v>
      </c>
    </row>
    <row r="1035" spans="2:2" ht="18.75" x14ac:dyDescent="0.25">
      <c r="B1035" s="202">
        <v>872</v>
      </c>
    </row>
    <row r="1036" spans="2:2" ht="18.75" x14ac:dyDescent="0.25">
      <c r="B1036" s="205">
        <v>870</v>
      </c>
    </row>
    <row r="1037" spans="2:2" ht="18.75" x14ac:dyDescent="0.25">
      <c r="B1037" s="202">
        <v>871</v>
      </c>
    </row>
    <row r="1038" spans="2:2" ht="18.75" x14ac:dyDescent="0.25">
      <c r="B1038" s="205">
        <v>874</v>
      </c>
    </row>
    <row r="1039" spans="2:2" ht="18.75" x14ac:dyDescent="0.25">
      <c r="B1039" s="202">
        <v>873</v>
      </c>
    </row>
    <row r="1040" spans="2:2" ht="18.75" x14ac:dyDescent="0.25">
      <c r="B1040" s="205">
        <v>867</v>
      </c>
    </row>
    <row r="1041" spans="2:2" ht="18.75" x14ac:dyDescent="0.25">
      <c r="B1041" s="202">
        <v>882</v>
      </c>
    </row>
    <row r="1042" spans="2:2" ht="18.75" x14ac:dyDescent="0.25">
      <c r="B1042" s="205">
        <v>878</v>
      </c>
    </row>
    <row r="1043" spans="2:2" ht="18.75" x14ac:dyDescent="0.25">
      <c r="B1043" s="210" t="s">
        <v>595</v>
      </c>
    </row>
    <row r="1044" spans="2:2" ht="18.75" x14ac:dyDescent="0.25">
      <c r="B1044" s="205">
        <v>881</v>
      </c>
    </row>
    <row r="1045" spans="2:2" ht="18.75" x14ac:dyDescent="0.25">
      <c r="B1045" s="202">
        <v>883</v>
      </c>
    </row>
    <row r="1046" spans="2:2" ht="18.75" x14ac:dyDescent="0.25">
      <c r="B1046" s="205">
        <v>879</v>
      </c>
    </row>
    <row r="1047" spans="2:2" ht="18.75" x14ac:dyDescent="0.25">
      <c r="B1047" s="202">
        <v>877</v>
      </c>
    </row>
    <row r="1048" spans="2:2" ht="18.75" x14ac:dyDescent="0.25">
      <c r="B1048" s="205">
        <v>863</v>
      </c>
    </row>
    <row r="1049" spans="2:2" ht="18.75" x14ac:dyDescent="0.25">
      <c r="B1049" s="202">
        <v>888</v>
      </c>
    </row>
    <row r="1050" spans="2:2" ht="18.75" x14ac:dyDescent="0.25">
      <c r="B1050" s="205">
        <v>890</v>
      </c>
    </row>
    <row r="1051" spans="2:2" ht="18.75" x14ac:dyDescent="0.25">
      <c r="B1051" s="202">
        <v>885</v>
      </c>
    </row>
    <row r="1052" spans="2:2" ht="18.75" x14ac:dyDescent="0.25">
      <c r="B1052" s="205">
        <v>840</v>
      </c>
    </row>
    <row r="1053" spans="2:2" ht="18.75" x14ac:dyDescent="0.25">
      <c r="B1053" s="202">
        <v>887</v>
      </c>
    </row>
    <row r="1054" spans="2:2" ht="18.75" x14ac:dyDescent="0.25">
      <c r="B1054" s="205">
        <v>896</v>
      </c>
    </row>
    <row r="1055" spans="2:2" ht="18.75" x14ac:dyDescent="0.25">
      <c r="B1055" s="202">
        <v>895</v>
      </c>
    </row>
    <row r="1056" spans="2:2" ht="18.75" x14ac:dyDescent="0.25">
      <c r="B1056" s="205">
        <v>897</v>
      </c>
    </row>
    <row r="1057" spans="2:2" ht="18.75" x14ac:dyDescent="0.25">
      <c r="B1057" s="202">
        <v>875</v>
      </c>
    </row>
    <row r="1058" spans="2:2" ht="18.75" x14ac:dyDescent="0.25">
      <c r="B1058" s="205">
        <v>876</v>
      </c>
    </row>
    <row r="1059" spans="2:2" ht="18.75" x14ac:dyDescent="0.25">
      <c r="B1059" s="202">
        <v>894</v>
      </c>
    </row>
    <row r="1060" spans="2:2" ht="18.75" x14ac:dyDescent="0.25">
      <c r="B1060" s="205">
        <v>858</v>
      </c>
    </row>
    <row r="1061" spans="2:2" ht="18.75" x14ac:dyDescent="0.25">
      <c r="B1061" s="202">
        <v>892</v>
      </c>
    </row>
    <row r="1062" spans="2:2" ht="18.75" x14ac:dyDescent="0.25">
      <c r="B1062" s="205">
        <v>886</v>
      </c>
    </row>
    <row r="1063" spans="2:2" ht="18.75" x14ac:dyDescent="0.25">
      <c r="B1063" s="202">
        <v>899</v>
      </c>
    </row>
    <row r="1064" spans="2:2" ht="18.75" x14ac:dyDescent="0.25">
      <c r="B1064" s="205">
        <v>950</v>
      </c>
    </row>
    <row r="1065" spans="2:2" ht="18.75" x14ac:dyDescent="0.25">
      <c r="B1065" s="202">
        <v>953</v>
      </c>
    </row>
    <row r="1066" spans="2:2" ht="18.75" x14ac:dyDescent="0.25">
      <c r="B1066" s="205">
        <v>909</v>
      </c>
    </row>
    <row r="1067" spans="2:2" ht="18.75" x14ac:dyDescent="0.25">
      <c r="B1067" s="202">
        <v>893</v>
      </c>
    </row>
    <row r="1068" spans="2:2" ht="18.75" x14ac:dyDescent="0.25">
      <c r="B1068" s="205">
        <v>954</v>
      </c>
    </row>
    <row r="1069" spans="2:2" ht="18.75" x14ac:dyDescent="0.25">
      <c r="B1069" s="202">
        <v>636</v>
      </c>
    </row>
    <row r="1070" spans="2:2" ht="18.75" x14ac:dyDescent="0.25">
      <c r="B1070" s="205">
        <v>911</v>
      </c>
    </row>
    <row r="1071" spans="2:2" ht="18.75" x14ac:dyDescent="0.25">
      <c r="B1071" s="202">
        <v>908</v>
      </c>
    </row>
    <row r="1072" spans="2:2" ht="18.75" x14ac:dyDescent="0.25">
      <c r="B1072" s="205">
        <v>884</v>
      </c>
    </row>
    <row r="1073" spans="2:2" ht="18.75" x14ac:dyDescent="0.25">
      <c r="B1073" s="202">
        <v>891</v>
      </c>
    </row>
    <row r="1074" spans="2:2" ht="18.75" x14ac:dyDescent="0.25">
      <c r="B1074" s="205">
        <v>907</v>
      </c>
    </row>
    <row r="1075" spans="2:2" ht="18.75" x14ac:dyDescent="0.25">
      <c r="B1075" s="202">
        <v>948</v>
      </c>
    </row>
    <row r="1076" spans="2:2" ht="18.75" x14ac:dyDescent="0.25">
      <c r="B1076" s="205">
        <v>910</v>
      </c>
    </row>
    <row r="1077" spans="2:2" ht="18.75" x14ac:dyDescent="0.25">
      <c r="B1077" s="202">
        <v>919</v>
      </c>
    </row>
    <row r="1078" spans="2:2" ht="18.75" x14ac:dyDescent="0.25">
      <c r="B1078" s="205">
        <v>913</v>
      </c>
    </row>
    <row r="1079" spans="2:2" ht="18.75" x14ac:dyDescent="0.25">
      <c r="B1079" s="202">
        <v>918</v>
      </c>
    </row>
    <row r="1080" spans="2:2" ht="18.75" x14ac:dyDescent="0.25">
      <c r="B1080" s="205">
        <v>912</v>
      </c>
    </row>
    <row r="1081" spans="2:2" ht="18.75" x14ac:dyDescent="0.25">
      <c r="B1081" s="202">
        <v>914</v>
      </c>
    </row>
    <row r="1082" spans="2:2" ht="18.75" x14ac:dyDescent="0.25">
      <c r="B1082" s="205">
        <v>916</v>
      </c>
    </row>
    <row r="1083" spans="2:2" ht="18.75" x14ac:dyDescent="0.25">
      <c r="B1083" s="202">
        <v>925</v>
      </c>
    </row>
    <row r="1084" spans="2:2" ht="18.75" x14ac:dyDescent="0.25">
      <c r="B1084" s="205">
        <v>922</v>
      </c>
    </row>
    <row r="1085" spans="2:2" ht="18.75" x14ac:dyDescent="0.25">
      <c r="B1085" s="202">
        <v>930</v>
      </c>
    </row>
    <row r="1086" spans="2:2" ht="18.75" x14ac:dyDescent="0.25">
      <c r="B1086" s="205">
        <v>927</v>
      </c>
    </row>
    <row r="1087" spans="2:2" ht="18.75" x14ac:dyDescent="0.25">
      <c r="B1087" s="202">
        <v>923</v>
      </c>
    </row>
    <row r="1088" spans="2:2" ht="18.75" x14ac:dyDescent="0.25">
      <c r="B1088" s="205">
        <v>941</v>
      </c>
    </row>
    <row r="1089" spans="2:2" ht="18.75" x14ac:dyDescent="0.25">
      <c r="B1089" s="202">
        <v>929</v>
      </c>
    </row>
    <row r="1090" spans="2:2" ht="18.75" x14ac:dyDescent="0.25">
      <c r="B1090" s="205">
        <v>938</v>
      </c>
    </row>
    <row r="1091" spans="2:2" ht="18.75" x14ac:dyDescent="0.25">
      <c r="B1091" s="202">
        <v>939</v>
      </c>
    </row>
    <row r="1092" spans="2:2" ht="18.75" x14ac:dyDescent="0.25">
      <c r="B1092" s="205">
        <v>917</v>
      </c>
    </row>
    <row r="1093" spans="2:2" ht="18.75" x14ac:dyDescent="0.25">
      <c r="B1093" s="202">
        <v>943</v>
      </c>
    </row>
    <row r="1094" spans="2:2" ht="18.75" x14ac:dyDescent="0.25">
      <c r="B1094" s="205" t="s">
        <v>596</v>
      </c>
    </row>
    <row r="1095" spans="2:2" ht="18.75" x14ac:dyDescent="0.25">
      <c r="B1095" s="202">
        <v>940</v>
      </c>
    </row>
    <row r="1096" spans="2:2" ht="18.75" x14ac:dyDescent="0.25">
      <c r="B1096" s="205">
        <v>926</v>
      </c>
    </row>
    <row r="1097" spans="2:2" ht="18.75" x14ac:dyDescent="0.25">
      <c r="B1097" s="202">
        <v>932</v>
      </c>
    </row>
    <row r="1098" spans="2:2" ht="18.75" x14ac:dyDescent="0.25">
      <c r="B1098" s="205">
        <v>944</v>
      </c>
    </row>
    <row r="1099" spans="2:2" ht="18.75" x14ac:dyDescent="0.25">
      <c r="B1099" s="202">
        <v>960</v>
      </c>
    </row>
    <row r="1100" spans="2:2" ht="18.75" x14ac:dyDescent="0.25">
      <c r="B1100" s="205">
        <v>958</v>
      </c>
    </row>
    <row r="1101" spans="2:2" ht="18.75" x14ac:dyDescent="0.25">
      <c r="B1101" s="202">
        <v>957</v>
      </c>
    </row>
    <row r="1102" spans="2:2" ht="18.75" x14ac:dyDescent="0.25">
      <c r="B1102" s="205">
        <v>956</v>
      </c>
    </row>
    <row r="1103" spans="2:2" ht="18.75" x14ac:dyDescent="0.25">
      <c r="B1103" s="202">
        <v>955</v>
      </c>
    </row>
    <row r="1104" spans="2:2" ht="18.75" x14ac:dyDescent="0.25">
      <c r="B1104" s="205" t="s">
        <v>597</v>
      </c>
    </row>
    <row r="1105" spans="2:2" ht="18.75" x14ac:dyDescent="0.25">
      <c r="B1105" s="202">
        <v>889</v>
      </c>
    </row>
    <row r="1106" spans="2:2" ht="18.75" x14ac:dyDescent="0.25">
      <c r="B1106" s="205">
        <v>964</v>
      </c>
    </row>
    <row r="1107" spans="2:2" ht="18.75" x14ac:dyDescent="0.25">
      <c r="B1107" s="202">
        <v>961</v>
      </c>
    </row>
    <row r="1108" spans="2:2" ht="18.75" x14ac:dyDescent="0.25">
      <c r="B1108" s="205">
        <v>962</v>
      </c>
    </row>
    <row r="1109" spans="2:2" ht="18.75" x14ac:dyDescent="0.25">
      <c r="B1109" s="202">
        <v>963</v>
      </c>
    </row>
    <row r="1110" spans="2:2" ht="18.75" x14ac:dyDescent="0.25">
      <c r="B1110" s="205">
        <v>942</v>
      </c>
    </row>
    <row r="1111" spans="2:2" ht="18.75" x14ac:dyDescent="0.25">
      <c r="B1111" s="202" t="s">
        <v>598</v>
      </c>
    </row>
    <row r="1112" spans="2:2" ht="18.75" x14ac:dyDescent="0.25">
      <c r="B1112" s="205">
        <v>945</v>
      </c>
    </row>
    <row r="1113" spans="2:2" ht="18.75" x14ac:dyDescent="0.25">
      <c r="B1113" s="202">
        <v>966</v>
      </c>
    </row>
    <row r="1114" spans="2:2" ht="18.75" x14ac:dyDescent="0.25">
      <c r="B1114" s="205">
        <v>967</v>
      </c>
    </row>
    <row r="1115" spans="2:2" ht="18.75" x14ac:dyDescent="0.25">
      <c r="B1115" s="202">
        <v>969</v>
      </c>
    </row>
    <row r="1116" spans="2:2" ht="18.75" x14ac:dyDescent="0.25">
      <c r="B1116" s="205">
        <v>970</v>
      </c>
    </row>
    <row r="1117" spans="2:2" ht="18.75" x14ac:dyDescent="0.25">
      <c r="B1117" s="202">
        <v>971</v>
      </c>
    </row>
    <row r="1118" spans="2:2" ht="18.75" x14ac:dyDescent="0.25">
      <c r="B1118" s="205">
        <v>972</v>
      </c>
    </row>
    <row r="1119" spans="2:2" ht="18.75" x14ac:dyDescent="0.25">
      <c r="B1119" s="202">
        <v>976</v>
      </c>
    </row>
    <row r="1120" spans="2:2" ht="18.75" x14ac:dyDescent="0.25">
      <c r="B1120" s="205">
        <v>975</v>
      </c>
    </row>
    <row r="1121" spans="2:2" ht="18.75" x14ac:dyDescent="0.25">
      <c r="B1121" s="202">
        <v>981</v>
      </c>
    </row>
    <row r="1122" spans="2:2" ht="18.75" x14ac:dyDescent="0.25">
      <c r="B1122" s="205">
        <v>979</v>
      </c>
    </row>
    <row r="1123" spans="2:2" ht="18.75" x14ac:dyDescent="0.25">
      <c r="B1123" s="202">
        <v>978</v>
      </c>
    </row>
    <row r="1124" spans="2:2" ht="18.75" x14ac:dyDescent="0.25">
      <c r="B1124" s="205">
        <v>980</v>
      </c>
    </row>
    <row r="1125" spans="2:2" ht="18.75" x14ac:dyDescent="0.25">
      <c r="B1125" s="202">
        <v>982</v>
      </c>
    </row>
    <row r="1126" spans="2:2" ht="18.75" x14ac:dyDescent="0.25">
      <c r="B1126" s="205">
        <v>986</v>
      </c>
    </row>
    <row r="1127" spans="2:2" ht="18.75" x14ac:dyDescent="0.25">
      <c r="B1127" s="202">
        <v>984</v>
      </c>
    </row>
    <row r="1128" spans="2:2" ht="18.75" x14ac:dyDescent="0.25">
      <c r="B1128" s="205">
        <v>992</v>
      </c>
    </row>
    <row r="1129" spans="2:2" ht="18.75" x14ac:dyDescent="0.25">
      <c r="B1129" s="202">
        <v>989</v>
      </c>
    </row>
    <row r="1130" spans="2:2" ht="18.75" x14ac:dyDescent="0.25">
      <c r="B1130" s="205">
        <v>987</v>
      </c>
    </row>
    <row r="1131" spans="2:2" ht="18.75" x14ac:dyDescent="0.25">
      <c r="B1131" s="202">
        <v>993</v>
      </c>
    </row>
    <row r="1132" spans="2:2" ht="18.75" x14ac:dyDescent="0.25">
      <c r="B1132" s="205">
        <v>998</v>
      </c>
    </row>
    <row r="1133" spans="2:2" ht="18.75" x14ac:dyDescent="0.25">
      <c r="B1133" s="202">
        <v>985</v>
      </c>
    </row>
    <row r="1134" spans="2:2" ht="18.75" x14ac:dyDescent="0.25">
      <c r="B1134" s="205">
        <v>999</v>
      </c>
    </row>
    <row r="1135" spans="2:2" ht="18.75" x14ac:dyDescent="0.25">
      <c r="B1135" s="202">
        <v>1000</v>
      </c>
    </row>
    <row r="1136" spans="2:2" ht="18.75" x14ac:dyDescent="0.25">
      <c r="B1136" s="205">
        <v>1002</v>
      </c>
    </row>
    <row r="1137" spans="2:2" ht="18.75" x14ac:dyDescent="0.25">
      <c r="B1137" s="202">
        <v>997</v>
      </c>
    </row>
    <row r="1138" spans="2:2" ht="18.75" x14ac:dyDescent="0.25">
      <c r="B1138" s="205">
        <v>990</v>
      </c>
    </row>
    <row r="1139" spans="2:2" ht="18.75" x14ac:dyDescent="0.25">
      <c r="B1139" s="202">
        <v>1001</v>
      </c>
    </row>
    <row r="1140" spans="2:2" ht="18.75" x14ac:dyDescent="0.25">
      <c r="B1140" s="205">
        <v>996</v>
      </c>
    </row>
    <row r="1141" spans="2:2" ht="18.75" x14ac:dyDescent="0.25">
      <c r="B1141" s="202">
        <v>1009</v>
      </c>
    </row>
    <row r="1142" spans="2:2" ht="18.75" x14ac:dyDescent="0.25">
      <c r="B1142" s="205">
        <v>1005</v>
      </c>
    </row>
    <row r="1143" spans="2:2" ht="18.75" x14ac:dyDescent="0.25">
      <c r="B1143" s="202" t="s">
        <v>599</v>
      </c>
    </row>
    <row r="1144" spans="2:2" ht="18.75" x14ac:dyDescent="0.25">
      <c r="B1144" s="205">
        <v>1007</v>
      </c>
    </row>
    <row r="1145" spans="2:2" ht="18.75" x14ac:dyDescent="0.25">
      <c r="B1145" s="202">
        <v>1006</v>
      </c>
    </row>
    <row r="1146" spans="2:2" ht="18.75" x14ac:dyDescent="0.25">
      <c r="B1146" s="205">
        <v>1008</v>
      </c>
    </row>
    <row r="1147" spans="2:2" ht="18.75" x14ac:dyDescent="0.25">
      <c r="B1147" s="202">
        <v>1010</v>
      </c>
    </row>
    <row r="1148" spans="2:2" ht="18.75" x14ac:dyDescent="0.25">
      <c r="B1148" s="205">
        <v>1015</v>
      </c>
    </row>
    <row r="1149" spans="2:2" ht="18.75" x14ac:dyDescent="0.25">
      <c r="B1149" s="202">
        <v>1016</v>
      </c>
    </row>
    <row r="1150" spans="2:2" ht="18.75" x14ac:dyDescent="0.25">
      <c r="B1150" s="205">
        <v>1018</v>
      </c>
    </row>
    <row r="1151" spans="2:2" ht="18.75" x14ac:dyDescent="0.25">
      <c r="B1151" s="202">
        <v>1019</v>
      </c>
    </row>
    <row r="1152" spans="2:2" ht="18.75" x14ac:dyDescent="0.25">
      <c r="B1152" s="205">
        <v>1021</v>
      </c>
    </row>
    <row r="1153" spans="2:2" ht="18.75" x14ac:dyDescent="0.25">
      <c r="B1153" s="202">
        <v>1025</v>
      </c>
    </row>
    <row r="1154" spans="2:2" ht="18.75" x14ac:dyDescent="0.25">
      <c r="B1154" s="205">
        <v>1024</v>
      </c>
    </row>
    <row r="1155" spans="2:2" ht="18.75" x14ac:dyDescent="0.25">
      <c r="B1155" s="202">
        <v>1020</v>
      </c>
    </row>
    <row r="1156" spans="2:2" ht="18.75" x14ac:dyDescent="0.25">
      <c r="B1156" s="205">
        <v>1022</v>
      </c>
    </row>
    <row r="1157" spans="2:2" ht="18.75" x14ac:dyDescent="0.25">
      <c r="B1157" s="202">
        <v>1023</v>
      </c>
    </row>
    <row r="1158" spans="2:2" ht="18.75" x14ac:dyDescent="0.25">
      <c r="B1158" s="205">
        <v>1028</v>
      </c>
    </row>
    <row r="1159" spans="2:2" ht="18.75" x14ac:dyDescent="0.25">
      <c r="B1159" s="202">
        <v>1027</v>
      </c>
    </row>
    <row r="1160" spans="2:2" ht="18.75" x14ac:dyDescent="0.25">
      <c r="B1160" s="205">
        <v>1029</v>
      </c>
    </row>
    <row r="1161" spans="2:2" ht="18.75" x14ac:dyDescent="0.25">
      <c r="B1161" s="202">
        <v>1033</v>
      </c>
    </row>
    <row r="1162" spans="2:2" ht="18.75" x14ac:dyDescent="0.25">
      <c r="B1162" s="205">
        <v>1031</v>
      </c>
    </row>
    <row r="1163" spans="2:2" ht="18.75" x14ac:dyDescent="0.25">
      <c r="B1163" s="202">
        <v>1035</v>
      </c>
    </row>
    <row r="1164" spans="2:2" ht="18.75" x14ac:dyDescent="0.25">
      <c r="B1164" s="205">
        <v>1030</v>
      </c>
    </row>
    <row r="1165" spans="2:2" ht="18.75" x14ac:dyDescent="0.25">
      <c r="B1165" s="202">
        <v>1038</v>
      </c>
    </row>
    <row r="1166" spans="2:2" ht="18.75" x14ac:dyDescent="0.25">
      <c r="B1166" s="205">
        <v>1040</v>
      </c>
    </row>
    <row r="1167" spans="2:2" ht="18.75" x14ac:dyDescent="0.25">
      <c r="B1167" s="202">
        <v>1042</v>
      </c>
    </row>
    <row r="1168" spans="2:2" ht="18.75" x14ac:dyDescent="0.25">
      <c r="B1168" s="205">
        <v>1041</v>
      </c>
    </row>
    <row r="1169" spans="2:2" ht="18.75" x14ac:dyDescent="0.25">
      <c r="B1169" s="202" t="s">
        <v>600</v>
      </c>
    </row>
    <row r="1170" spans="2:2" ht="18.75" x14ac:dyDescent="0.25">
      <c r="B1170" s="205">
        <v>1044</v>
      </c>
    </row>
    <row r="1171" spans="2:2" ht="18.75" x14ac:dyDescent="0.25">
      <c r="B1171" s="202">
        <v>1045</v>
      </c>
    </row>
    <row r="1172" spans="2:2" ht="18.75" x14ac:dyDescent="0.25">
      <c r="B1172" s="205">
        <v>1043</v>
      </c>
    </row>
    <row r="1173" spans="2:2" ht="18.75" x14ac:dyDescent="0.25">
      <c r="B1173" s="202">
        <v>1055</v>
      </c>
    </row>
    <row r="1174" spans="2:2" ht="18.75" x14ac:dyDescent="0.25">
      <c r="B1174" s="205">
        <v>1054</v>
      </c>
    </row>
    <row r="1175" spans="2:2" ht="18.75" x14ac:dyDescent="0.25">
      <c r="B1175" s="202">
        <v>1052</v>
      </c>
    </row>
    <row r="1176" spans="2:2" ht="18.75" x14ac:dyDescent="0.25">
      <c r="B1176" s="205">
        <v>1050</v>
      </c>
    </row>
    <row r="1177" spans="2:2" ht="18.75" x14ac:dyDescent="0.25">
      <c r="B1177" s="202">
        <v>1011</v>
      </c>
    </row>
    <row r="1178" spans="2:2" ht="18.75" x14ac:dyDescent="0.25">
      <c r="B1178" s="205">
        <v>1049</v>
      </c>
    </row>
    <row r="1179" spans="2:2" ht="18.75" x14ac:dyDescent="0.25">
      <c r="B1179" s="202">
        <v>1047</v>
      </c>
    </row>
    <row r="1180" spans="2:2" ht="18.75" x14ac:dyDescent="0.25">
      <c r="B1180" s="205">
        <v>1048</v>
      </c>
    </row>
    <row r="1181" spans="2:2" ht="18.75" x14ac:dyDescent="0.25">
      <c r="B1181" s="202">
        <v>1053</v>
      </c>
    </row>
    <row r="1182" spans="2:2" ht="18.75" x14ac:dyDescent="0.25">
      <c r="B1182" s="205">
        <v>1058</v>
      </c>
    </row>
    <row r="1183" spans="2:2" ht="18.75" x14ac:dyDescent="0.25">
      <c r="B1183" s="202">
        <v>1057</v>
      </c>
    </row>
    <row r="1184" spans="2:2" ht="18.75" x14ac:dyDescent="0.25">
      <c r="B1184" s="205">
        <v>1059</v>
      </c>
    </row>
    <row r="1185" spans="2:2" ht="18.75" x14ac:dyDescent="0.25">
      <c r="B1185" s="202">
        <v>1062</v>
      </c>
    </row>
    <row r="1186" spans="2:2" ht="18.75" x14ac:dyDescent="0.25">
      <c r="B1186" s="205">
        <v>1051</v>
      </c>
    </row>
    <row r="1187" spans="2:2" ht="18.75" x14ac:dyDescent="0.25">
      <c r="B1187" s="202">
        <v>1061</v>
      </c>
    </row>
    <row r="1188" spans="2:2" ht="18.75" x14ac:dyDescent="0.25">
      <c r="B1188" s="205">
        <v>1065</v>
      </c>
    </row>
    <row r="1189" spans="2:2" ht="18.75" x14ac:dyDescent="0.25">
      <c r="B1189" s="202">
        <v>1060</v>
      </c>
    </row>
    <row r="1190" spans="2:2" ht="18.75" x14ac:dyDescent="0.25">
      <c r="B1190" s="205">
        <v>1063</v>
      </c>
    </row>
    <row r="1191" spans="2:2" ht="18.75" x14ac:dyDescent="0.25">
      <c r="B1191" s="202">
        <v>1068</v>
      </c>
    </row>
    <row r="1192" spans="2:2" ht="18.75" x14ac:dyDescent="0.25">
      <c r="B1192" s="205">
        <v>1066</v>
      </c>
    </row>
    <row r="1193" spans="2:2" ht="18.75" x14ac:dyDescent="0.25">
      <c r="B1193" s="202">
        <v>1067</v>
      </c>
    </row>
    <row r="1194" spans="2:2" ht="18.75" x14ac:dyDescent="0.25">
      <c r="B1194" s="205">
        <v>1071</v>
      </c>
    </row>
    <row r="1195" spans="2:2" ht="18.75" x14ac:dyDescent="0.25">
      <c r="B1195" s="202">
        <v>1079</v>
      </c>
    </row>
    <row r="1196" spans="2:2" ht="18.75" x14ac:dyDescent="0.25">
      <c r="B1196" s="205">
        <v>1077</v>
      </c>
    </row>
    <row r="1197" spans="2:2" ht="18.75" x14ac:dyDescent="0.25">
      <c r="B1197" s="202">
        <v>1072</v>
      </c>
    </row>
    <row r="1198" spans="2:2" ht="18.75" x14ac:dyDescent="0.25">
      <c r="B1198" s="205">
        <v>1083</v>
      </c>
    </row>
    <row r="1199" spans="2:2" ht="18.75" x14ac:dyDescent="0.25">
      <c r="B1199" s="202">
        <v>1075</v>
      </c>
    </row>
    <row r="1200" spans="2:2" ht="18.75" x14ac:dyDescent="0.25">
      <c r="B1200" s="205">
        <v>1076</v>
      </c>
    </row>
    <row r="1201" spans="2:2" ht="18.75" x14ac:dyDescent="0.25">
      <c r="B1201" s="202">
        <v>1080</v>
      </c>
    </row>
    <row r="1202" spans="2:2" ht="18.75" x14ac:dyDescent="0.25">
      <c r="B1202" s="205">
        <v>1084</v>
      </c>
    </row>
    <row r="1203" spans="2:2" ht="18.75" x14ac:dyDescent="0.25">
      <c r="B1203" s="202">
        <v>1082</v>
      </c>
    </row>
    <row r="1204" spans="2:2" ht="18.75" x14ac:dyDescent="0.25">
      <c r="B1204" s="205">
        <v>1085</v>
      </c>
    </row>
    <row r="1205" spans="2:2" ht="18.75" x14ac:dyDescent="0.25">
      <c r="B1205" s="202">
        <v>1087</v>
      </c>
    </row>
    <row r="1206" spans="2:2" ht="18.75" x14ac:dyDescent="0.25">
      <c r="B1206" s="205">
        <v>1074</v>
      </c>
    </row>
    <row r="1207" spans="2:2" ht="18.75" x14ac:dyDescent="0.25">
      <c r="B1207" s="202">
        <v>1090</v>
      </c>
    </row>
    <row r="1208" spans="2:2" ht="18.75" x14ac:dyDescent="0.25">
      <c r="B1208" s="205">
        <v>1094</v>
      </c>
    </row>
    <row r="1209" spans="2:2" ht="18.75" x14ac:dyDescent="0.25">
      <c r="B1209" s="202">
        <v>1095</v>
      </c>
    </row>
    <row r="1210" spans="2:2" ht="18.75" x14ac:dyDescent="0.25">
      <c r="B1210" s="205">
        <v>1056</v>
      </c>
    </row>
    <row r="1211" spans="2:2" ht="18.75" x14ac:dyDescent="0.25">
      <c r="B1211" s="202">
        <v>1103</v>
      </c>
    </row>
    <row r="1212" spans="2:2" ht="18.75" x14ac:dyDescent="0.25">
      <c r="B1212" s="205">
        <v>1105</v>
      </c>
    </row>
    <row r="1213" spans="2:2" ht="18.75" x14ac:dyDescent="0.25">
      <c r="B1213" s="202" t="s">
        <v>601</v>
      </c>
    </row>
    <row r="1214" spans="2:2" ht="18.75" x14ac:dyDescent="0.25">
      <c r="B1214" s="205">
        <v>1096</v>
      </c>
    </row>
    <row r="1215" spans="2:2" ht="18.75" x14ac:dyDescent="0.25">
      <c r="B1215" s="202">
        <v>1081</v>
      </c>
    </row>
    <row r="1216" spans="2:2" ht="18.75" x14ac:dyDescent="0.25">
      <c r="B1216" s="205">
        <v>1064</v>
      </c>
    </row>
    <row r="1217" spans="2:2" ht="18.75" x14ac:dyDescent="0.25">
      <c r="B1217" s="202">
        <v>1104</v>
      </c>
    </row>
    <row r="1218" spans="2:2" ht="18.75" x14ac:dyDescent="0.25">
      <c r="B1218" s="205">
        <v>1093</v>
      </c>
    </row>
    <row r="1219" spans="2:2" ht="18.75" x14ac:dyDescent="0.25">
      <c r="B1219" s="202">
        <v>1111</v>
      </c>
    </row>
    <row r="1220" spans="2:2" ht="18.75" x14ac:dyDescent="0.25">
      <c r="B1220" s="205">
        <v>1117</v>
      </c>
    </row>
    <row r="1221" spans="2:2" ht="18.75" x14ac:dyDescent="0.25">
      <c r="B1221" s="202">
        <v>1110</v>
      </c>
    </row>
    <row r="1222" spans="2:2" ht="18.75" x14ac:dyDescent="0.25">
      <c r="B1222" s="205">
        <v>1113</v>
      </c>
    </row>
    <row r="1223" spans="2:2" ht="18.75" x14ac:dyDescent="0.25">
      <c r="B1223" s="202">
        <v>1118</v>
      </c>
    </row>
    <row r="1224" spans="2:2" ht="18.75" x14ac:dyDescent="0.25">
      <c r="B1224" s="205">
        <v>1102</v>
      </c>
    </row>
    <row r="1225" spans="2:2" ht="18.75" x14ac:dyDescent="0.25">
      <c r="B1225" s="202">
        <v>1115</v>
      </c>
    </row>
    <row r="1226" spans="2:2" ht="18.75" x14ac:dyDescent="0.25">
      <c r="B1226" s="205">
        <v>1116</v>
      </c>
    </row>
    <row r="1227" spans="2:2" ht="18.75" x14ac:dyDescent="0.25">
      <c r="B1227" s="202">
        <v>1114</v>
      </c>
    </row>
    <row r="1228" spans="2:2" ht="18.75" x14ac:dyDescent="0.25">
      <c r="B1228" s="205">
        <v>1078</v>
      </c>
    </row>
    <row r="1229" spans="2:2" ht="18.75" x14ac:dyDescent="0.25">
      <c r="B1229" s="202">
        <v>1112</v>
      </c>
    </row>
    <row r="1230" spans="2:2" ht="18.75" x14ac:dyDescent="0.25">
      <c r="B1230" s="205">
        <v>1125</v>
      </c>
    </row>
    <row r="1231" spans="2:2" ht="18.75" x14ac:dyDescent="0.25">
      <c r="B1231" s="202">
        <v>1108</v>
      </c>
    </row>
    <row r="1232" spans="2:2" ht="18.75" x14ac:dyDescent="0.25">
      <c r="B1232" s="205">
        <v>1126</v>
      </c>
    </row>
    <row r="1233" spans="2:2" ht="18.75" x14ac:dyDescent="0.25">
      <c r="B1233" s="202">
        <v>1127</v>
      </c>
    </row>
    <row r="1234" spans="2:2" ht="18.75" x14ac:dyDescent="0.25">
      <c r="B1234" s="205">
        <v>1122</v>
      </c>
    </row>
    <row r="1235" spans="2:2" ht="18.75" x14ac:dyDescent="0.25">
      <c r="B1235" s="202">
        <v>1128</v>
      </c>
    </row>
    <row r="1236" spans="2:2" ht="18.75" x14ac:dyDescent="0.25">
      <c r="B1236" s="205">
        <v>1134</v>
      </c>
    </row>
    <row r="1237" spans="2:2" ht="18.75" x14ac:dyDescent="0.25">
      <c r="B1237" s="202">
        <v>1132</v>
      </c>
    </row>
    <row r="1238" spans="2:2" ht="18.75" x14ac:dyDescent="0.25">
      <c r="B1238" s="205">
        <v>1141</v>
      </c>
    </row>
    <row r="1239" spans="2:2" ht="18.75" x14ac:dyDescent="0.25">
      <c r="B1239" s="202">
        <v>1138</v>
      </c>
    </row>
    <row r="1240" spans="2:2" ht="18.75" x14ac:dyDescent="0.25">
      <c r="B1240" s="205">
        <v>1120</v>
      </c>
    </row>
    <row r="1241" spans="2:2" ht="18.75" x14ac:dyDescent="0.25">
      <c r="B1241" s="202">
        <v>1109</v>
      </c>
    </row>
    <row r="1242" spans="2:2" ht="18.75" x14ac:dyDescent="0.25">
      <c r="B1242" s="205">
        <v>1139</v>
      </c>
    </row>
    <row r="1243" spans="2:2" ht="18.75" x14ac:dyDescent="0.25">
      <c r="B1243" s="202">
        <v>1144</v>
      </c>
    </row>
    <row r="1244" spans="2:2" ht="18.75" x14ac:dyDescent="0.25">
      <c r="B1244" s="205">
        <v>1133</v>
      </c>
    </row>
    <row r="1245" spans="2:2" ht="18.75" x14ac:dyDescent="0.25">
      <c r="B1245" s="202">
        <v>1142</v>
      </c>
    </row>
    <row r="1246" spans="2:2" ht="18.75" x14ac:dyDescent="0.25">
      <c r="B1246" s="205" t="s">
        <v>602</v>
      </c>
    </row>
    <row r="1247" spans="2:2" ht="18.75" x14ac:dyDescent="0.25">
      <c r="B1247" s="202">
        <v>1148</v>
      </c>
    </row>
    <row r="1248" spans="2:2" ht="18.75" x14ac:dyDescent="0.25">
      <c r="B1248" s="205">
        <v>1091</v>
      </c>
    </row>
    <row r="1249" spans="2:2" ht="18.75" x14ac:dyDescent="0.25">
      <c r="B1249" s="202">
        <v>1121</v>
      </c>
    </row>
    <row r="1250" spans="2:2" ht="18.75" x14ac:dyDescent="0.25">
      <c r="B1250" s="205">
        <v>1101</v>
      </c>
    </row>
    <row r="1251" spans="2:2" ht="18.75" x14ac:dyDescent="0.25">
      <c r="B1251" s="202">
        <v>1147</v>
      </c>
    </row>
    <row r="1252" spans="2:2" ht="18.75" x14ac:dyDescent="0.25">
      <c r="B1252" s="205">
        <v>1150</v>
      </c>
    </row>
    <row r="1253" spans="2:2" ht="18.75" x14ac:dyDescent="0.25">
      <c r="B1253" s="202">
        <v>1146</v>
      </c>
    </row>
    <row r="1254" spans="2:2" ht="18.75" x14ac:dyDescent="0.25">
      <c r="B1254" s="205">
        <v>1169</v>
      </c>
    </row>
    <row r="1255" spans="2:2" ht="18.75" x14ac:dyDescent="0.25">
      <c r="B1255" s="202">
        <v>1166</v>
      </c>
    </row>
    <row r="1256" spans="2:2" ht="18.75" x14ac:dyDescent="0.25">
      <c r="B1256" s="205">
        <v>1167</v>
      </c>
    </row>
    <row r="1257" spans="2:2" ht="18.75" x14ac:dyDescent="0.25">
      <c r="B1257" s="202">
        <v>1172</v>
      </c>
    </row>
    <row r="1258" spans="2:2" ht="18.75" x14ac:dyDescent="0.25">
      <c r="B1258" s="205">
        <v>1171</v>
      </c>
    </row>
    <row r="1259" spans="2:2" ht="18.75" x14ac:dyDescent="0.25">
      <c r="B1259" s="202">
        <v>1168</v>
      </c>
    </row>
    <row r="1260" spans="2:2" ht="18.75" x14ac:dyDescent="0.25">
      <c r="B1260" s="205">
        <v>1173</v>
      </c>
    </row>
    <row r="1261" spans="2:2" ht="18.75" x14ac:dyDescent="0.25">
      <c r="B1261" s="202">
        <v>1189</v>
      </c>
    </row>
    <row r="1262" spans="2:2" ht="18.75" x14ac:dyDescent="0.25">
      <c r="B1262" s="205">
        <v>1188</v>
      </c>
    </row>
    <row r="1263" spans="2:2" ht="18.75" x14ac:dyDescent="0.25">
      <c r="B1263" s="202">
        <v>1186</v>
      </c>
    </row>
    <row r="1264" spans="2:2" ht="18.75" x14ac:dyDescent="0.25">
      <c r="B1264" s="205">
        <v>1185</v>
      </c>
    </row>
    <row r="1265" spans="2:2" ht="18.75" x14ac:dyDescent="0.25">
      <c r="B1265" s="202">
        <v>1184</v>
      </c>
    </row>
    <row r="1266" spans="2:2" ht="18.75" x14ac:dyDescent="0.25">
      <c r="B1266" s="205">
        <v>1193</v>
      </c>
    </row>
    <row r="1267" spans="2:2" ht="18.75" x14ac:dyDescent="0.25">
      <c r="B1267" s="202">
        <v>1192</v>
      </c>
    </row>
    <row r="1268" spans="2:2" ht="18.75" x14ac:dyDescent="0.25">
      <c r="B1268" s="205">
        <v>1191</v>
      </c>
    </row>
    <row r="1269" spans="2:2" ht="18.75" x14ac:dyDescent="0.25">
      <c r="B1269" s="202">
        <v>1194</v>
      </c>
    </row>
    <row r="1270" spans="2:2" ht="18.75" x14ac:dyDescent="0.25">
      <c r="B1270" s="205">
        <v>1197</v>
      </c>
    </row>
    <row r="1271" spans="2:2" ht="18.75" x14ac:dyDescent="0.25">
      <c r="B1271" s="202">
        <v>1199</v>
      </c>
    </row>
    <row r="1272" spans="2:2" ht="18.75" x14ac:dyDescent="0.25">
      <c r="B1272" s="205">
        <v>1200</v>
      </c>
    </row>
    <row r="1273" spans="2:2" ht="18.75" x14ac:dyDescent="0.25">
      <c r="B1273" s="202">
        <v>1201</v>
      </c>
    </row>
    <row r="1274" spans="2:2" ht="18.75" x14ac:dyDescent="0.25">
      <c r="B1274" s="205">
        <v>1202</v>
      </c>
    </row>
    <row r="1275" spans="2:2" ht="18.75" x14ac:dyDescent="0.25">
      <c r="B1275" s="202">
        <v>1208</v>
      </c>
    </row>
    <row r="1276" spans="2:2" ht="18.75" x14ac:dyDescent="0.25">
      <c r="B1276" s="205">
        <v>1210</v>
      </c>
    </row>
    <row r="1277" spans="2:2" ht="18.75" x14ac:dyDescent="0.25">
      <c r="B1277" s="202">
        <v>1212</v>
      </c>
    </row>
    <row r="1278" spans="2:2" ht="18.75" x14ac:dyDescent="0.25">
      <c r="B1278" s="205">
        <v>1209</v>
      </c>
    </row>
    <row r="1279" spans="2:2" ht="18.75" x14ac:dyDescent="0.25">
      <c r="B1279" s="202">
        <v>1216</v>
      </c>
    </row>
    <row r="1280" spans="2:2" ht="18.75" x14ac:dyDescent="0.25">
      <c r="B1280" s="205">
        <v>1213</v>
      </c>
    </row>
    <row r="1281" spans="2:2" ht="18.75" x14ac:dyDescent="0.25">
      <c r="B1281" s="202">
        <v>1214</v>
      </c>
    </row>
    <row r="1282" spans="2:2" ht="18.75" x14ac:dyDescent="0.25">
      <c r="B1282" s="205">
        <v>1218</v>
      </c>
    </row>
    <row r="1283" spans="2:2" ht="18.75" x14ac:dyDescent="0.25">
      <c r="B1283" s="202">
        <v>1220</v>
      </c>
    </row>
    <row r="1284" spans="2:2" ht="18.75" x14ac:dyDescent="0.25">
      <c r="B1284" s="205" t="s">
        <v>603</v>
      </c>
    </row>
    <row r="1285" spans="2:2" ht="18.75" x14ac:dyDescent="0.25">
      <c r="B1285" s="202">
        <v>1223</v>
      </c>
    </row>
    <row r="1286" spans="2:2" ht="18.75" x14ac:dyDescent="0.25">
      <c r="B1286" s="205">
        <v>1226</v>
      </c>
    </row>
    <row r="1287" spans="2:2" ht="18.75" x14ac:dyDescent="0.25">
      <c r="B1287" s="202">
        <v>1225</v>
      </c>
    </row>
    <row r="1288" spans="2:2" ht="18.75" x14ac:dyDescent="0.25">
      <c r="B1288" s="205">
        <v>1224</v>
      </c>
    </row>
    <row r="1289" spans="2:2" ht="18.75" x14ac:dyDescent="0.25">
      <c r="B1289" s="202">
        <v>1233</v>
      </c>
    </row>
    <row r="1290" spans="2:2" ht="18.75" x14ac:dyDescent="0.25">
      <c r="B1290" s="205">
        <v>1234</v>
      </c>
    </row>
    <row r="1291" spans="2:2" ht="18.75" x14ac:dyDescent="0.25">
      <c r="B1291" s="202">
        <v>1235</v>
      </c>
    </row>
    <row r="1292" spans="2:2" ht="18.75" x14ac:dyDescent="0.25">
      <c r="B1292" s="205">
        <v>1164</v>
      </c>
    </row>
    <row r="1293" spans="2:2" ht="18.75" x14ac:dyDescent="0.25">
      <c r="B1293" s="202">
        <v>1227</v>
      </c>
    </row>
    <row r="1294" spans="2:2" ht="18.75" x14ac:dyDescent="0.25">
      <c r="B1294" s="205">
        <v>1211</v>
      </c>
    </row>
    <row r="1295" spans="2:2" ht="18.75" x14ac:dyDescent="0.25">
      <c r="B1295" s="202">
        <v>1215</v>
      </c>
    </row>
    <row r="1296" spans="2:2" ht="18.75" x14ac:dyDescent="0.25">
      <c r="B1296" s="205">
        <v>1228</v>
      </c>
    </row>
  </sheetData>
  <sheetProtection algorithmName="SHA-512" hashValue="8NkOawN4BHXvvQZZ1trj4gbUfCc6ax9gMiHPjcRLtwDhE+DYCTR+DVTHpUIhVrW1Z0tc/DgMjuPpxIhGNp3PKg==" saltValue="4R+St6QF0Cehg1nqiVQzow==" spinCount="100000" sheet="1" objects="1" scenarios="1"/>
  <pageMargins left="0.7" right="0.7" top="0.75" bottom="0.75" header="0.3" footer="0.3"/>
  <pageSetup orientation="portrait" r:id="rId1"/>
  <headerFooter>
    <oddHeader>&amp;C&amp;K139119&amp;10&amp;"Calibri"&amp;BPublic - عام&amp;B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3D17-1D9A-4963-8C8B-3FC3E2845C26}">
  <dimension ref="A4:J46"/>
  <sheetViews>
    <sheetView rightToLeft="1" tabSelected="1" view="pageLayout" zoomScaleNormal="85" workbookViewId="0">
      <selection activeCell="C11" sqref="C11:C12"/>
    </sheetView>
  </sheetViews>
  <sheetFormatPr defaultColWidth="27.5703125" defaultRowHeight="15" x14ac:dyDescent="0.25"/>
  <cols>
    <col min="1" max="1" width="31.28515625" style="1" customWidth="1"/>
    <col min="2" max="3" width="27.5703125" style="1"/>
    <col min="4" max="4" width="25.28515625" style="1" customWidth="1"/>
    <col min="5" max="5" width="3.7109375" style="1" customWidth="1"/>
    <col min="6" max="9" width="27.5703125" style="1"/>
    <col min="10" max="10" width="6" style="1" customWidth="1"/>
    <col min="11" max="16384" width="27.5703125" style="1"/>
  </cols>
  <sheetData>
    <row r="4" spans="1:10" ht="15.75" thickBot="1" x14ac:dyDescent="0.3"/>
    <row r="5" spans="1:10" ht="23.25" thickTop="1" thickBot="1" x14ac:dyDescent="0.35">
      <c r="A5" s="2" t="s">
        <v>0</v>
      </c>
      <c r="B5" s="3"/>
      <c r="C5" s="145">
        <v>48987476.539999999</v>
      </c>
      <c r="D5" s="146"/>
      <c r="E5" s="4"/>
      <c r="F5" s="4"/>
      <c r="G5" s="4"/>
      <c r="H5" s="4"/>
      <c r="I5" s="4"/>
      <c r="J5" s="4"/>
    </row>
    <row r="6" spans="1:10" ht="20.25" thickTop="1" thickBot="1" x14ac:dyDescent="0.35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ht="22.5" thickTop="1" x14ac:dyDescent="0.3">
      <c r="A7" s="5" t="s">
        <v>1</v>
      </c>
      <c r="B7" s="6"/>
      <c r="C7" s="6"/>
      <c r="D7" s="7"/>
      <c r="E7" s="4"/>
      <c r="F7" s="5" t="s">
        <v>2</v>
      </c>
      <c r="G7" s="6"/>
      <c r="H7" s="6"/>
      <c r="I7" s="7"/>
      <c r="J7" s="4"/>
    </row>
    <row r="8" spans="1:10" ht="22.5" thickBot="1" x14ac:dyDescent="0.35">
      <c r="A8" s="8" t="s">
        <v>3</v>
      </c>
      <c r="B8" s="8" t="s">
        <v>4</v>
      </c>
      <c r="C8" s="8" t="s">
        <v>5</v>
      </c>
      <c r="D8" s="8" t="s">
        <v>6</v>
      </c>
      <c r="E8" s="4"/>
      <c r="F8" s="8" t="s">
        <v>3</v>
      </c>
      <c r="G8" s="8" t="s">
        <v>4</v>
      </c>
      <c r="H8" s="8" t="s">
        <v>5</v>
      </c>
      <c r="I8" s="8" t="s">
        <v>6</v>
      </c>
      <c r="J8" s="4"/>
    </row>
    <row r="9" spans="1:10" ht="23.25" thickTop="1" thickBot="1" x14ac:dyDescent="0.35">
      <c r="A9" s="9" t="s">
        <v>7</v>
      </c>
      <c r="B9" s="114">
        <v>221354938.99999997</v>
      </c>
      <c r="C9" s="10" t="s">
        <v>8</v>
      </c>
      <c r="D9" s="114">
        <v>286629975.58999997</v>
      </c>
      <c r="E9" s="4"/>
      <c r="F9" s="9" t="s">
        <v>7</v>
      </c>
      <c r="G9" s="114">
        <v>35864882.899999999</v>
      </c>
      <c r="H9" s="10" t="s">
        <v>8</v>
      </c>
      <c r="I9" s="114">
        <v>32043510.52</v>
      </c>
      <c r="J9" s="4"/>
    </row>
    <row r="10" spans="1:10" ht="45" thickTop="1" thickBot="1" x14ac:dyDescent="0.35">
      <c r="A10" s="9" t="s">
        <v>9</v>
      </c>
      <c r="B10" s="114">
        <v>0</v>
      </c>
      <c r="C10" s="10" t="s">
        <v>10</v>
      </c>
      <c r="D10" s="114">
        <v>0</v>
      </c>
      <c r="E10" s="4"/>
      <c r="F10" s="9" t="s">
        <v>11</v>
      </c>
      <c r="G10" s="114">
        <v>0</v>
      </c>
      <c r="H10" s="10" t="s">
        <v>10</v>
      </c>
      <c r="I10" s="114">
        <v>0</v>
      </c>
      <c r="J10" s="4"/>
    </row>
    <row r="11" spans="1:10" ht="23.25" thickTop="1" thickBot="1" x14ac:dyDescent="0.35">
      <c r="A11" s="9" t="s">
        <v>12</v>
      </c>
      <c r="B11" s="114">
        <v>31715784.420000002</v>
      </c>
      <c r="C11" s="10" t="s">
        <v>13</v>
      </c>
      <c r="D11" s="114">
        <v>0</v>
      </c>
      <c r="E11" s="4"/>
      <c r="F11" s="9" t="s">
        <v>12</v>
      </c>
      <c r="G11" s="114">
        <v>2506851.9900000002</v>
      </c>
      <c r="H11" s="10" t="s">
        <v>13</v>
      </c>
      <c r="I11" s="114">
        <v>0</v>
      </c>
      <c r="J11" s="4"/>
    </row>
    <row r="12" spans="1:10" ht="23.25" thickTop="1" thickBot="1" x14ac:dyDescent="0.35">
      <c r="A12" s="9" t="s">
        <v>14</v>
      </c>
      <c r="B12" s="114">
        <v>0</v>
      </c>
      <c r="C12" s="10" t="s">
        <v>15</v>
      </c>
      <c r="D12" s="114">
        <v>0</v>
      </c>
      <c r="E12" s="4"/>
      <c r="F12" s="9" t="s">
        <v>14</v>
      </c>
      <c r="G12" s="114">
        <v>0</v>
      </c>
      <c r="H12" s="10" t="s">
        <v>15</v>
      </c>
      <c r="I12" s="114">
        <v>0</v>
      </c>
      <c r="J12" s="4"/>
    </row>
    <row r="13" spans="1:10" ht="23.25" thickTop="1" thickBot="1" x14ac:dyDescent="0.35">
      <c r="A13" s="9" t="s">
        <v>16</v>
      </c>
      <c r="B13" s="114">
        <v>0</v>
      </c>
      <c r="C13" s="117" t="s">
        <v>17</v>
      </c>
      <c r="D13" s="114">
        <v>504747.8</v>
      </c>
      <c r="E13" s="4"/>
      <c r="F13" s="9" t="s">
        <v>16</v>
      </c>
      <c r="G13" s="114">
        <v>0</v>
      </c>
      <c r="H13" s="117" t="s">
        <v>17</v>
      </c>
      <c r="I13" s="114">
        <v>0</v>
      </c>
      <c r="J13" s="4"/>
    </row>
    <row r="14" spans="1:10" ht="23.25" thickTop="1" thickBot="1" x14ac:dyDescent="0.35">
      <c r="A14" s="116" t="s">
        <v>17</v>
      </c>
      <c r="B14" s="114">
        <v>504747.8</v>
      </c>
      <c r="C14" s="118" t="s">
        <v>18</v>
      </c>
      <c r="D14" s="114">
        <v>9100000</v>
      </c>
      <c r="E14" s="4"/>
      <c r="F14" s="116" t="s">
        <v>17</v>
      </c>
      <c r="G14" s="114">
        <v>0</v>
      </c>
      <c r="H14" s="118" t="s">
        <v>18</v>
      </c>
      <c r="I14" s="114">
        <v>0</v>
      </c>
      <c r="J14" s="4"/>
    </row>
    <row r="15" spans="1:10" ht="23.25" thickTop="1" thickBot="1" x14ac:dyDescent="0.35">
      <c r="A15" s="12" t="s">
        <v>19</v>
      </c>
      <c r="B15" s="13">
        <f t="shared" ref="B9:B15" si="0">SUBTOTAL(109,B9:B14)</f>
        <v>253575471.21999997</v>
      </c>
      <c r="C15" s="11" t="s">
        <v>20</v>
      </c>
      <c r="D15" s="13">
        <f>SUBTOTAL(109,D9:D14)</f>
        <v>296234723.38999999</v>
      </c>
      <c r="E15" s="4"/>
      <c r="F15" s="12" t="s">
        <v>19</v>
      </c>
      <c r="G15" s="13">
        <f t="shared" ref="G9:G15" si="1">SUBTOTAL(109,G9:G14)</f>
        <v>38371734.890000001</v>
      </c>
      <c r="H15" s="11" t="s">
        <v>20</v>
      </c>
      <c r="I15" s="13">
        <f>SUBTOTAL(109,I9:I14)</f>
        <v>32043510.52</v>
      </c>
      <c r="J15" s="4"/>
    </row>
    <row r="16" spans="1:10" ht="23.25" thickTop="1" thickBot="1" x14ac:dyDescent="0.35">
      <c r="A16" s="14"/>
      <c r="B16" s="15"/>
      <c r="C16" s="14"/>
      <c r="D16" s="15"/>
      <c r="E16" s="4"/>
      <c r="F16" s="4"/>
      <c r="G16" s="4"/>
      <c r="H16" s="4"/>
      <c r="I16" s="4"/>
      <c r="J16" s="4"/>
    </row>
    <row r="17" spans="1:10" ht="22.5" thickTop="1" x14ac:dyDescent="0.3">
      <c r="A17" s="16" t="s">
        <v>21</v>
      </c>
      <c r="B17" s="17"/>
      <c r="C17" s="17"/>
      <c r="D17" s="18"/>
      <c r="E17" s="4"/>
      <c r="F17" s="5" t="s">
        <v>22</v>
      </c>
      <c r="G17" s="6"/>
      <c r="H17" s="6"/>
      <c r="I17" s="7"/>
      <c r="J17" s="4"/>
    </row>
    <row r="18" spans="1:10" ht="22.5" thickBot="1" x14ac:dyDescent="0.35">
      <c r="A18" s="19" t="s">
        <v>23</v>
      </c>
      <c r="B18" s="20">
        <f>+C5</f>
        <v>48987476.539999999</v>
      </c>
      <c r="C18" s="21" t="s">
        <v>24</v>
      </c>
      <c r="D18" s="22" cm="1">
        <f t="array" ref="D18">+Table10[[#All],[Column2]]+I15-G15</f>
        <v>42659252.170000002</v>
      </c>
      <c r="E18" s="4"/>
      <c r="F18" s="8" t="s">
        <v>3</v>
      </c>
      <c r="G18" s="8" t="s">
        <v>4</v>
      </c>
      <c r="H18" s="8" t="s">
        <v>5</v>
      </c>
      <c r="I18" s="8" t="s">
        <v>6</v>
      </c>
      <c r="J18" s="4"/>
    </row>
    <row r="19" spans="1:10" ht="23.25" thickTop="1" thickBot="1" x14ac:dyDescent="0.35">
      <c r="E19" s="4"/>
      <c r="F19" s="9" t="s">
        <v>7</v>
      </c>
      <c r="G19" s="114">
        <f t="shared" ref="G19:G24" si="2">SUBTOTAL(109,G14:G18)</f>
        <v>0</v>
      </c>
      <c r="H19" s="10" t="s">
        <v>8</v>
      </c>
      <c r="I19" s="114">
        <f t="shared" ref="I19:I24" si="3">SUBTOTAL(109,I14:I18)</f>
        <v>0</v>
      </c>
      <c r="J19" s="4"/>
    </row>
    <row r="20" spans="1:10" ht="23.25" thickTop="1" thickBot="1" x14ac:dyDescent="0.35">
      <c r="B20" s="23" t="s">
        <v>25</v>
      </c>
      <c r="C20" s="23"/>
      <c r="E20" s="4"/>
      <c r="F20" s="9" t="s">
        <v>12</v>
      </c>
      <c r="G20" s="114">
        <f t="shared" si="2"/>
        <v>0</v>
      </c>
      <c r="H20" s="10" t="s">
        <v>10</v>
      </c>
      <c r="I20" s="114">
        <f t="shared" si="3"/>
        <v>0</v>
      </c>
      <c r="J20" s="4"/>
    </row>
    <row r="21" spans="1:10" ht="23.25" thickTop="1" thickBot="1" x14ac:dyDescent="0.35">
      <c r="B21" s="24" t="s">
        <v>26</v>
      </c>
      <c r="C21" s="24" t="s">
        <v>27</v>
      </c>
      <c r="E21" s="4"/>
      <c r="F21" s="9" t="s">
        <v>14</v>
      </c>
      <c r="G21" s="114">
        <f t="shared" si="2"/>
        <v>0</v>
      </c>
      <c r="H21" s="10" t="s">
        <v>13</v>
      </c>
      <c r="I21" s="114">
        <f t="shared" si="3"/>
        <v>0</v>
      </c>
      <c r="J21" s="4"/>
    </row>
    <row r="22" spans="1:10" ht="23.25" thickTop="1" thickBot="1" x14ac:dyDescent="0.35">
      <c r="B22" s="24" t="s">
        <v>28</v>
      </c>
      <c r="C22" s="115"/>
      <c r="E22" s="4"/>
      <c r="F22" s="9" t="s">
        <v>16</v>
      </c>
      <c r="G22" s="114">
        <f t="shared" si="2"/>
        <v>0</v>
      </c>
      <c r="H22" s="10" t="s">
        <v>15</v>
      </c>
      <c r="I22" s="114">
        <f t="shared" si="3"/>
        <v>0</v>
      </c>
      <c r="J22" s="4"/>
    </row>
    <row r="23" spans="1:10" ht="45" thickTop="1" thickBot="1" x14ac:dyDescent="0.35">
      <c r="B23" s="24" t="s">
        <v>29</v>
      </c>
      <c r="C23" s="25">
        <f>-B10</f>
        <v>0</v>
      </c>
      <c r="E23" s="4"/>
      <c r="F23" s="116" t="s">
        <v>17</v>
      </c>
      <c r="G23" s="114">
        <f t="shared" si="2"/>
        <v>0</v>
      </c>
      <c r="H23" s="117" t="s">
        <v>17</v>
      </c>
      <c r="I23" s="114">
        <f t="shared" si="3"/>
        <v>0</v>
      </c>
      <c r="J23" s="4"/>
    </row>
    <row r="24" spans="1:10" ht="23.25" thickTop="1" thickBot="1" x14ac:dyDescent="0.35">
      <c r="B24" s="24" t="s">
        <v>30</v>
      </c>
      <c r="C24" s="25">
        <f>+C22+C23</f>
        <v>0</v>
      </c>
      <c r="E24" s="4"/>
      <c r="F24" s="12" t="s">
        <v>19</v>
      </c>
      <c r="G24" s="13">
        <f>SUBTOTAL(109,G19:G23)</f>
        <v>0</v>
      </c>
      <c r="H24" s="26" t="s">
        <v>20</v>
      </c>
      <c r="I24" s="13">
        <f>SUBTOTAL(109,I19:I23)</f>
        <v>0</v>
      </c>
      <c r="J24" s="4"/>
    </row>
    <row r="25" spans="1:10" ht="20.25" thickTop="1" thickBot="1" x14ac:dyDescent="0.35">
      <c r="E25" s="4"/>
      <c r="J25" s="4"/>
    </row>
    <row r="26" spans="1:10" ht="22.5" thickTop="1" x14ac:dyDescent="0.3">
      <c r="A26" s="5" t="s">
        <v>31</v>
      </c>
      <c r="B26" s="6"/>
      <c r="C26" s="6"/>
      <c r="D26" s="6"/>
      <c r="E26" s="4"/>
      <c r="F26" s="5" t="s">
        <v>32</v>
      </c>
      <c r="G26" s="6"/>
      <c r="H26" s="6"/>
      <c r="I26" s="7"/>
      <c r="J26" s="4"/>
    </row>
    <row r="27" spans="1:10" ht="44.25" thickBot="1" x14ac:dyDescent="0.35">
      <c r="A27" s="27" t="s">
        <v>33</v>
      </c>
      <c r="B27" s="28" t="s">
        <v>4</v>
      </c>
      <c r="C27" s="29" t="s">
        <v>34</v>
      </c>
      <c r="D27" s="27" t="s">
        <v>4</v>
      </c>
      <c r="E27" s="4"/>
      <c r="F27" s="8" t="s">
        <v>3</v>
      </c>
      <c r="G27" s="8" t="s">
        <v>4</v>
      </c>
      <c r="H27" s="8" t="s">
        <v>5</v>
      </c>
      <c r="I27" s="8" t="s">
        <v>6</v>
      </c>
      <c r="J27" s="4"/>
    </row>
    <row r="28" spans="1:10" ht="45" thickTop="1" thickBot="1" x14ac:dyDescent="0.35">
      <c r="A28" s="12" t="s">
        <v>35</v>
      </c>
      <c r="B28" s="30" t="s">
        <v>134</v>
      </c>
      <c r="C28" s="31" t="s">
        <v>36</v>
      </c>
      <c r="D28" s="32" t="s">
        <v>135</v>
      </c>
      <c r="E28" s="4"/>
      <c r="F28" s="9" t="s">
        <v>7</v>
      </c>
      <c r="G28" s="147">
        <f t="shared" ref="G28:G34" si="4">SUBTOTAL(109,G22:G27)</f>
        <v>0</v>
      </c>
      <c r="H28" s="10" t="s">
        <v>8</v>
      </c>
      <c r="I28" s="147">
        <f t="shared" ref="G28:I34" si="5">SUBTOTAL(109,I23:I27)</f>
        <v>0</v>
      </c>
      <c r="J28" s="4"/>
    </row>
    <row r="29" spans="1:10" ht="36.75" customHeight="1" thickTop="1" thickBot="1" x14ac:dyDescent="0.35">
      <c r="A29" s="33" t="s">
        <v>37</v>
      </c>
      <c r="B29" s="34">
        <f>+'(4) وحدات المشروع'!F51</f>
        <v>254586454.13999999</v>
      </c>
      <c r="C29" s="9" t="s">
        <v>38</v>
      </c>
      <c r="D29" s="34">
        <f>+'(1) البيانات الاساسية'!D9*0.05</f>
        <v>0</v>
      </c>
      <c r="E29" s="4"/>
      <c r="F29" s="9" t="s">
        <v>39</v>
      </c>
      <c r="G29" s="147">
        <f t="shared" si="4"/>
        <v>0</v>
      </c>
      <c r="H29" s="10" t="s">
        <v>10</v>
      </c>
      <c r="I29" s="147">
        <f t="shared" si="5"/>
        <v>0</v>
      </c>
      <c r="J29" s="4"/>
    </row>
    <row r="30" spans="1:10" ht="45" thickTop="1" thickBot="1" x14ac:dyDescent="0.35">
      <c r="A30" s="33" t="s">
        <v>40</v>
      </c>
      <c r="B30" s="34">
        <f>+B29*0.2</f>
        <v>50917290.828000002</v>
      </c>
      <c r="C30" s="12" t="s">
        <v>41</v>
      </c>
      <c r="D30" s="13">
        <f>+D9*0.04-D29</f>
        <v>11465199.023599999</v>
      </c>
      <c r="E30" s="4"/>
      <c r="F30" s="9" t="s">
        <v>12</v>
      </c>
      <c r="G30" s="147">
        <f t="shared" si="4"/>
        <v>0</v>
      </c>
      <c r="H30" s="10" t="s">
        <v>13</v>
      </c>
      <c r="I30" s="147">
        <f t="shared" si="5"/>
        <v>0</v>
      </c>
      <c r="J30" s="4"/>
    </row>
    <row r="31" spans="1:10" ht="45" thickTop="1" thickBot="1" x14ac:dyDescent="0.35">
      <c r="A31" s="33" t="s">
        <v>42</v>
      </c>
      <c r="B31" s="113">
        <f>+B11</f>
        <v>31715784.420000002</v>
      </c>
      <c r="C31" s="4"/>
      <c r="D31" s="4"/>
      <c r="E31" s="4"/>
      <c r="F31" s="9" t="s">
        <v>14</v>
      </c>
      <c r="G31" s="147">
        <f t="shared" si="4"/>
        <v>0</v>
      </c>
      <c r="H31" s="10" t="s">
        <v>15</v>
      </c>
      <c r="I31" s="147">
        <f t="shared" si="5"/>
        <v>0</v>
      </c>
      <c r="J31" s="4"/>
    </row>
    <row r="32" spans="1:10" ht="23.25" thickTop="1" thickBot="1" x14ac:dyDescent="0.35">
      <c r="A32" s="33" t="s">
        <v>43</v>
      </c>
      <c r="B32" s="35">
        <f>+B30-B31</f>
        <v>19201506.408</v>
      </c>
      <c r="C32" s="4"/>
      <c r="D32" s="4"/>
      <c r="E32" s="4"/>
      <c r="F32" s="9" t="s">
        <v>16</v>
      </c>
      <c r="G32" s="147">
        <f t="shared" si="4"/>
        <v>0</v>
      </c>
      <c r="H32" s="149" t="s">
        <v>17</v>
      </c>
      <c r="I32" s="147">
        <f t="shared" si="5"/>
        <v>0</v>
      </c>
      <c r="J32" s="4"/>
    </row>
    <row r="33" spans="1:10" ht="23.25" thickTop="1" thickBot="1" x14ac:dyDescent="0.35">
      <c r="E33" s="4"/>
      <c r="F33" s="148" t="s">
        <v>17</v>
      </c>
      <c r="G33" s="147">
        <f t="shared" si="4"/>
        <v>0</v>
      </c>
      <c r="H33" s="150" t="s">
        <v>44</v>
      </c>
      <c r="I33" s="147">
        <f t="shared" si="5"/>
        <v>0</v>
      </c>
      <c r="J33" s="4"/>
    </row>
    <row r="34" spans="1:10" ht="23.25" thickTop="1" thickBot="1" x14ac:dyDescent="0.35">
      <c r="E34" s="4"/>
      <c r="F34" s="12" t="s">
        <v>19</v>
      </c>
      <c r="G34" s="13">
        <f t="shared" si="4"/>
        <v>0</v>
      </c>
      <c r="H34" s="11" t="s">
        <v>20</v>
      </c>
      <c r="I34" s="13">
        <f>SUBTOTAL(109,I28:I33)</f>
        <v>0</v>
      </c>
      <c r="J34" s="4"/>
    </row>
    <row r="35" spans="1:10" ht="19.5" thickTop="1" x14ac:dyDescent="0.3">
      <c r="E35" s="4"/>
      <c r="J35" s="4"/>
    </row>
    <row r="36" spans="1:10" ht="18.75" x14ac:dyDescent="0.3">
      <c r="E36" s="4"/>
    </row>
    <row r="37" spans="1:10" ht="18.75" x14ac:dyDescent="0.3">
      <c r="E37" s="4"/>
    </row>
    <row r="38" spans="1:10" ht="18.75" x14ac:dyDescent="0.3">
      <c r="A38" s="4"/>
      <c r="B38" s="4"/>
      <c r="C38" s="4"/>
      <c r="D38" s="4"/>
      <c r="E38" s="4"/>
    </row>
    <row r="39" spans="1:10" ht="18.75" x14ac:dyDescent="0.3">
      <c r="E39" s="4"/>
    </row>
    <row r="40" spans="1:10" ht="18.75" x14ac:dyDescent="0.3">
      <c r="E40" s="4"/>
    </row>
    <row r="41" spans="1:10" ht="18.75" x14ac:dyDescent="0.3">
      <c r="E41" s="4"/>
      <c r="F41" s="4"/>
    </row>
    <row r="42" spans="1:10" ht="18.75" x14ac:dyDescent="0.3">
      <c r="E42" s="4"/>
      <c r="F42" s="4"/>
    </row>
    <row r="43" spans="1:10" ht="18.75" x14ac:dyDescent="0.3">
      <c r="E43" s="4"/>
      <c r="F43" s="4"/>
      <c r="G43" s="4"/>
      <c r="H43" s="4"/>
      <c r="I43" s="4"/>
      <c r="J43" s="4"/>
    </row>
    <row r="44" spans="1:10" ht="18.75" x14ac:dyDescent="0.3">
      <c r="E44" s="4"/>
      <c r="F44" s="4"/>
      <c r="G44" s="4"/>
      <c r="H44" s="4"/>
      <c r="I44" s="4"/>
      <c r="J44" s="4"/>
    </row>
    <row r="45" spans="1:10" ht="18.75" x14ac:dyDescent="0.3">
      <c r="E45" s="4"/>
      <c r="F45" s="4"/>
      <c r="G45" s="4"/>
      <c r="H45" s="4"/>
      <c r="I45" s="4"/>
      <c r="J45" s="4"/>
    </row>
    <row r="46" spans="1:10" ht="18.75" x14ac:dyDescent="0.3">
      <c r="E46" s="4"/>
      <c r="F46" s="4"/>
      <c r="G46" s="4"/>
      <c r="H46" s="4"/>
      <c r="I46" s="4"/>
      <c r="J46" s="4"/>
    </row>
  </sheetData>
  <mergeCells count="9">
    <mergeCell ref="B20:C20"/>
    <mergeCell ref="A26:D26"/>
    <mergeCell ref="F26:I26"/>
    <mergeCell ref="A5:B5"/>
    <mergeCell ref="C5:D5"/>
    <mergeCell ref="A7:D7"/>
    <mergeCell ref="F7:I7"/>
    <mergeCell ref="A17:D17"/>
    <mergeCell ref="F17:I17"/>
  </mergeCells>
  <conditionalFormatting sqref="D30">
    <cfRule type="cellIs" dxfId="37" priority="1" operator="lessThan">
      <formula>0</formula>
    </cfRule>
    <cfRule type="cellIs" dxfId="36" priority="2" operator="equal">
      <formula>0</formula>
    </cfRule>
    <cfRule type="cellIs" dxfId="35" priority="3" operator="greaterThan">
      <formula>0</formula>
    </cfRule>
  </conditionalFormatting>
  <dataValidations disablePrompts="1" count="2">
    <dataValidation type="custom" allowBlank="1" showInputMessage="1" showErrorMessage="1" prompt="ملاحظة: الادخال ارقام" sqref="C22:C23" xr:uid="{EC21DD93-5C3C-419B-B177-9038FC503706}">
      <formula1>ISNUMBER(C22)</formula1>
    </dataValidation>
    <dataValidation type="custom" allowBlank="1" showInputMessage="1" showErrorMessage="1" error=" الخلية لا تقبل نص " prompt="ملاحظة: الادخال ارقام" sqref="B9:B14 D9:D14 G9:G14 I9:I13 G19:G23 I19:I23 G28:G33 I28:I33" xr:uid="{B17C0500-B84E-415E-8852-945C48432068}">
      <formula1>ISNUMBER(B9)</formula1>
    </dataValidation>
  </dataValidations>
  <pageMargins left="0.7" right="0.7" top="0.75" bottom="0.75" header="0.3" footer="0.3"/>
  <pageSetup scale="27" orientation="portrait" r:id="rId1"/>
  <headerFooter>
    <oddHeader>&amp;C&amp;G</oddHeader>
    <oddFooter>&amp;C&amp;G</oddFooter>
  </headerFooter>
  <drawing r:id="rId2"/>
  <legacyDrawingHF r:id="rId3"/>
  <tableParts count="7">
    <tablePart r:id="rId4"/>
    <tablePart r:id="rId5"/>
    <tablePart r:id="rId6"/>
    <tablePart r:id="rId7"/>
    <tablePart r:id="rId8"/>
    <tablePart r:id="rId9"/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3A5E-F31C-4331-B040-833EC628142E}">
  <sheetPr>
    <pageSetUpPr fitToPage="1"/>
  </sheetPr>
  <dimension ref="A1:L119"/>
  <sheetViews>
    <sheetView rightToLeft="1" view="pageLayout" zoomScale="85" zoomScaleNormal="85" zoomScalePageLayoutView="85" workbookViewId="0">
      <selection activeCell="E122" sqref="E122"/>
    </sheetView>
  </sheetViews>
  <sheetFormatPr defaultRowHeight="15" x14ac:dyDescent="0.25"/>
  <cols>
    <col min="1" max="1" width="49.5703125" style="152" bestFit="1" customWidth="1"/>
    <col min="2" max="2" width="40" style="152" bestFit="1" customWidth="1"/>
    <col min="3" max="3" width="26.7109375" style="152" bestFit="1" customWidth="1"/>
    <col min="4" max="4" width="34.140625" style="152" bestFit="1" customWidth="1"/>
    <col min="5" max="5" width="36.28515625" style="152" bestFit="1" customWidth="1"/>
    <col min="6" max="6" width="58.7109375" style="152" bestFit="1" customWidth="1"/>
    <col min="7" max="7" width="29.42578125" style="152" bestFit="1" customWidth="1"/>
    <col min="8" max="16384" width="9.140625" style="152"/>
  </cols>
  <sheetData>
    <row r="1" spans="1:12" ht="22.5" thickBot="1" x14ac:dyDescent="0.35">
      <c r="A1" s="78" t="s">
        <v>45</v>
      </c>
      <c r="B1" s="79" t="s">
        <v>46</v>
      </c>
      <c r="C1" s="79" t="s">
        <v>47</v>
      </c>
      <c r="D1" s="79" t="s">
        <v>48</v>
      </c>
      <c r="E1" s="79" t="s">
        <v>49</v>
      </c>
      <c r="F1" s="79" t="s">
        <v>50</v>
      </c>
      <c r="G1" s="79" t="s">
        <v>51</v>
      </c>
      <c r="H1" s="151"/>
      <c r="I1" s="151"/>
      <c r="J1" s="151"/>
      <c r="K1" s="151"/>
      <c r="L1" s="151"/>
    </row>
    <row r="2" spans="1:12" ht="23.25" thickTop="1" thickBot="1" x14ac:dyDescent="0.3">
      <c r="A2" s="37" t="s">
        <v>52</v>
      </c>
      <c r="B2" s="38" t="s">
        <v>53</v>
      </c>
      <c r="C2" s="39">
        <f>+'(1) البيانات الاساسية'!C20</f>
        <v>0</v>
      </c>
      <c r="D2" s="40" t="e">
        <f>+Table19[[#This Row],[عدد]]/$C$17</f>
        <v>#DIV/0!</v>
      </c>
      <c r="E2" s="41">
        <f>+'(1) البيانات الاساسية'!D20</f>
        <v>0</v>
      </c>
      <c r="F2" s="41">
        <f>+F36</f>
        <v>0</v>
      </c>
      <c r="G2" s="42">
        <v>0</v>
      </c>
      <c r="H2" s="153"/>
      <c r="I2" s="153"/>
      <c r="J2" s="153"/>
      <c r="K2" s="153"/>
      <c r="L2" s="153"/>
    </row>
    <row r="3" spans="1:12" ht="23.25" thickTop="1" thickBot="1" x14ac:dyDescent="0.3">
      <c r="A3" s="43"/>
      <c r="B3" s="44" t="s">
        <v>54</v>
      </c>
      <c r="C3" s="39">
        <f>+'(1) البيانات الاساسية'!C21</f>
        <v>0</v>
      </c>
      <c r="D3" s="40" t="e">
        <f>+Table19[[#This Row],[عدد]]/$C$17</f>
        <v>#DIV/0!</v>
      </c>
      <c r="E3" s="41">
        <f>+'(1) البيانات الاساسية'!D21</f>
        <v>0</v>
      </c>
      <c r="F3" s="46">
        <v>0</v>
      </c>
      <c r="G3" s="47">
        <v>0</v>
      </c>
      <c r="H3" s="153"/>
      <c r="I3" s="153"/>
      <c r="J3" s="153"/>
      <c r="K3" s="153"/>
      <c r="L3" s="153"/>
    </row>
    <row r="4" spans="1:12" ht="23.25" thickTop="1" thickBot="1" x14ac:dyDescent="0.3">
      <c r="A4" s="43"/>
      <c r="B4" s="44" t="s">
        <v>55</v>
      </c>
      <c r="C4" s="39">
        <f>+'(1) البيانات الاساسية'!C22</f>
        <v>0</v>
      </c>
      <c r="D4" s="40" t="e">
        <f>+Table19[[#This Row],[عدد]]/$C$17</f>
        <v>#DIV/0!</v>
      </c>
      <c r="E4" s="41">
        <f>+'(1) البيانات الاساسية'!D22</f>
        <v>0</v>
      </c>
      <c r="F4" s="46">
        <v>0</v>
      </c>
      <c r="G4" s="47">
        <v>0</v>
      </c>
      <c r="H4" s="153"/>
      <c r="I4" s="153"/>
      <c r="J4" s="153"/>
      <c r="K4" s="153"/>
      <c r="L4" s="153"/>
    </row>
    <row r="5" spans="1:12" ht="23.25" thickTop="1" thickBot="1" x14ac:dyDescent="0.3">
      <c r="A5" s="43"/>
      <c r="B5" s="44" t="s">
        <v>56</v>
      </c>
      <c r="C5" s="39">
        <f>+'(1) البيانات الاساسية'!C23</f>
        <v>0</v>
      </c>
      <c r="D5" s="40" t="e">
        <f>+Table19[[#This Row],[عدد]]/$C$17</f>
        <v>#DIV/0!</v>
      </c>
      <c r="E5" s="41">
        <f>+'(1) البيانات الاساسية'!D23</f>
        <v>0</v>
      </c>
      <c r="F5" s="46">
        <v>0</v>
      </c>
      <c r="G5" s="47">
        <v>0</v>
      </c>
      <c r="H5" s="153"/>
      <c r="I5" s="153"/>
      <c r="J5" s="153"/>
      <c r="K5" s="153"/>
      <c r="L5" s="153"/>
    </row>
    <row r="6" spans="1:12" ht="23.25" thickTop="1" thickBot="1" x14ac:dyDescent="0.3">
      <c r="A6" s="43"/>
      <c r="B6" s="44" t="s">
        <v>57</v>
      </c>
      <c r="C6" s="39">
        <f>+'(1) البيانات الاساسية'!C24</f>
        <v>0</v>
      </c>
      <c r="D6" s="40" t="e">
        <f>+Table19[[#This Row],[عدد]]/$C$17</f>
        <v>#DIV/0!</v>
      </c>
      <c r="E6" s="41">
        <f>+'(1) البيانات الاساسية'!D24</f>
        <v>0</v>
      </c>
      <c r="F6" s="46">
        <v>0</v>
      </c>
      <c r="G6" s="47">
        <v>0</v>
      </c>
      <c r="H6" s="153"/>
      <c r="I6" s="153"/>
      <c r="J6" s="153"/>
      <c r="K6" s="153"/>
      <c r="L6" s="153"/>
    </row>
    <row r="7" spans="1:12" ht="23.25" thickTop="1" thickBot="1" x14ac:dyDescent="0.3">
      <c r="A7" s="43"/>
      <c r="B7" s="44" t="s">
        <v>58</v>
      </c>
      <c r="C7" s="39">
        <f>+'(1) البيانات الاساسية'!C25</f>
        <v>0</v>
      </c>
      <c r="D7" s="40" t="e">
        <f>+Table19[[#This Row],[عدد]]/$C$17</f>
        <v>#DIV/0!</v>
      </c>
      <c r="E7" s="41">
        <f>+'(1) البيانات الاساسية'!D25</f>
        <v>0</v>
      </c>
      <c r="F7" s="46">
        <v>0</v>
      </c>
      <c r="G7" s="47">
        <v>0</v>
      </c>
      <c r="H7" s="153"/>
      <c r="I7" s="153"/>
      <c r="J7" s="153"/>
      <c r="K7" s="153"/>
      <c r="L7" s="153"/>
    </row>
    <row r="8" spans="1:12" ht="23.25" thickTop="1" thickBot="1" x14ac:dyDescent="0.3">
      <c r="A8" s="43"/>
      <c r="B8" s="44" t="s">
        <v>59</v>
      </c>
      <c r="C8" s="39">
        <f>+'(1) البيانات الاساسية'!C26</f>
        <v>0</v>
      </c>
      <c r="D8" s="40" t="e">
        <f>+Table19[[#This Row],[عدد]]/$C$17</f>
        <v>#DIV/0!</v>
      </c>
      <c r="E8" s="41">
        <f>+'(1) البيانات الاساسية'!D26</f>
        <v>0</v>
      </c>
      <c r="F8" s="46">
        <v>0</v>
      </c>
      <c r="G8" s="47">
        <v>0</v>
      </c>
      <c r="H8" s="153"/>
      <c r="I8" s="153"/>
      <c r="J8" s="153"/>
      <c r="K8" s="153"/>
      <c r="L8" s="153"/>
    </row>
    <row r="9" spans="1:12" ht="23.25" thickTop="1" thickBot="1" x14ac:dyDescent="0.3">
      <c r="A9" s="43"/>
      <c r="B9" s="44" t="s">
        <v>60</v>
      </c>
      <c r="C9" s="39">
        <f>+'(1) البيانات الاساسية'!C27</f>
        <v>0</v>
      </c>
      <c r="D9" s="40" t="e">
        <f>+Table19[[#This Row],[عدد]]/$C$17</f>
        <v>#DIV/0!</v>
      </c>
      <c r="E9" s="41">
        <f>+'(1) البيانات الاساسية'!D27</f>
        <v>0</v>
      </c>
      <c r="F9" s="46">
        <v>0</v>
      </c>
      <c r="G9" s="47">
        <v>0</v>
      </c>
      <c r="H9" s="153"/>
      <c r="I9" s="153"/>
      <c r="J9" s="153"/>
      <c r="K9" s="153"/>
      <c r="L9" s="153"/>
    </row>
    <row r="10" spans="1:12" ht="23.25" thickTop="1" thickBot="1" x14ac:dyDescent="0.3">
      <c r="A10" s="43"/>
      <c r="B10" s="44" t="s">
        <v>61</v>
      </c>
      <c r="C10" s="39">
        <f>+'(1) البيانات الاساسية'!C28</f>
        <v>0</v>
      </c>
      <c r="D10" s="40" t="e">
        <f>+Table19[[#This Row],[عدد]]/$C$17</f>
        <v>#DIV/0!</v>
      </c>
      <c r="E10" s="41">
        <f>+'(1) البيانات الاساسية'!D28</f>
        <v>0</v>
      </c>
      <c r="F10" s="46">
        <v>0</v>
      </c>
      <c r="G10" s="47">
        <v>0</v>
      </c>
      <c r="H10" s="153"/>
      <c r="I10" s="153"/>
      <c r="J10" s="153"/>
      <c r="K10" s="153"/>
      <c r="L10" s="153"/>
    </row>
    <row r="11" spans="1:12" ht="23.25" thickTop="1" thickBot="1" x14ac:dyDescent="0.3">
      <c r="A11" s="43"/>
      <c r="B11" s="44" t="s">
        <v>62</v>
      </c>
      <c r="C11" s="39">
        <f>+'(1) البيانات الاساسية'!C29</f>
        <v>0</v>
      </c>
      <c r="D11" s="40" t="e">
        <f>+Table19[[#This Row],[عدد]]/$C$17</f>
        <v>#DIV/0!</v>
      </c>
      <c r="E11" s="41">
        <f>+'(1) البيانات الاساسية'!D29</f>
        <v>0</v>
      </c>
      <c r="F11" s="46">
        <v>0</v>
      </c>
      <c r="G11" s="47">
        <v>0</v>
      </c>
      <c r="H11" s="153"/>
      <c r="I11" s="153"/>
      <c r="J11" s="153"/>
      <c r="K11" s="153"/>
      <c r="L11" s="153"/>
    </row>
    <row r="12" spans="1:12" ht="23.25" thickTop="1" thickBot="1" x14ac:dyDescent="0.3">
      <c r="A12" s="43"/>
      <c r="B12" s="44" t="s">
        <v>63</v>
      </c>
      <c r="C12" s="39">
        <f>+'(1) البيانات الاساسية'!C30</f>
        <v>0</v>
      </c>
      <c r="D12" s="40" t="e">
        <f>+Table19[[#This Row],[عدد]]/$C$17</f>
        <v>#DIV/0!</v>
      </c>
      <c r="E12" s="41">
        <f>+'(1) البيانات الاساسية'!D30</f>
        <v>0</v>
      </c>
      <c r="F12" s="46">
        <v>0</v>
      </c>
      <c r="G12" s="47">
        <v>0</v>
      </c>
      <c r="H12" s="153"/>
      <c r="I12" s="153"/>
      <c r="J12" s="153"/>
      <c r="K12" s="153"/>
      <c r="L12" s="153"/>
    </row>
    <row r="13" spans="1:12" ht="23.25" thickTop="1" thickBot="1" x14ac:dyDescent="0.3">
      <c r="A13" s="43"/>
      <c r="B13" s="44" t="s">
        <v>62</v>
      </c>
      <c r="C13" s="39">
        <f>+'(1) البيانات الاساسية'!C31</f>
        <v>0</v>
      </c>
      <c r="D13" s="40" t="e">
        <f>+Table19[[#This Row],[عدد]]/$C$17</f>
        <v>#DIV/0!</v>
      </c>
      <c r="E13" s="41">
        <f>+'(1) البيانات الاساسية'!D31</f>
        <v>0</v>
      </c>
      <c r="F13" s="46">
        <v>0</v>
      </c>
      <c r="G13" s="47">
        <v>0</v>
      </c>
      <c r="H13" s="153"/>
      <c r="I13" s="153"/>
      <c r="J13" s="153"/>
      <c r="K13" s="153"/>
      <c r="L13" s="153"/>
    </row>
    <row r="14" spans="1:12" ht="23.25" thickTop="1" thickBot="1" x14ac:dyDescent="0.3">
      <c r="A14" s="43"/>
      <c r="B14" s="44" t="s">
        <v>64</v>
      </c>
      <c r="C14" s="39">
        <f>+'(1) البيانات الاساسية'!C32</f>
        <v>0</v>
      </c>
      <c r="D14" s="40" t="e">
        <f>+Table19[[#This Row],[عدد]]/$C$17</f>
        <v>#DIV/0!</v>
      </c>
      <c r="E14" s="41">
        <f>+'(1) البيانات الاساسية'!D32</f>
        <v>0</v>
      </c>
      <c r="F14" s="46">
        <v>0</v>
      </c>
      <c r="G14" s="47">
        <v>0</v>
      </c>
      <c r="H14" s="153"/>
      <c r="I14" s="153"/>
      <c r="J14" s="153"/>
      <c r="K14" s="153"/>
      <c r="L14" s="153"/>
    </row>
    <row r="15" spans="1:12" ht="23.25" thickTop="1" thickBot="1" x14ac:dyDescent="0.3">
      <c r="A15" s="43"/>
      <c r="B15" s="44" t="s">
        <v>65</v>
      </c>
      <c r="C15" s="39">
        <f>+'(1) البيانات الاساسية'!C33</f>
        <v>0</v>
      </c>
      <c r="D15" s="40" t="e">
        <f>+Table19[[#This Row],[عدد]]/$C$17</f>
        <v>#DIV/0!</v>
      </c>
      <c r="E15" s="41">
        <f>+'(1) البيانات الاساسية'!D33</f>
        <v>0</v>
      </c>
      <c r="F15" s="46">
        <v>0</v>
      </c>
      <c r="G15" s="47">
        <v>0</v>
      </c>
      <c r="H15" s="153"/>
      <c r="I15" s="153"/>
      <c r="J15" s="153"/>
      <c r="K15" s="153"/>
      <c r="L15" s="153"/>
    </row>
    <row r="16" spans="1:12" ht="23.25" thickTop="1" thickBot="1" x14ac:dyDescent="0.3">
      <c r="A16" s="43"/>
      <c r="B16" s="48" t="s">
        <v>66</v>
      </c>
      <c r="C16" s="39">
        <f>+'(1) البيانات الاساسية'!C34</f>
        <v>0</v>
      </c>
      <c r="D16" s="40" t="e">
        <f>+Table19[[#This Row],[عدد]]/$C$17</f>
        <v>#DIV/0!</v>
      </c>
      <c r="E16" s="41">
        <f>+'(1) البيانات الاساسية'!D34</f>
        <v>0</v>
      </c>
      <c r="F16" s="49">
        <v>0</v>
      </c>
      <c r="G16" s="50">
        <v>0</v>
      </c>
      <c r="H16" s="153"/>
      <c r="I16" s="153"/>
      <c r="J16" s="153"/>
      <c r="K16" s="153"/>
      <c r="L16" s="153"/>
    </row>
    <row r="17" spans="1:12" ht="22.5" thickTop="1" x14ac:dyDescent="0.25">
      <c r="A17" s="51" t="s">
        <v>67</v>
      </c>
      <c r="B17" s="52"/>
      <c r="C17" s="53">
        <f>SUBTOTAL(109,C2:C16)</f>
        <v>0</v>
      </c>
      <c r="D17" s="53" t="e">
        <f t="shared" ref="D17:G17" si="0">SUBTOTAL(109,D2:D16)</f>
        <v>#DIV/0!</v>
      </c>
      <c r="E17" s="53">
        <f t="shared" si="0"/>
        <v>0</v>
      </c>
      <c r="F17" s="53">
        <f t="shared" si="0"/>
        <v>0</v>
      </c>
      <c r="G17" s="53">
        <f t="shared" si="0"/>
        <v>0</v>
      </c>
      <c r="H17" s="153"/>
      <c r="I17" s="153"/>
      <c r="J17" s="153"/>
      <c r="K17" s="153"/>
      <c r="L17" s="153"/>
    </row>
    <row r="18" spans="1:12" ht="22.5" thickBot="1" x14ac:dyDescent="0.3">
      <c r="A18" s="43" t="s">
        <v>68</v>
      </c>
      <c r="B18" s="36" t="s">
        <v>46</v>
      </c>
      <c r="C18" s="36" t="s">
        <v>47</v>
      </c>
      <c r="D18" s="36" t="s">
        <v>48</v>
      </c>
      <c r="E18" s="36" t="s">
        <v>49</v>
      </c>
      <c r="F18" s="36" t="s">
        <v>50</v>
      </c>
      <c r="G18" s="36" t="s">
        <v>51</v>
      </c>
      <c r="H18" s="153"/>
      <c r="I18" s="153"/>
      <c r="J18" s="153"/>
      <c r="K18" s="153"/>
      <c r="L18" s="153"/>
    </row>
    <row r="19" spans="1:12" ht="23.25" thickTop="1" thickBot="1" x14ac:dyDescent="0.3">
      <c r="A19" s="43"/>
      <c r="B19" s="33" t="s">
        <v>53</v>
      </c>
      <c r="C19" s="73"/>
      <c r="D19" s="40" t="e">
        <f>+Table1921[[#This Row],[عدد]]/$C$34</f>
        <v>#DIV/0!</v>
      </c>
      <c r="E19" s="75"/>
      <c r="F19" s="75"/>
      <c r="G19" s="34">
        <v>0</v>
      </c>
      <c r="H19" s="153"/>
      <c r="I19" s="153"/>
      <c r="J19" s="153"/>
      <c r="K19" s="153"/>
      <c r="L19" s="153"/>
    </row>
    <row r="20" spans="1:12" ht="23.25" thickTop="1" thickBot="1" x14ac:dyDescent="0.3">
      <c r="A20" s="43"/>
      <c r="B20" s="33" t="s">
        <v>54</v>
      </c>
      <c r="C20" s="73"/>
      <c r="D20" s="40" t="e">
        <f>+Table1921[[#This Row],[عدد]]/$C$34</f>
        <v>#DIV/0!</v>
      </c>
      <c r="E20" s="75"/>
      <c r="F20" s="75"/>
      <c r="G20" s="34">
        <v>0</v>
      </c>
      <c r="H20" s="153"/>
      <c r="I20" s="153"/>
      <c r="J20" s="153"/>
      <c r="K20" s="153"/>
      <c r="L20" s="153"/>
    </row>
    <row r="21" spans="1:12" ht="23.25" thickTop="1" thickBot="1" x14ac:dyDescent="0.3">
      <c r="A21" s="43"/>
      <c r="B21" s="33" t="s">
        <v>55</v>
      </c>
      <c r="C21" s="74"/>
      <c r="D21" s="40" t="e">
        <f>+Table1921[[#This Row],[عدد]]/$C$34</f>
        <v>#DIV/0!</v>
      </c>
      <c r="E21" s="75"/>
      <c r="F21" s="75"/>
      <c r="G21" s="34">
        <v>0</v>
      </c>
      <c r="H21" s="153"/>
      <c r="I21" s="153"/>
      <c r="J21" s="153"/>
      <c r="K21" s="153"/>
      <c r="L21" s="153"/>
    </row>
    <row r="22" spans="1:12" ht="23.25" thickTop="1" thickBot="1" x14ac:dyDescent="0.3">
      <c r="A22" s="43"/>
      <c r="B22" s="33" t="s">
        <v>56</v>
      </c>
      <c r="C22" s="73"/>
      <c r="D22" s="40" t="e">
        <f>+Table1921[[#This Row],[عدد]]/$C$34</f>
        <v>#DIV/0!</v>
      </c>
      <c r="E22" s="75"/>
      <c r="F22" s="75"/>
      <c r="G22" s="34">
        <v>0</v>
      </c>
      <c r="H22" s="153"/>
      <c r="I22" s="153"/>
      <c r="J22" s="153"/>
      <c r="K22" s="153"/>
      <c r="L22" s="153"/>
    </row>
    <row r="23" spans="1:12" ht="23.25" thickTop="1" thickBot="1" x14ac:dyDescent="0.3">
      <c r="A23" s="43"/>
      <c r="B23" s="33" t="s">
        <v>57</v>
      </c>
      <c r="C23" s="74"/>
      <c r="D23" s="40" t="e">
        <f>+Table1921[[#This Row],[عدد]]/$C$34</f>
        <v>#DIV/0!</v>
      </c>
      <c r="E23" s="75"/>
      <c r="F23" s="75"/>
      <c r="G23" s="34">
        <v>0</v>
      </c>
      <c r="H23" s="153"/>
      <c r="I23" s="153"/>
      <c r="J23" s="153"/>
      <c r="K23" s="153"/>
      <c r="L23" s="153"/>
    </row>
    <row r="24" spans="1:12" ht="23.25" thickTop="1" thickBot="1" x14ac:dyDescent="0.3">
      <c r="A24" s="43"/>
      <c r="B24" s="33" t="s">
        <v>58</v>
      </c>
      <c r="C24" s="73"/>
      <c r="D24" s="40" t="e">
        <f>+Table1921[[#This Row],[عدد]]/$C$34</f>
        <v>#DIV/0!</v>
      </c>
      <c r="E24" s="75"/>
      <c r="F24" s="75"/>
      <c r="G24" s="34">
        <v>0</v>
      </c>
      <c r="H24" s="153"/>
      <c r="I24" s="153"/>
      <c r="J24" s="153"/>
      <c r="K24" s="153"/>
      <c r="L24" s="153"/>
    </row>
    <row r="25" spans="1:12" ht="23.25" thickTop="1" thickBot="1" x14ac:dyDescent="0.3">
      <c r="A25" s="43"/>
      <c r="B25" s="33" t="s">
        <v>59</v>
      </c>
      <c r="C25" s="73"/>
      <c r="D25" s="40" t="e">
        <f>+Table1921[[#This Row],[عدد]]/$C$34</f>
        <v>#DIV/0!</v>
      </c>
      <c r="E25" s="75"/>
      <c r="F25" s="75"/>
      <c r="G25" s="34">
        <v>0</v>
      </c>
      <c r="H25" s="153"/>
      <c r="I25" s="153"/>
      <c r="J25" s="153"/>
      <c r="K25" s="153"/>
      <c r="L25" s="153"/>
    </row>
    <row r="26" spans="1:12" ht="23.25" thickTop="1" thickBot="1" x14ac:dyDescent="0.3">
      <c r="A26" s="43"/>
      <c r="B26" s="33" t="s">
        <v>60</v>
      </c>
      <c r="C26" s="73"/>
      <c r="D26" s="40" t="e">
        <f>+Table1921[[#This Row],[عدد]]/$C$34</f>
        <v>#DIV/0!</v>
      </c>
      <c r="E26" s="75"/>
      <c r="F26" s="75"/>
      <c r="G26" s="34">
        <v>0</v>
      </c>
      <c r="H26" s="153"/>
      <c r="I26" s="153"/>
      <c r="J26" s="153"/>
      <c r="K26" s="153"/>
      <c r="L26" s="153"/>
    </row>
    <row r="27" spans="1:12" ht="23.25" thickTop="1" thickBot="1" x14ac:dyDescent="0.3">
      <c r="A27" s="43"/>
      <c r="B27" s="33" t="s">
        <v>61</v>
      </c>
      <c r="C27" s="73"/>
      <c r="D27" s="40" t="e">
        <f>+Table1921[[#This Row],[عدد]]/$C$34</f>
        <v>#DIV/0!</v>
      </c>
      <c r="E27" s="75"/>
      <c r="F27" s="75"/>
      <c r="G27" s="34">
        <v>0</v>
      </c>
      <c r="H27" s="153"/>
      <c r="I27" s="153"/>
      <c r="J27" s="153"/>
      <c r="K27" s="153"/>
      <c r="L27" s="153"/>
    </row>
    <row r="28" spans="1:12" ht="23.25" thickTop="1" thickBot="1" x14ac:dyDescent="0.3">
      <c r="A28" s="43"/>
      <c r="B28" s="33" t="s">
        <v>62</v>
      </c>
      <c r="C28" s="73"/>
      <c r="D28" s="40" t="e">
        <f>+Table1921[[#This Row],[عدد]]/$C$34</f>
        <v>#DIV/0!</v>
      </c>
      <c r="E28" s="75"/>
      <c r="F28" s="75"/>
      <c r="G28" s="34">
        <v>0</v>
      </c>
      <c r="H28" s="153"/>
      <c r="I28" s="153"/>
      <c r="J28" s="153"/>
      <c r="K28" s="153"/>
      <c r="L28" s="153"/>
    </row>
    <row r="29" spans="1:12" ht="23.25" thickTop="1" thickBot="1" x14ac:dyDescent="0.3">
      <c r="A29" s="43"/>
      <c r="B29" s="33" t="s">
        <v>63</v>
      </c>
      <c r="C29" s="73"/>
      <c r="D29" s="40" t="e">
        <f>+Table1921[[#This Row],[عدد]]/$C$34</f>
        <v>#DIV/0!</v>
      </c>
      <c r="E29" s="75"/>
      <c r="F29" s="75"/>
      <c r="G29" s="34">
        <v>0</v>
      </c>
      <c r="H29" s="153"/>
      <c r="I29" s="153"/>
      <c r="J29" s="153"/>
      <c r="K29" s="153"/>
      <c r="L29" s="153"/>
    </row>
    <row r="30" spans="1:12" ht="23.25" thickTop="1" thickBot="1" x14ac:dyDescent="0.3">
      <c r="A30" s="43"/>
      <c r="B30" s="33" t="s">
        <v>62</v>
      </c>
      <c r="C30" s="73"/>
      <c r="D30" s="40" t="e">
        <f>+Table1921[[#This Row],[عدد]]/$C$34</f>
        <v>#DIV/0!</v>
      </c>
      <c r="E30" s="75"/>
      <c r="F30" s="75"/>
      <c r="G30" s="34">
        <v>0</v>
      </c>
      <c r="H30" s="153"/>
      <c r="I30" s="153"/>
      <c r="J30" s="153"/>
      <c r="K30" s="153"/>
      <c r="L30" s="153"/>
    </row>
    <row r="31" spans="1:12" ht="23.25" thickTop="1" thickBot="1" x14ac:dyDescent="0.3">
      <c r="A31" s="43"/>
      <c r="B31" s="33" t="s">
        <v>64</v>
      </c>
      <c r="C31" s="73"/>
      <c r="D31" s="40" t="e">
        <f>+Table1921[[#This Row],[عدد]]/$C$34</f>
        <v>#DIV/0!</v>
      </c>
      <c r="E31" s="75"/>
      <c r="F31" s="75"/>
      <c r="G31" s="34">
        <v>0</v>
      </c>
      <c r="H31" s="153"/>
      <c r="I31" s="153"/>
      <c r="J31" s="153"/>
      <c r="K31" s="153"/>
      <c r="L31" s="153"/>
    </row>
    <row r="32" spans="1:12" ht="23.25" thickTop="1" thickBot="1" x14ac:dyDescent="0.3">
      <c r="A32" s="43"/>
      <c r="B32" s="33" t="s">
        <v>65</v>
      </c>
      <c r="C32" s="73"/>
      <c r="D32" s="40" t="e">
        <f>+Table1921[[#This Row],[عدد]]/$C$34</f>
        <v>#DIV/0!</v>
      </c>
      <c r="E32" s="75"/>
      <c r="F32" s="75"/>
      <c r="G32" s="34">
        <v>0</v>
      </c>
      <c r="H32" s="153"/>
      <c r="I32" s="153"/>
      <c r="J32" s="153"/>
      <c r="K32" s="153"/>
      <c r="L32" s="153"/>
    </row>
    <row r="33" spans="1:12" ht="23.25" thickTop="1" thickBot="1" x14ac:dyDescent="0.3">
      <c r="A33" s="55"/>
      <c r="B33" s="33" t="s">
        <v>66</v>
      </c>
      <c r="C33" s="73"/>
      <c r="D33" s="40" t="e">
        <f>+Table1921[[#This Row],[عدد]]/$C$34</f>
        <v>#DIV/0!</v>
      </c>
      <c r="E33" s="75"/>
      <c r="F33" s="75"/>
      <c r="G33" s="34">
        <v>0</v>
      </c>
      <c r="H33" s="153"/>
      <c r="I33" s="153"/>
      <c r="J33" s="153"/>
      <c r="K33" s="153"/>
      <c r="L33" s="153"/>
    </row>
    <row r="34" spans="1:12" ht="23.25" thickTop="1" thickBot="1" x14ac:dyDescent="0.3">
      <c r="A34" s="56" t="s">
        <v>67</v>
      </c>
      <c r="B34" s="57"/>
      <c r="C34" s="58">
        <f>SUBTOTAL(109,C19:C33)</f>
        <v>0</v>
      </c>
      <c r="D34" s="59" t="e">
        <f>SUBTOTAL(109,D19:D33)</f>
        <v>#DIV/0!</v>
      </c>
      <c r="E34" s="60">
        <f>SUM(E19:E33)</f>
        <v>0</v>
      </c>
      <c r="F34" s="60">
        <f>SUM(F19:F33)</f>
        <v>0</v>
      </c>
      <c r="G34" s="60">
        <f>SUM(G19:G33)</f>
        <v>0</v>
      </c>
      <c r="H34" s="153"/>
      <c r="I34" s="153"/>
      <c r="J34" s="153"/>
      <c r="K34" s="153"/>
      <c r="L34" s="153"/>
    </row>
    <row r="35" spans="1:12" ht="22.5" thickBot="1" x14ac:dyDescent="0.3">
      <c r="A35" s="61" t="s">
        <v>69</v>
      </c>
      <c r="B35" s="62" t="s">
        <v>46</v>
      </c>
      <c r="C35" s="62" t="s">
        <v>47</v>
      </c>
      <c r="D35" s="62" t="s">
        <v>48</v>
      </c>
      <c r="E35" s="62" t="s">
        <v>49</v>
      </c>
      <c r="F35" s="62" t="s">
        <v>50</v>
      </c>
      <c r="G35" s="62" t="s">
        <v>51</v>
      </c>
      <c r="H35" s="153"/>
      <c r="I35" s="153"/>
      <c r="J35" s="153"/>
      <c r="K35" s="153"/>
      <c r="L35" s="153"/>
    </row>
    <row r="36" spans="1:12" ht="23.25" thickTop="1" thickBot="1" x14ac:dyDescent="0.3">
      <c r="A36" s="43"/>
      <c r="B36" s="9" t="s">
        <v>53</v>
      </c>
      <c r="C36" s="73"/>
      <c r="D36" s="40">
        <f>+Table192122[[#This Row],[عدد]]/$C$51</f>
        <v>0</v>
      </c>
      <c r="E36" s="75"/>
      <c r="F36" s="75"/>
      <c r="G36" s="34">
        <v>0</v>
      </c>
      <c r="H36" s="153"/>
      <c r="I36" s="153"/>
      <c r="J36" s="153"/>
      <c r="K36" s="153"/>
      <c r="L36" s="153"/>
    </row>
    <row r="37" spans="1:12" ht="23.25" thickTop="1" thickBot="1" x14ac:dyDescent="0.3">
      <c r="A37" s="43"/>
      <c r="B37" s="9" t="s">
        <v>54</v>
      </c>
      <c r="C37" s="73">
        <v>455</v>
      </c>
      <c r="D37" s="40">
        <f>+Table192122[[#This Row],[عدد]]/$C$51</f>
        <v>1</v>
      </c>
      <c r="E37" s="75">
        <v>316100316.74000001</v>
      </c>
      <c r="F37" s="75">
        <v>254586454.13999999</v>
      </c>
      <c r="G37" s="34">
        <v>0</v>
      </c>
      <c r="H37" s="153"/>
      <c r="I37" s="153"/>
      <c r="J37" s="153"/>
      <c r="K37" s="153"/>
      <c r="L37" s="153"/>
    </row>
    <row r="38" spans="1:12" ht="23.25" thickTop="1" thickBot="1" x14ac:dyDescent="0.3">
      <c r="A38" s="43"/>
      <c r="B38" s="9" t="s">
        <v>55</v>
      </c>
      <c r="C38" s="73"/>
      <c r="D38" s="40">
        <f>+Table192122[[#This Row],[عدد]]/$C$51</f>
        <v>0</v>
      </c>
      <c r="E38" s="75"/>
      <c r="F38" s="75"/>
      <c r="G38" s="34">
        <v>0</v>
      </c>
      <c r="H38" s="153"/>
      <c r="I38" s="153"/>
      <c r="J38" s="153"/>
      <c r="K38" s="153"/>
      <c r="L38" s="153"/>
    </row>
    <row r="39" spans="1:12" ht="23.25" thickTop="1" thickBot="1" x14ac:dyDescent="0.3">
      <c r="A39" s="43"/>
      <c r="B39" s="9" t="s">
        <v>56</v>
      </c>
      <c r="C39" s="73"/>
      <c r="D39" s="40">
        <f>+Table192122[[#This Row],[عدد]]/$C$51</f>
        <v>0</v>
      </c>
      <c r="E39" s="75"/>
      <c r="F39" s="75"/>
      <c r="G39" s="34">
        <v>0</v>
      </c>
      <c r="H39" s="153"/>
      <c r="I39" s="153"/>
      <c r="J39" s="153"/>
      <c r="K39" s="153"/>
      <c r="L39" s="153"/>
    </row>
    <row r="40" spans="1:12" ht="23.25" thickTop="1" thickBot="1" x14ac:dyDescent="0.3">
      <c r="A40" s="43"/>
      <c r="B40" s="9" t="s">
        <v>57</v>
      </c>
      <c r="C40" s="73"/>
      <c r="D40" s="40">
        <f>+Table192122[[#This Row],[عدد]]/$C$51</f>
        <v>0</v>
      </c>
      <c r="E40" s="75"/>
      <c r="F40" s="75"/>
      <c r="G40" s="34">
        <v>0</v>
      </c>
      <c r="H40" s="153"/>
      <c r="I40" s="153"/>
      <c r="J40" s="153"/>
      <c r="K40" s="153"/>
      <c r="L40" s="153"/>
    </row>
    <row r="41" spans="1:12" ht="23.25" thickTop="1" thickBot="1" x14ac:dyDescent="0.3">
      <c r="A41" s="43"/>
      <c r="B41" s="9" t="s">
        <v>58</v>
      </c>
      <c r="C41" s="73"/>
      <c r="D41" s="40">
        <f>+Table192122[[#This Row],[عدد]]/$C$51</f>
        <v>0</v>
      </c>
      <c r="E41" s="75"/>
      <c r="F41" s="75"/>
      <c r="G41" s="34">
        <v>0</v>
      </c>
      <c r="H41" s="153"/>
      <c r="I41" s="153"/>
      <c r="J41" s="153"/>
      <c r="K41" s="153"/>
      <c r="L41" s="153"/>
    </row>
    <row r="42" spans="1:12" ht="23.25" thickTop="1" thickBot="1" x14ac:dyDescent="0.3">
      <c r="A42" s="43"/>
      <c r="B42" s="9" t="s">
        <v>59</v>
      </c>
      <c r="C42" s="73"/>
      <c r="D42" s="40">
        <f>+Table192122[[#This Row],[عدد]]/$C$51</f>
        <v>0</v>
      </c>
      <c r="E42" s="75"/>
      <c r="F42" s="75"/>
      <c r="G42" s="34">
        <v>0</v>
      </c>
      <c r="H42" s="153"/>
      <c r="I42" s="153"/>
      <c r="J42" s="153"/>
      <c r="K42" s="153"/>
      <c r="L42" s="153"/>
    </row>
    <row r="43" spans="1:12" ht="23.25" thickTop="1" thickBot="1" x14ac:dyDescent="0.3">
      <c r="A43" s="43"/>
      <c r="B43" s="9" t="s">
        <v>60</v>
      </c>
      <c r="C43" s="73"/>
      <c r="D43" s="40">
        <f>+Table192122[[#This Row],[عدد]]/$C$51</f>
        <v>0</v>
      </c>
      <c r="E43" s="75"/>
      <c r="F43" s="75"/>
      <c r="G43" s="34">
        <v>0</v>
      </c>
      <c r="H43" s="153"/>
      <c r="I43" s="153"/>
      <c r="J43" s="153"/>
      <c r="K43" s="153"/>
      <c r="L43" s="153"/>
    </row>
    <row r="44" spans="1:12" ht="23.25" thickTop="1" thickBot="1" x14ac:dyDescent="0.3">
      <c r="A44" s="43"/>
      <c r="B44" s="9" t="s">
        <v>61</v>
      </c>
      <c r="C44" s="73"/>
      <c r="D44" s="40">
        <f>+Table192122[[#This Row],[عدد]]/$C$51</f>
        <v>0</v>
      </c>
      <c r="E44" s="75"/>
      <c r="F44" s="75"/>
      <c r="G44" s="34">
        <v>0</v>
      </c>
      <c r="H44" s="153"/>
      <c r="I44" s="153"/>
      <c r="J44" s="153"/>
      <c r="K44" s="153"/>
      <c r="L44" s="153"/>
    </row>
    <row r="45" spans="1:12" ht="23.25" thickTop="1" thickBot="1" x14ac:dyDescent="0.3">
      <c r="A45" s="43"/>
      <c r="B45" s="9" t="s">
        <v>62</v>
      </c>
      <c r="C45" s="73"/>
      <c r="D45" s="40">
        <f>+Table192122[[#This Row],[عدد]]/$C$51</f>
        <v>0</v>
      </c>
      <c r="E45" s="75"/>
      <c r="F45" s="75"/>
      <c r="G45" s="34">
        <v>0</v>
      </c>
      <c r="H45" s="153"/>
      <c r="I45" s="153"/>
      <c r="J45" s="153"/>
      <c r="K45" s="153"/>
      <c r="L45" s="153"/>
    </row>
    <row r="46" spans="1:12" ht="23.25" thickTop="1" thickBot="1" x14ac:dyDescent="0.3">
      <c r="A46" s="43"/>
      <c r="B46" s="9" t="s">
        <v>63</v>
      </c>
      <c r="C46" s="73"/>
      <c r="D46" s="40">
        <f>+Table192122[[#This Row],[عدد]]/$C$51</f>
        <v>0</v>
      </c>
      <c r="E46" s="75"/>
      <c r="F46" s="75"/>
      <c r="G46" s="34">
        <v>0</v>
      </c>
      <c r="H46" s="153"/>
      <c r="I46" s="153"/>
      <c r="J46" s="153"/>
      <c r="K46" s="153"/>
      <c r="L46" s="153"/>
    </row>
    <row r="47" spans="1:12" ht="23.25" thickTop="1" thickBot="1" x14ac:dyDescent="0.3">
      <c r="A47" s="43"/>
      <c r="B47" s="9" t="s">
        <v>62</v>
      </c>
      <c r="C47" s="73"/>
      <c r="D47" s="40">
        <f>+Table192122[[#This Row],[عدد]]/$C$51</f>
        <v>0</v>
      </c>
      <c r="E47" s="75"/>
      <c r="F47" s="75"/>
      <c r="G47" s="34">
        <v>0</v>
      </c>
      <c r="H47" s="153"/>
      <c r="I47" s="153"/>
      <c r="J47" s="153"/>
      <c r="K47" s="153"/>
      <c r="L47" s="153"/>
    </row>
    <row r="48" spans="1:12" ht="23.25" thickTop="1" thickBot="1" x14ac:dyDescent="0.3">
      <c r="A48" s="43"/>
      <c r="B48" s="9" t="s">
        <v>64</v>
      </c>
      <c r="C48" s="73"/>
      <c r="D48" s="40">
        <f>+Table192122[[#This Row],[عدد]]/$C$51</f>
        <v>0</v>
      </c>
      <c r="E48" s="75"/>
      <c r="F48" s="75"/>
      <c r="G48" s="34">
        <v>0</v>
      </c>
      <c r="H48" s="153"/>
      <c r="I48" s="153"/>
      <c r="J48" s="153"/>
      <c r="K48" s="153"/>
      <c r="L48" s="153"/>
    </row>
    <row r="49" spans="1:12" ht="23.25" thickTop="1" thickBot="1" x14ac:dyDescent="0.3">
      <c r="A49" s="43"/>
      <c r="B49" s="9" t="s">
        <v>65</v>
      </c>
      <c r="C49" s="73"/>
      <c r="D49" s="40">
        <f>+Table192122[[#This Row],[عدد]]/$C$51</f>
        <v>0</v>
      </c>
      <c r="E49" s="75"/>
      <c r="F49" s="75"/>
      <c r="G49" s="34">
        <v>0</v>
      </c>
      <c r="H49" s="153"/>
      <c r="I49" s="153"/>
      <c r="J49" s="153"/>
      <c r="K49" s="153"/>
      <c r="L49" s="153"/>
    </row>
    <row r="50" spans="1:12" ht="23.25" thickTop="1" thickBot="1" x14ac:dyDescent="0.3">
      <c r="A50" s="55"/>
      <c r="B50" s="12" t="s">
        <v>66</v>
      </c>
      <c r="C50" s="73"/>
      <c r="D50" s="40">
        <f>+Table192122[[#This Row],[عدد]]/$C$51</f>
        <v>0</v>
      </c>
      <c r="E50" s="75"/>
      <c r="F50" s="75"/>
      <c r="G50" s="34">
        <v>0</v>
      </c>
      <c r="H50" s="153"/>
      <c r="I50" s="153"/>
      <c r="J50" s="153"/>
      <c r="K50" s="153"/>
      <c r="L50" s="153"/>
    </row>
    <row r="51" spans="1:12" ht="23.25" thickTop="1" thickBot="1" x14ac:dyDescent="0.3">
      <c r="A51" s="56" t="s">
        <v>67</v>
      </c>
      <c r="B51" s="63"/>
      <c r="C51" s="64">
        <f>SUBTOTAL(109,C36:C50)</f>
        <v>455</v>
      </c>
      <c r="D51" s="65">
        <f>SUBTOTAL(109,D36:D50)</f>
        <v>1</v>
      </c>
      <c r="E51" s="35">
        <f>SUM(E36:E50)</f>
        <v>316100316.74000001</v>
      </c>
      <c r="F51" s="35">
        <f t="shared" ref="F51:G51" si="1">SUM(F36:F50)</f>
        <v>254586454.13999999</v>
      </c>
      <c r="G51" s="35">
        <f t="shared" si="1"/>
        <v>0</v>
      </c>
      <c r="H51" s="153"/>
      <c r="I51" s="153"/>
      <c r="J51" s="153"/>
      <c r="K51" s="153"/>
      <c r="L51" s="153"/>
    </row>
    <row r="52" spans="1:12" ht="22.5" thickBot="1" x14ac:dyDescent="0.3">
      <c r="A52" s="61" t="s">
        <v>70</v>
      </c>
      <c r="B52" s="62" t="s">
        <v>46</v>
      </c>
      <c r="C52" s="62" t="s">
        <v>47</v>
      </c>
      <c r="D52" s="62" t="s">
        <v>48</v>
      </c>
      <c r="E52" s="62" t="s">
        <v>49</v>
      </c>
      <c r="F52" s="62" t="s">
        <v>50</v>
      </c>
      <c r="G52" s="62" t="s">
        <v>51</v>
      </c>
      <c r="H52" s="153"/>
      <c r="I52" s="153"/>
      <c r="J52" s="153"/>
      <c r="K52" s="153"/>
      <c r="L52" s="153"/>
    </row>
    <row r="53" spans="1:12" ht="23.25" thickTop="1" thickBot="1" x14ac:dyDescent="0.3">
      <c r="A53" s="43"/>
      <c r="B53" s="9" t="s">
        <v>53</v>
      </c>
      <c r="C53" s="54">
        <f>+C2-C36</f>
        <v>0</v>
      </c>
      <c r="D53" s="40">
        <f>+Table19212223[[#This Row],[عدد]]/$C$68</f>
        <v>0</v>
      </c>
      <c r="E53" s="54">
        <f>+E2-E36</f>
        <v>0</v>
      </c>
      <c r="F53" s="54">
        <f t="shared" ref="F53:F67" si="2">+F2-F36</f>
        <v>0</v>
      </c>
      <c r="G53" s="34">
        <v>0</v>
      </c>
      <c r="H53" s="153"/>
      <c r="I53" s="153"/>
      <c r="J53" s="153"/>
      <c r="K53" s="153"/>
      <c r="L53" s="153"/>
    </row>
    <row r="54" spans="1:12" ht="23.25" thickTop="1" thickBot="1" x14ac:dyDescent="0.3">
      <c r="A54" s="43"/>
      <c r="B54" s="9" t="s">
        <v>54</v>
      </c>
      <c r="C54" s="54">
        <f>+C3-C37</f>
        <v>-455</v>
      </c>
      <c r="D54" s="40">
        <f>+Table19212223[[#This Row],[عدد]]/$C$68</f>
        <v>1</v>
      </c>
      <c r="E54" s="54">
        <f>+E3-E37</f>
        <v>-316100316.74000001</v>
      </c>
      <c r="F54" s="54">
        <f t="shared" si="2"/>
        <v>-254586454.13999999</v>
      </c>
      <c r="G54" s="34">
        <v>0</v>
      </c>
      <c r="H54" s="153"/>
      <c r="I54" s="153"/>
      <c r="J54" s="153"/>
      <c r="K54" s="153"/>
      <c r="L54" s="153"/>
    </row>
    <row r="55" spans="1:12" ht="23.25" thickTop="1" thickBot="1" x14ac:dyDescent="0.3">
      <c r="A55" s="43"/>
      <c r="B55" s="9" t="s">
        <v>55</v>
      </c>
      <c r="C55" s="54">
        <f t="shared" ref="C54:C67" si="3">+C4-C38</f>
        <v>0</v>
      </c>
      <c r="D55" s="40">
        <f>+Table19212223[[#This Row],[عدد]]/$C$68</f>
        <v>0</v>
      </c>
      <c r="E55" s="54">
        <f>+E4-E38</f>
        <v>0</v>
      </c>
      <c r="F55" s="54">
        <f t="shared" si="2"/>
        <v>0</v>
      </c>
      <c r="G55" s="34">
        <v>0</v>
      </c>
      <c r="H55" s="153"/>
      <c r="I55" s="153"/>
      <c r="J55" s="153"/>
      <c r="K55" s="153"/>
      <c r="L55" s="153"/>
    </row>
    <row r="56" spans="1:12" ht="23.25" thickTop="1" thickBot="1" x14ac:dyDescent="0.3">
      <c r="A56" s="43"/>
      <c r="B56" s="9" t="s">
        <v>56</v>
      </c>
      <c r="C56" s="54">
        <f t="shared" si="3"/>
        <v>0</v>
      </c>
      <c r="D56" s="40">
        <f>+Table19212223[[#This Row],[عدد]]/$C$68</f>
        <v>0</v>
      </c>
      <c r="E56" s="54">
        <f t="shared" ref="E56:E67" si="4">+E5-E39</f>
        <v>0</v>
      </c>
      <c r="F56" s="54">
        <f t="shared" si="2"/>
        <v>0</v>
      </c>
      <c r="G56" s="34">
        <v>0</v>
      </c>
      <c r="H56" s="153"/>
      <c r="I56" s="153"/>
      <c r="J56" s="153"/>
      <c r="K56" s="153"/>
      <c r="L56" s="153"/>
    </row>
    <row r="57" spans="1:12" ht="23.25" thickTop="1" thickBot="1" x14ac:dyDescent="0.3">
      <c r="A57" s="43"/>
      <c r="B57" s="9" t="s">
        <v>57</v>
      </c>
      <c r="C57" s="54">
        <f t="shared" si="3"/>
        <v>0</v>
      </c>
      <c r="D57" s="40">
        <f>+Table19212223[[#This Row],[عدد]]/$C$68</f>
        <v>0</v>
      </c>
      <c r="E57" s="54">
        <f t="shared" si="4"/>
        <v>0</v>
      </c>
      <c r="F57" s="54">
        <f t="shared" si="2"/>
        <v>0</v>
      </c>
      <c r="G57" s="34">
        <v>0</v>
      </c>
      <c r="H57" s="153"/>
      <c r="I57" s="153"/>
      <c r="J57" s="153"/>
      <c r="K57" s="153"/>
      <c r="L57" s="153"/>
    </row>
    <row r="58" spans="1:12" ht="23.25" thickTop="1" thickBot="1" x14ac:dyDescent="0.3">
      <c r="A58" s="43"/>
      <c r="B58" s="9" t="s">
        <v>58</v>
      </c>
      <c r="C58" s="54">
        <f t="shared" si="3"/>
        <v>0</v>
      </c>
      <c r="D58" s="40">
        <f>+Table19212223[[#This Row],[عدد]]/$C$68</f>
        <v>0</v>
      </c>
      <c r="E58" s="54">
        <f t="shared" si="4"/>
        <v>0</v>
      </c>
      <c r="F58" s="54">
        <f t="shared" si="2"/>
        <v>0</v>
      </c>
      <c r="G58" s="34">
        <v>0</v>
      </c>
      <c r="H58" s="153"/>
      <c r="I58" s="153"/>
      <c r="J58" s="153"/>
      <c r="K58" s="153"/>
      <c r="L58" s="153"/>
    </row>
    <row r="59" spans="1:12" ht="23.25" thickTop="1" thickBot="1" x14ac:dyDescent="0.3">
      <c r="A59" s="43"/>
      <c r="B59" s="9" t="s">
        <v>59</v>
      </c>
      <c r="C59" s="54">
        <f t="shared" si="3"/>
        <v>0</v>
      </c>
      <c r="D59" s="40">
        <f>+Table19212223[[#This Row],[عدد]]/$C$68</f>
        <v>0</v>
      </c>
      <c r="E59" s="54">
        <f t="shared" si="4"/>
        <v>0</v>
      </c>
      <c r="F59" s="54">
        <f t="shared" si="2"/>
        <v>0</v>
      </c>
      <c r="G59" s="34">
        <v>0</v>
      </c>
      <c r="H59" s="153"/>
      <c r="I59" s="153"/>
      <c r="J59" s="153"/>
      <c r="K59" s="153"/>
      <c r="L59" s="153"/>
    </row>
    <row r="60" spans="1:12" ht="23.25" thickTop="1" thickBot="1" x14ac:dyDescent="0.3">
      <c r="A60" s="43"/>
      <c r="B60" s="9" t="s">
        <v>60</v>
      </c>
      <c r="C60" s="54">
        <f t="shared" si="3"/>
        <v>0</v>
      </c>
      <c r="D60" s="40">
        <f>+Table19212223[[#This Row],[عدد]]/$C$68</f>
        <v>0</v>
      </c>
      <c r="E60" s="54">
        <f t="shared" si="4"/>
        <v>0</v>
      </c>
      <c r="F60" s="54">
        <f t="shared" si="2"/>
        <v>0</v>
      </c>
      <c r="G60" s="34">
        <v>0</v>
      </c>
      <c r="H60" s="153"/>
      <c r="I60" s="153"/>
      <c r="J60" s="153"/>
      <c r="K60" s="153"/>
      <c r="L60" s="153"/>
    </row>
    <row r="61" spans="1:12" ht="23.25" thickTop="1" thickBot="1" x14ac:dyDescent="0.3">
      <c r="A61" s="43"/>
      <c r="B61" s="9" t="s">
        <v>61</v>
      </c>
      <c r="C61" s="54">
        <f t="shared" si="3"/>
        <v>0</v>
      </c>
      <c r="D61" s="40">
        <f>+Table19212223[[#This Row],[عدد]]/$C$68</f>
        <v>0</v>
      </c>
      <c r="E61" s="54">
        <f t="shared" si="4"/>
        <v>0</v>
      </c>
      <c r="F61" s="54">
        <f t="shared" si="2"/>
        <v>0</v>
      </c>
      <c r="G61" s="34">
        <v>0</v>
      </c>
      <c r="H61" s="153"/>
      <c r="I61" s="153"/>
      <c r="J61" s="153"/>
      <c r="K61" s="153"/>
      <c r="L61" s="153"/>
    </row>
    <row r="62" spans="1:12" ht="23.25" thickTop="1" thickBot="1" x14ac:dyDescent="0.3">
      <c r="A62" s="43"/>
      <c r="B62" s="9" t="s">
        <v>62</v>
      </c>
      <c r="C62" s="54">
        <f t="shared" si="3"/>
        <v>0</v>
      </c>
      <c r="D62" s="40">
        <f>+Table19212223[[#This Row],[عدد]]/$C$68</f>
        <v>0</v>
      </c>
      <c r="E62" s="54">
        <f t="shared" si="4"/>
        <v>0</v>
      </c>
      <c r="F62" s="54">
        <f t="shared" si="2"/>
        <v>0</v>
      </c>
      <c r="G62" s="34">
        <v>0</v>
      </c>
      <c r="H62" s="153"/>
      <c r="I62" s="153"/>
      <c r="J62" s="153"/>
      <c r="K62" s="153"/>
      <c r="L62" s="153"/>
    </row>
    <row r="63" spans="1:12" ht="23.25" thickTop="1" thickBot="1" x14ac:dyDescent="0.3">
      <c r="A63" s="43"/>
      <c r="B63" s="9" t="s">
        <v>63</v>
      </c>
      <c r="C63" s="54">
        <f t="shared" si="3"/>
        <v>0</v>
      </c>
      <c r="D63" s="40">
        <f>+Table19212223[[#This Row],[عدد]]/$C$68</f>
        <v>0</v>
      </c>
      <c r="E63" s="54">
        <f t="shared" si="4"/>
        <v>0</v>
      </c>
      <c r="F63" s="54">
        <f t="shared" si="2"/>
        <v>0</v>
      </c>
      <c r="G63" s="34">
        <v>0</v>
      </c>
      <c r="H63" s="153"/>
      <c r="I63" s="153"/>
      <c r="J63" s="153"/>
      <c r="K63" s="153"/>
      <c r="L63" s="153"/>
    </row>
    <row r="64" spans="1:12" ht="23.25" thickTop="1" thickBot="1" x14ac:dyDescent="0.3">
      <c r="A64" s="43"/>
      <c r="B64" s="9" t="s">
        <v>62</v>
      </c>
      <c r="C64" s="54">
        <f t="shared" si="3"/>
        <v>0</v>
      </c>
      <c r="D64" s="40">
        <f>+Table19212223[[#This Row],[عدد]]/$C$68</f>
        <v>0</v>
      </c>
      <c r="E64" s="54">
        <f t="shared" si="4"/>
        <v>0</v>
      </c>
      <c r="F64" s="54">
        <f t="shared" si="2"/>
        <v>0</v>
      </c>
      <c r="G64" s="34">
        <v>0</v>
      </c>
      <c r="H64" s="153"/>
      <c r="I64" s="153"/>
      <c r="J64" s="153"/>
      <c r="K64" s="153"/>
      <c r="L64" s="153"/>
    </row>
    <row r="65" spans="1:12" ht="23.25" thickTop="1" thickBot="1" x14ac:dyDescent="0.3">
      <c r="A65" s="43"/>
      <c r="B65" s="9" t="s">
        <v>64</v>
      </c>
      <c r="C65" s="54">
        <f t="shared" si="3"/>
        <v>0</v>
      </c>
      <c r="D65" s="40">
        <f>+Table19212223[[#This Row],[عدد]]/$C$68</f>
        <v>0</v>
      </c>
      <c r="E65" s="54">
        <f t="shared" si="4"/>
        <v>0</v>
      </c>
      <c r="F65" s="54">
        <f t="shared" si="2"/>
        <v>0</v>
      </c>
      <c r="G65" s="34">
        <v>0</v>
      </c>
      <c r="H65" s="153"/>
      <c r="I65" s="153"/>
      <c r="J65" s="153"/>
      <c r="K65" s="153"/>
      <c r="L65" s="153"/>
    </row>
    <row r="66" spans="1:12" ht="23.25" thickTop="1" thickBot="1" x14ac:dyDescent="0.3">
      <c r="A66" s="43"/>
      <c r="B66" s="9" t="s">
        <v>65</v>
      </c>
      <c r="C66" s="54">
        <f t="shared" si="3"/>
        <v>0</v>
      </c>
      <c r="D66" s="40">
        <f>+Table19212223[[#This Row],[عدد]]/$C$68</f>
        <v>0</v>
      </c>
      <c r="E66" s="54">
        <f t="shared" si="4"/>
        <v>0</v>
      </c>
      <c r="F66" s="54">
        <f t="shared" si="2"/>
        <v>0</v>
      </c>
      <c r="G66" s="34">
        <v>0</v>
      </c>
      <c r="H66" s="153"/>
      <c r="I66" s="153"/>
      <c r="J66" s="153"/>
      <c r="K66" s="153"/>
      <c r="L66" s="153"/>
    </row>
    <row r="67" spans="1:12" ht="23.25" thickTop="1" thickBot="1" x14ac:dyDescent="0.3">
      <c r="A67" s="55"/>
      <c r="B67" s="12" t="s">
        <v>66</v>
      </c>
      <c r="C67" s="54">
        <f t="shared" si="3"/>
        <v>0</v>
      </c>
      <c r="D67" s="40">
        <f>+Table19212223[[#This Row],[عدد]]/$C$68</f>
        <v>0</v>
      </c>
      <c r="E67" s="54">
        <f t="shared" si="4"/>
        <v>0</v>
      </c>
      <c r="F67" s="54">
        <f t="shared" si="2"/>
        <v>0</v>
      </c>
      <c r="G67" s="34">
        <v>0</v>
      </c>
      <c r="H67" s="153"/>
      <c r="I67" s="153"/>
      <c r="J67" s="153"/>
      <c r="K67" s="153"/>
      <c r="L67" s="153"/>
    </row>
    <row r="68" spans="1:12" ht="23.25" thickTop="1" thickBot="1" x14ac:dyDescent="0.3">
      <c r="A68" s="56" t="s">
        <v>67</v>
      </c>
      <c r="B68" s="63"/>
      <c r="C68" s="64">
        <f>SUBTOTAL(109,C53:C67)</f>
        <v>-455</v>
      </c>
      <c r="D68" s="65">
        <f>SUM(D53:D67)</f>
        <v>1</v>
      </c>
      <c r="E68" s="35">
        <v>0</v>
      </c>
      <c r="F68" s="35">
        <v>0</v>
      </c>
      <c r="G68" s="35">
        <v>0</v>
      </c>
      <c r="H68" s="153"/>
      <c r="I68" s="153"/>
      <c r="J68" s="153"/>
      <c r="K68" s="153"/>
      <c r="L68" s="153"/>
    </row>
    <row r="69" spans="1:12" ht="22.5" thickBot="1" x14ac:dyDescent="0.3">
      <c r="A69" s="61" t="s">
        <v>71</v>
      </c>
      <c r="B69" s="62" t="s">
        <v>46</v>
      </c>
      <c r="C69" s="62" t="s">
        <v>47</v>
      </c>
      <c r="D69" s="62" t="s">
        <v>48</v>
      </c>
      <c r="E69" s="62" t="s">
        <v>49</v>
      </c>
      <c r="F69" s="62" t="s">
        <v>50</v>
      </c>
      <c r="G69" s="62" t="s">
        <v>51</v>
      </c>
      <c r="H69" s="153"/>
      <c r="I69" s="153"/>
      <c r="J69" s="153"/>
      <c r="K69" s="153"/>
      <c r="L69" s="153"/>
    </row>
    <row r="70" spans="1:12" ht="23.25" thickTop="1" thickBot="1" x14ac:dyDescent="0.3">
      <c r="A70" s="43"/>
      <c r="B70" s="9" t="s">
        <v>53</v>
      </c>
      <c r="C70" s="73"/>
      <c r="D70" s="45" t="e">
        <v>#DIV/0!</v>
      </c>
      <c r="E70" s="75"/>
      <c r="F70" s="75"/>
      <c r="G70" s="34">
        <v>0</v>
      </c>
      <c r="H70" s="153"/>
      <c r="I70" s="153"/>
      <c r="J70" s="153"/>
      <c r="K70" s="153"/>
      <c r="L70" s="153"/>
    </row>
    <row r="71" spans="1:12" ht="23.25" thickTop="1" thickBot="1" x14ac:dyDescent="0.3">
      <c r="A71" s="43"/>
      <c r="B71" s="9" t="s">
        <v>54</v>
      </c>
      <c r="C71" s="73"/>
      <c r="D71" s="45" t="e">
        <v>#DIV/0!</v>
      </c>
      <c r="E71" s="75"/>
      <c r="F71" s="75"/>
      <c r="G71" s="34">
        <v>0</v>
      </c>
      <c r="H71" s="153"/>
      <c r="I71" s="153"/>
      <c r="J71" s="153"/>
      <c r="K71" s="153"/>
      <c r="L71" s="153"/>
    </row>
    <row r="72" spans="1:12" ht="23.25" thickTop="1" thickBot="1" x14ac:dyDescent="0.3">
      <c r="A72" s="43"/>
      <c r="B72" s="9" t="s">
        <v>55</v>
      </c>
      <c r="C72" s="73"/>
      <c r="D72" s="45" t="e">
        <v>#DIV/0!</v>
      </c>
      <c r="E72" s="75"/>
      <c r="F72" s="75"/>
      <c r="G72" s="34">
        <v>0</v>
      </c>
      <c r="H72" s="154"/>
      <c r="I72" s="153"/>
      <c r="J72" s="153"/>
      <c r="K72" s="153"/>
      <c r="L72" s="153"/>
    </row>
    <row r="73" spans="1:12" ht="23.25" thickTop="1" thickBot="1" x14ac:dyDescent="0.3">
      <c r="A73" s="43"/>
      <c r="B73" s="9" t="s">
        <v>56</v>
      </c>
      <c r="C73" s="73"/>
      <c r="D73" s="45" t="e">
        <v>#DIV/0!</v>
      </c>
      <c r="E73" s="75"/>
      <c r="F73" s="75"/>
      <c r="G73" s="34">
        <v>0</v>
      </c>
      <c r="H73" s="153"/>
      <c r="I73" s="153"/>
      <c r="J73" s="153"/>
      <c r="K73" s="153"/>
      <c r="L73" s="153"/>
    </row>
    <row r="74" spans="1:12" ht="23.25" thickTop="1" thickBot="1" x14ac:dyDescent="0.3">
      <c r="A74" s="43"/>
      <c r="B74" s="9" t="s">
        <v>57</v>
      </c>
      <c r="C74" s="73"/>
      <c r="D74" s="45" t="e">
        <v>#DIV/0!</v>
      </c>
      <c r="E74" s="75"/>
      <c r="F74" s="75"/>
      <c r="G74" s="34">
        <v>0</v>
      </c>
      <c r="H74" s="153"/>
      <c r="I74" s="153"/>
      <c r="J74" s="153"/>
      <c r="K74" s="153"/>
      <c r="L74" s="153"/>
    </row>
    <row r="75" spans="1:12" ht="23.25" thickTop="1" thickBot="1" x14ac:dyDescent="0.3">
      <c r="A75" s="43"/>
      <c r="B75" s="9" t="s">
        <v>58</v>
      </c>
      <c r="C75" s="73"/>
      <c r="D75" s="45" t="e">
        <v>#DIV/0!</v>
      </c>
      <c r="E75" s="75"/>
      <c r="F75" s="75"/>
      <c r="G75" s="34">
        <v>0</v>
      </c>
      <c r="H75" s="153"/>
      <c r="I75" s="153"/>
      <c r="J75" s="153"/>
      <c r="K75" s="153"/>
      <c r="L75" s="153"/>
    </row>
    <row r="76" spans="1:12" ht="23.25" thickTop="1" thickBot="1" x14ac:dyDescent="0.3">
      <c r="A76" s="43"/>
      <c r="B76" s="9" t="s">
        <v>59</v>
      </c>
      <c r="C76" s="73"/>
      <c r="D76" s="45" t="e">
        <v>#DIV/0!</v>
      </c>
      <c r="E76" s="75"/>
      <c r="F76" s="75"/>
      <c r="G76" s="34">
        <v>0</v>
      </c>
      <c r="H76" s="153"/>
      <c r="I76" s="153"/>
      <c r="J76" s="153"/>
      <c r="K76" s="153"/>
      <c r="L76" s="153"/>
    </row>
    <row r="77" spans="1:12" ht="23.25" thickTop="1" thickBot="1" x14ac:dyDescent="0.3">
      <c r="A77" s="43"/>
      <c r="B77" s="9" t="s">
        <v>60</v>
      </c>
      <c r="C77" s="73"/>
      <c r="D77" s="45" t="e">
        <v>#DIV/0!</v>
      </c>
      <c r="E77" s="75"/>
      <c r="F77" s="75"/>
      <c r="G77" s="34">
        <v>0</v>
      </c>
      <c r="H77" s="153"/>
      <c r="I77" s="153"/>
      <c r="J77" s="153"/>
      <c r="K77" s="153"/>
      <c r="L77" s="153"/>
    </row>
    <row r="78" spans="1:12" ht="23.25" thickTop="1" thickBot="1" x14ac:dyDescent="0.3">
      <c r="A78" s="43"/>
      <c r="B78" s="9" t="s">
        <v>61</v>
      </c>
      <c r="C78" s="73"/>
      <c r="D78" s="45" t="e">
        <v>#DIV/0!</v>
      </c>
      <c r="E78" s="75"/>
      <c r="F78" s="75"/>
      <c r="G78" s="34">
        <v>0</v>
      </c>
      <c r="H78" s="153"/>
      <c r="I78" s="153"/>
      <c r="J78" s="153"/>
      <c r="K78" s="153"/>
      <c r="L78" s="153"/>
    </row>
    <row r="79" spans="1:12" ht="23.25" thickTop="1" thickBot="1" x14ac:dyDescent="0.3">
      <c r="A79" s="43"/>
      <c r="B79" s="9" t="s">
        <v>62</v>
      </c>
      <c r="C79" s="73"/>
      <c r="D79" s="45" t="e">
        <v>#DIV/0!</v>
      </c>
      <c r="E79" s="75"/>
      <c r="F79" s="75"/>
      <c r="G79" s="34">
        <v>0</v>
      </c>
      <c r="H79" s="153"/>
      <c r="I79" s="153"/>
      <c r="J79" s="153"/>
      <c r="K79" s="153"/>
      <c r="L79" s="153"/>
    </row>
    <row r="80" spans="1:12" ht="23.25" thickTop="1" thickBot="1" x14ac:dyDescent="0.3">
      <c r="A80" s="43"/>
      <c r="B80" s="9" t="s">
        <v>63</v>
      </c>
      <c r="C80" s="73"/>
      <c r="D80" s="45" t="e">
        <v>#DIV/0!</v>
      </c>
      <c r="E80" s="75"/>
      <c r="F80" s="75"/>
      <c r="G80" s="34">
        <v>0</v>
      </c>
      <c r="H80" s="153"/>
      <c r="I80" s="153"/>
      <c r="J80" s="153"/>
      <c r="K80" s="153"/>
      <c r="L80" s="153"/>
    </row>
    <row r="81" spans="1:12" ht="23.25" thickTop="1" thickBot="1" x14ac:dyDescent="0.3">
      <c r="A81" s="43"/>
      <c r="B81" s="9" t="s">
        <v>62</v>
      </c>
      <c r="C81" s="73"/>
      <c r="D81" s="45" t="e">
        <v>#DIV/0!</v>
      </c>
      <c r="E81" s="75"/>
      <c r="F81" s="75"/>
      <c r="G81" s="34">
        <v>0</v>
      </c>
      <c r="H81" s="153"/>
      <c r="I81" s="153"/>
      <c r="J81" s="153"/>
      <c r="K81" s="153"/>
      <c r="L81" s="153"/>
    </row>
    <row r="82" spans="1:12" ht="23.25" thickTop="1" thickBot="1" x14ac:dyDescent="0.3">
      <c r="A82" s="43"/>
      <c r="B82" s="9" t="s">
        <v>64</v>
      </c>
      <c r="C82" s="73"/>
      <c r="D82" s="45" t="e">
        <v>#DIV/0!</v>
      </c>
      <c r="E82" s="75"/>
      <c r="F82" s="75"/>
      <c r="G82" s="34">
        <v>0</v>
      </c>
      <c r="H82" s="153"/>
      <c r="I82" s="153"/>
      <c r="J82" s="153"/>
      <c r="K82" s="153"/>
      <c r="L82" s="153"/>
    </row>
    <row r="83" spans="1:12" ht="23.25" thickTop="1" thickBot="1" x14ac:dyDescent="0.3">
      <c r="A83" s="43"/>
      <c r="B83" s="9" t="s">
        <v>65</v>
      </c>
      <c r="C83" s="73"/>
      <c r="D83" s="45" t="e">
        <v>#DIV/0!</v>
      </c>
      <c r="E83" s="75"/>
      <c r="F83" s="75"/>
      <c r="G83" s="34">
        <v>0</v>
      </c>
      <c r="H83" s="153"/>
      <c r="I83" s="153"/>
      <c r="J83" s="153"/>
      <c r="K83" s="153"/>
      <c r="L83" s="153"/>
    </row>
    <row r="84" spans="1:12" ht="23.25" thickTop="1" thickBot="1" x14ac:dyDescent="0.3">
      <c r="A84" s="55"/>
      <c r="B84" s="12" t="s">
        <v>66</v>
      </c>
      <c r="C84" s="73"/>
      <c r="D84" s="45" t="e">
        <v>#DIV/0!</v>
      </c>
      <c r="E84" s="75"/>
      <c r="F84" s="75"/>
      <c r="G84" s="34">
        <v>0</v>
      </c>
      <c r="H84" s="153"/>
      <c r="I84" s="153"/>
      <c r="J84" s="153"/>
      <c r="K84" s="153"/>
      <c r="L84" s="153"/>
    </row>
    <row r="85" spans="1:12" ht="23.25" thickTop="1" thickBot="1" x14ac:dyDescent="0.3">
      <c r="A85" s="56" t="s">
        <v>67</v>
      </c>
      <c r="B85" s="63"/>
      <c r="C85" s="64">
        <v>0</v>
      </c>
      <c r="D85" s="66" t="e">
        <v>#DIV/0!</v>
      </c>
      <c r="E85" s="35">
        <v>0</v>
      </c>
      <c r="F85" s="35">
        <v>0</v>
      </c>
      <c r="G85" s="35">
        <v>0</v>
      </c>
      <c r="H85" s="153"/>
      <c r="I85" s="153"/>
      <c r="J85" s="153"/>
      <c r="K85" s="153"/>
      <c r="L85" s="153"/>
    </row>
    <row r="86" spans="1:12" ht="22.5" thickBot="1" x14ac:dyDescent="0.3">
      <c r="A86" s="61" t="s">
        <v>72</v>
      </c>
      <c r="B86" s="62" t="s">
        <v>46</v>
      </c>
      <c r="C86" s="62" t="s">
        <v>47</v>
      </c>
      <c r="D86" s="62" t="s">
        <v>48</v>
      </c>
      <c r="E86" s="62" t="s">
        <v>49</v>
      </c>
      <c r="F86" s="62" t="s">
        <v>73</v>
      </c>
      <c r="G86" s="62" t="s">
        <v>51</v>
      </c>
      <c r="H86" s="153"/>
      <c r="I86" s="153"/>
      <c r="J86" s="153"/>
      <c r="K86" s="153"/>
      <c r="L86" s="153"/>
    </row>
    <row r="87" spans="1:12" ht="23.25" thickTop="1" thickBot="1" x14ac:dyDescent="0.3">
      <c r="A87" s="43"/>
      <c r="B87" s="9" t="s">
        <v>53</v>
      </c>
      <c r="C87" s="77"/>
      <c r="D87" s="45" t="e">
        <v>#DIV/0!</v>
      </c>
      <c r="E87" s="76"/>
      <c r="F87" s="76"/>
      <c r="G87" s="34">
        <v>0</v>
      </c>
      <c r="H87" s="153"/>
      <c r="I87" s="153"/>
      <c r="J87" s="153"/>
      <c r="K87" s="153"/>
      <c r="L87" s="153"/>
    </row>
    <row r="88" spans="1:12" ht="23.25" thickTop="1" thickBot="1" x14ac:dyDescent="0.3">
      <c r="A88" s="43"/>
      <c r="B88" s="9" t="s">
        <v>54</v>
      </c>
      <c r="C88" s="77"/>
      <c r="D88" s="45" t="e">
        <v>#DIV/0!</v>
      </c>
      <c r="E88" s="76"/>
      <c r="F88" s="76"/>
      <c r="G88" s="34">
        <v>0</v>
      </c>
      <c r="H88" s="153"/>
      <c r="I88" s="153"/>
      <c r="J88" s="153"/>
      <c r="K88" s="153"/>
      <c r="L88" s="153"/>
    </row>
    <row r="89" spans="1:12" ht="23.25" thickTop="1" thickBot="1" x14ac:dyDescent="0.3">
      <c r="A89" s="43"/>
      <c r="B89" s="9" t="s">
        <v>55</v>
      </c>
      <c r="C89" s="77"/>
      <c r="D89" s="45" t="e">
        <v>#DIV/0!</v>
      </c>
      <c r="E89" s="76"/>
      <c r="F89" s="76"/>
      <c r="G89" s="34">
        <v>0</v>
      </c>
      <c r="H89" s="153"/>
      <c r="I89" s="153"/>
      <c r="J89" s="153"/>
      <c r="K89" s="153"/>
      <c r="L89" s="153"/>
    </row>
    <row r="90" spans="1:12" ht="23.25" thickTop="1" thickBot="1" x14ac:dyDescent="0.3">
      <c r="A90" s="43"/>
      <c r="B90" s="9" t="s">
        <v>56</v>
      </c>
      <c r="C90" s="77"/>
      <c r="D90" s="45" t="e">
        <v>#DIV/0!</v>
      </c>
      <c r="E90" s="76"/>
      <c r="F90" s="76"/>
      <c r="G90" s="34">
        <v>0</v>
      </c>
      <c r="H90" s="153"/>
      <c r="I90" s="153"/>
      <c r="J90" s="153"/>
      <c r="K90" s="153"/>
      <c r="L90" s="153"/>
    </row>
    <row r="91" spans="1:12" ht="23.25" thickTop="1" thickBot="1" x14ac:dyDescent="0.3">
      <c r="A91" s="43"/>
      <c r="B91" s="9" t="s">
        <v>57</v>
      </c>
      <c r="C91" s="77"/>
      <c r="D91" s="45" t="e">
        <v>#DIV/0!</v>
      </c>
      <c r="E91" s="76"/>
      <c r="F91" s="76"/>
      <c r="G91" s="34">
        <v>0</v>
      </c>
      <c r="H91" s="153"/>
      <c r="I91" s="153"/>
      <c r="J91" s="153"/>
      <c r="K91" s="153"/>
      <c r="L91" s="153"/>
    </row>
    <row r="92" spans="1:12" ht="23.25" thickTop="1" thickBot="1" x14ac:dyDescent="0.3">
      <c r="A92" s="43"/>
      <c r="B92" s="9" t="s">
        <v>58</v>
      </c>
      <c r="C92" s="77"/>
      <c r="D92" s="45" t="e">
        <v>#DIV/0!</v>
      </c>
      <c r="E92" s="76"/>
      <c r="F92" s="76"/>
      <c r="G92" s="34">
        <v>0</v>
      </c>
      <c r="H92" s="153"/>
      <c r="I92" s="153"/>
      <c r="J92" s="153"/>
      <c r="K92" s="153"/>
      <c r="L92" s="153"/>
    </row>
    <row r="93" spans="1:12" ht="23.25" thickTop="1" thickBot="1" x14ac:dyDescent="0.3">
      <c r="A93" s="43"/>
      <c r="B93" s="9" t="s">
        <v>59</v>
      </c>
      <c r="C93" s="77"/>
      <c r="D93" s="45" t="e">
        <v>#DIV/0!</v>
      </c>
      <c r="E93" s="76"/>
      <c r="F93" s="76"/>
      <c r="G93" s="34">
        <v>0</v>
      </c>
      <c r="H93" s="153"/>
      <c r="I93" s="153"/>
      <c r="J93" s="153"/>
      <c r="K93" s="153"/>
      <c r="L93" s="153"/>
    </row>
    <row r="94" spans="1:12" ht="23.25" thickTop="1" thickBot="1" x14ac:dyDescent="0.3">
      <c r="A94" s="43"/>
      <c r="B94" s="9" t="s">
        <v>60</v>
      </c>
      <c r="C94" s="77"/>
      <c r="D94" s="45" t="e">
        <v>#DIV/0!</v>
      </c>
      <c r="E94" s="76"/>
      <c r="F94" s="76"/>
      <c r="G94" s="34">
        <v>0</v>
      </c>
      <c r="H94" s="153"/>
      <c r="I94" s="153"/>
      <c r="J94" s="153"/>
      <c r="K94" s="153"/>
      <c r="L94" s="153"/>
    </row>
    <row r="95" spans="1:12" ht="23.25" thickTop="1" thickBot="1" x14ac:dyDescent="0.3">
      <c r="A95" s="43"/>
      <c r="B95" s="9" t="s">
        <v>61</v>
      </c>
      <c r="C95" s="77"/>
      <c r="D95" s="45" t="e">
        <v>#DIV/0!</v>
      </c>
      <c r="E95" s="76"/>
      <c r="F95" s="76"/>
      <c r="G95" s="34">
        <v>0</v>
      </c>
      <c r="H95" s="153"/>
      <c r="I95" s="153"/>
      <c r="J95" s="153"/>
      <c r="K95" s="153"/>
      <c r="L95" s="153"/>
    </row>
    <row r="96" spans="1:12" ht="23.25" thickTop="1" thickBot="1" x14ac:dyDescent="0.3">
      <c r="A96" s="43"/>
      <c r="B96" s="9" t="s">
        <v>62</v>
      </c>
      <c r="C96" s="77"/>
      <c r="D96" s="45" t="e">
        <v>#DIV/0!</v>
      </c>
      <c r="E96" s="76"/>
      <c r="F96" s="76"/>
      <c r="G96" s="34">
        <v>0</v>
      </c>
      <c r="H96" s="153"/>
      <c r="I96" s="153"/>
      <c r="J96" s="153"/>
      <c r="K96" s="153"/>
      <c r="L96" s="153"/>
    </row>
    <row r="97" spans="1:12" ht="23.25" thickTop="1" thickBot="1" x14ac:dyDescent="0.3">
      <c r="A97" s="43"/>
      <c r="B97" s="9" t="s">
        <v>63</v>
      </c>
      <c r="C97" s="77"/>
      <c r="D97" s="45" t="e">
        <v>#DIV/0!</v>
      </c>
      <c r="E97" s="76"/>
      <c r="F97" s="76"/>
      <c r="G97" s="34">
        <v>0</v>
      </c>
      <c r="H97" s="153"/>
      <c r="I97" s="153"/>
      <c r="J97" s="153"/>
      <c r="K97" s="153"/>
      <c r="L97" s="153"/>
    </row>
    <row r="98" spans="1:12" ht="23.25" thickTop="1" thickBot="1" x14ac:dyDescent="0.3">
      <c r="A98" s="43"/>
      <c r="B98" s="9" t="s">
        <v>62</v>
      </c>
      <c r="C98" s="77"/>
      <c r="D98" s="45" t="e">
        <v>#DIV/0!</v>
      </c>
      <c r="E98" s="76"/>
      <c r="F98" s="76"/>
      <c r="G98" s="34">
        <v>0</v>
      </c>
      <c r="H98" s="153"/>
      <c r="I98" s="153"/>
      <c r="J98" s="153"/>
      <c r="K98" s="153"/>
      <c r="L98" s="153"/>
    </row>
    <row r="99" spans="1:12" ht="23.25" thickTop="1" thickBot="1" x14ac:dyDescent="0.3">
      <c r="A99" s="43"/>
      <c r="B99" s="9" t="s">
        <v>64</v>
      </c>
      <c r="C99" s="77"/>
      <c r="D99" s="45" t="e">
        <v>#DIV/0!</v>
      </c>
      <c r="E99" s="76"/>
      <c r="F99" s="76"/>
      <c r="G99" s="34">
        <v>0</v>
      </c>
      <c r="H99" s="153"/>
      <c r="I99" s="153"/>
      <c r="J99" s="153"/>
      <c r="K99" s="153"/>
      <c r="L99" s="153"/>
    </row>
    <row r="100" spans="1:12" ht="23.25" thickTop="1" thickBot="1" x14ac:dyDescent="0.3">
      <c r="A100" s="43"/>
      <c r="B100" s="9" t="s">
        <v>65</v>
      </c>
      <c r="C100" s="77"/>
      <c r="D100" s="45" t="e">
        <v>#DIV/0!</v>
      </c>
      <c r="E100" s="76"/>
      <c r="F100" s="76"/>
      <c r="G100" s="34">
        <v>0</v>
      </c>
      <c r="H100" s="153"/>
      <c r="I100" s="153"/>
      <c r="J100" s="153"/>
      <c r="K100" s="153"/>
      <c r="L100" s="153"/>
    </row>
    <row r="101" spans="1:12" ht="23.25" thickTop="1" thickBot="1" x14ac:dyDescent="0.3">
      <c r="A101" s="55"/>
      <c r="B101" s="12" t="s">
        <v>66</v>
      </c>
      <c r="C101" s="77"/>
      <c r="D101" s="45" t="e">
        <v>#DIV/0!</v>
      </c>
      <c r="E101" s="76"/>
      <c r="F101" s="76"/>
      <c r="G101" s="34">
        <v>0</v>
      </c>
      <c r="H101" s="153"/>
      <c r="I101" s="153"/>
      <c r="J101" s="153"/>
      <c r="K101" s="153"/>
      <c r="L101" s="153"/>
    </row>
    <row r="102" spans="1:12" ht="23.25" thickTop="1" thickBot="1" x14ac:dyDescent="0.3">
      <c r="A102" s="56" t="s">
        <v>67</v>
      </c>
      <c r="B102" s="63"/>
      <c r="C102" s="64">
        <v>0</v>
      </c>
      <c r="D102" s="66" t="e">
        <v>#DIV/0!</v>
      </c>
      <c r="E102" s="35">
        <v>0</v>
      </c>
      <c r="F102" s="35">
        <v>0</v>
      </c>
      <c r="G102" s="35">
        <v>0</v>
      </c>
      <c r="H102" s="153"/>
      <c r="I102" s="153"/>
      <c r="J102" s="153"/>
      <c r="K102" s="153"/>
      <c r="L102" s="153"/>
    </row>
    <row r="103" spans="1:12" ht="22.5" thickBot="1" x14ac:dyDescent="0.3">
      <c r="A103" s="67" t="s">
        <v>74</v>
      </c>
      <c r="B103" s="62" t="s">
        <v>46</v>
      </c>
      <c r="C103" s="62" t="s">
        <v>47</v>
      </c>
      <c r="D103" s="62" t="s">
        <v>75</v>
      </c>
      <c r="E103" s="155"/>
      <c r="F103" s="155"/>
      <c r="G103" s="155"/>
      <c r="H103" s="153"/>
      <c r="I103" s="153"/>
      <c r="J103" s="153"/>
      <c r="K103" s="153"/>
      <c r="L103" s="153"/>
    </row>
    <row r="104" spans="1:12" ht="23.25" thickTop="1" thickBot="1" x14ac:dyDescent="0.55000000000000004">
      <c r="A104" s="68"/>
      <c r="B104" s="9" t="s">
        <v>53</v>
      </c>
      <c r="C104" s="73"/>
      <c r="D104" s="69" t="e">
        <v>#DIV/0!</v>
      </c>
      <c r="E104" s="155"/>
      <c r="F104" s="155"/>
      <c r="G104" s="155"/>
      <c r="H104" s="153"/>
      <c r="I104" s="153"/>
      <c r="J104" s="153"/>
      <c r="K104" s="153"/>
      <c r="L104" s="153"/>
    </row>
    <row r="105" spans="1:12" ht="23.25" thickTop="1" thickBot="1" x14ac:dyDescent="0.55000000000000004">
      <c r="A105" s="68"/>
      <c r="B105" s="9" t="s">
        <v>54</v>
      </c>
      <c r="C105" s="73"/>
      <c r="D105" s="69" t="e">
        <v>#DIV/0!</v>
      </c>
      <c r="E105" s="155"/>
      <c r="F105" s="155"/>
      <c r="G105" s="155"/>
      <c r="H105" s="153"/>
      <c r="I105" s="153"/>
      <c r="J105" s="153"/>
      <c r="K105" s="153"/>
      <c r="L105" s="153"/>
    </row>
    <row r="106" spans="1:12" ht="23.25" thickTop="1" thickBot="1" x14ac:dyDescent="0.55000000000000004">
      <c r="A106" s="68"/>
      <c r="B106" s="9" t="s">
        <v>55</v>
      </c>
      <c r="C106" s="73"/>
      <c r="D106" s="69" t="e">
        <v>#DIV/0!</v>
      </c>
      <c r="E106" s="155"/>
      <c r="F106" s="155"/>
      <c r="G106" s="155"/>
      <c r="H106" s="153"/>
      <c r="I106" s="153"/>
      <c r="J106" s="153"/>
      <c r="K106" s="153"/>
      <c r="L106" s="153"/>
    </row>
    <row r="107" spans="1:12" ht="23.25" thickTop="1" thickBot="1" x14ac:dyDescent="0.55000000000000004">
      <c r="A107" s="68"/>
      <c r="B107" s="9" t="s">
        <v>56</v>
      </c>
      <c r="C107" s="73"/>
      <c r="D107" s="69" t="e">
        <v>#DIV/0!</v>
      </c>
      <c r="E107" s="155"/>
      <c r="F107" s="155"/>
      <c r="G107" s="155"/>
      <c r="H107" s="153"/>
      <c r="I107" s="153"/>
      <c r="J107" s="153"/>
      <c r="K107" s="153"/>
      <c r="L107" s="153"/>
    </row>
    <row r="108" spans="1:12" ht="23.25" thickTop="1" thickBot="1" x14ac:dyDescent="0.55000000000000004">
      <c r="A108" s="68"/>
      <c r="B108" s="9" t="s">
        <v>57</v>
      </c>
      <c r="C108" s="73"/>
      <c r="D108" s="69" t="e">
        <v>#DIV/0!</v>
      </c>
      <c r="E108" s="155"/>
      <c r="F108" s="155"/>
      <c r="G108" s="155"/>
      <c r="H108" s="153"/>
      <c r="I108" s="153"/>
      <c r="J108" s="153"/>
      <c r="K108" s="153"/>
      <c r="L108" s="153"/>
    </row>
    <row r="109" spans="1:12" ht="23.25" thickTop="1" thickBot="1" x14ac:dyDescent="0.55000000000000004">
      <c r="A109" s="68"/>
      <c r="B109" s="9" t="s">
        <v>58</v>
      </c>
      <c r="C109" s="73"/>
      <c r="D109" s="69" t="e">
        <v>#DIV/0!</v>
      </c>
      <c r="E109" s="155"/>
      <c r="F109" s="155"/>
      <c r="G109" s="155"/>
      <c r="H109" s="153"/>
      <c r="I109" s="153"/>
      <c r="J109" s="153"/>
      <c r="K109" s="153"/>
      <c r="L109" s="153"/>
    </row>
    <row r="110" spans="1:12" ht="23.25" thickTop="1" thickBot="1" x14ac:dyDescent="0.55000000000000004">
      <c r="A110" s="68"/>
      <c r="B110" s="9" t="s">
        <v>59</v>
      </c>
      <c r="C110" s="73"/>
      <c r="D110" s="69" t="e">
        <v>#DIV/0!</v>
      </c>
      <c r="E110" s="155"/>
      <c r="F110" s="155"/>
      <c r="G110" s="155"/>
      <c r="H110" s="153"/>
      <c r="I110" s="153"/>
      <c r="J110" s="153"/>
      <c r="K110" s="153"/>
      <c r="L110" s="153"/>
    </row>
    <row r="111" spans="1:12" ht="23.25" thickTop="1" thickBot="1" x14ac:dyDescent="0.55000000000000004">
      <c r="A111" s="68"/>
      <c r="B111" s="9" t="s">
        <v>60</v>
      </c>
      <c r="C111" s="73"/>
      <c r="D111" s="69" t="e">
        <v>#DIV/0!</v>
      </c>
      <c r="E111" s="155"/>
      <c r="F111" s="155"/>
      <c r="G111" s="155"/>
      <c r="H111" s="153"/>
      <c r="I111" s="153"/>
      <c r="J111" s="153"/>
      <c r="K111" s="153"/>
      <c r="L111" s="153"/>
    </row>
    <row r="112" spans="1:12" ht="23.25" thickTop="1" thickBot="1" x14ac:dyDescent="0.55000000000000004">
      <c r="A112" s="68"/>
      <c r="B112" s="9" t="s">
        <v>61</v>
      </c>
      <c r="C112" s="73"/>
      <c r="D112" s="69" t="e">
        <v>#DIV/0!</v>
      </c>
      <c r="E112" s="155"/>
      <c r="F112" s="155"/>
      <c r="G112" s="155"/>
      <c r="H112" s="153"/>
      <c r="I112" s="153"/>
      <c r="J112" s="153"/>
      <c r="K112" s="153"/>
      <c r="L112" s="153"/>
    </row>
    <row r="113" spans="1:12" ht="23.25" thickTop="1" thickBot="1" x14ac:dyDescent="0.55000000000000004">
      <c r="A113" s="68"/>
      <c r="B113" s="9" t="s">
        <v>62</v>
      </c>
      <c r="C113" s="73"/>
      <c r="D113" s="69" t="e">
        <v>#DIV/0!</v>
      </c>
      <c r="E113" s="155"/>
      <c r="F113" s="155"/>
      <c r="G113" s="155"/>
      <c r="H113" s="153"/>
      <c r="I113" s="153"/>
      <c r="J113" s="153"/>
      <c r="K113" s="153"/>
      <c r="L113" s="153"/>
    </row>
    <row r="114" spans="1:12" ht="23.25" thickTop="1" thickBot="1" x14ac:dyDescent="0.55000000000000004">
      <c r="A114" s="68"/>
      <c r="B114" s="9" t="s">
        <v>63</v>
      </c>
      <c r="C114" s="73"/>
      <c r="D114" s="69" t="e">
        <v>#DIV/0!</v>
      </c>
      <c r="E114" s="155"/>
      <c r="F114" s="155"/>
      <c r="G114" s="155"/>
      <c r="H114" s="153"/>
      <c r="I114" s="153"/>
      <c r="J114" s="153"/>
      <c r="K114" s="153"/>
      <c r="L114" s="153"/>
    </row>
    <row r="115" spans="1:12" ht="23.25" thickTop="1" thickBot="1" x14ac:dyDescent="0.55000000000000004">
      <c r="A115" s="68"/>
      <c r="B115" s="9" t="s">
        <v>62</v>
      </c>
      <c r="C115" s="73"/>
      <c r="D115" s="69" t="e">
        <v>#DIV/0!</v>
      </c>
      <c r="E115" s="155"/>
      <c r="F115" s="155"/>
      <c r="G115" s="155"/>
      <c r="H115" s="153"/>
      <c r="I115" s="153"/>
      <c r="J115" s="153"/>
      <c r="K115" s="153"/>
      <c r="L115" s="153"/>
    </row>
    <row r="116" spans="1:12" ht="23.25" thickTop="1" thickBot="1" x14ac:dyDescent="0.55000000000000004">
      <c r="A116" s="68"/>
      <c r="B116" s="9" t="s">
        <v>64</v>
      </c>
      <c r="C116" s="73"/>
      <c r="D116" s="69" t="e">
        <v>#DIV/0!</v>
      </c>
      <c r="E116" s="155"/>
      <c r="F116" s="155"/>
      <c r="G116" s="155"/>
      <c r="H116" s="153"/>
      <c r="I116" s="153"/>
      <c r="J116" s="153"/>
      <c r="K116" s="153"/>
      <c r="L116" s="153"/>
    </row>
    <row r="117" spans="1:12" ht="23.25" thickTop="1" thickBot="1" x14ac:dyDescent="0.55000000000000004">
      <c r="A117" s="68"/>
      <c r="B117" s="9" t="s">
        <v>65</v>
      </c>
      <c r="C117" s="73"/>
      <c r="D117" s="69" t="e">
        <v>#DIV/0!</v>
      </c>
      <c r="E117" s="155"/>
      <c r="F117" s="155"/>
      <c r="G117" s="155"/>
      <c r="H117" s="153"/>
      <c r="I117" s="153"/>
      <c r="J117" s="153"/>
      <c r="K117" s="153"/>
      <c r="L117" s="153"/>
    </row>
    <row r="118" spans="1:12" ht="23.25" thickTop="1" thickBot="1" x14ac:dyDescent="0.55000000000000004">
      <c r="A118" s="70"/>
      <c r="B118" s="9" t="s">
        <v>66</v>
      </c>
      <c r="C118" s="73"/>
      <c r="D118" s="69" t="e">
        <v>#DIV/0!</v>
      </c>
      <c r="E118" s="155"/>
      <c r="F118" s="155"/>
      <c r="G118" s="155"/>
      <c r="H118" s="153"/>
      <c r="I118" s="153"/>
      <c r="J118" s="153"/>
      <c r="K118" s="153"/>
      <c r="L118" s="153"/>
    </row>
    <row r="119" spans="1:12" ht="23.25" thickTop="1" thickBot="1" x14ac:dyDescent="0.3">
      <c r="A119" s="71" t="s">
        <v>67</v>
      </c>
      <c r="B119" s="63"/>
      <c r="C119" s="72">
        <v>0</v>
      </c>
      <c r="D119" s="66" t="e">
        <v>#DIV/0!</v>
      </c>
      <c r="E119" s="155"/>
      <c r="F119" s="155"/>
      <c r="G119" s="155"/>
      <c r="H119" s="153"/>
      <c r="I119" s="153"/>
      <c r="J119" s="153"/>
      <c r="K119" s="153"/>
      <c r="L119" s="153"/>
    </row>
  </sheetData>
  <mergeCells count="7">
    <mergeCell ref="A103:A118"/>
    <mergeCell ref="A2:A16"/>
    <mergeCell ref="A18:A33"/>
    <mergeCell ref="A35:A50"/>
    <mergeCell ref="A52:A67"/>
    <mergeCell ref="A69:A84"/>
    <mergeCell ref="A86:A101"/>
  </mergeCells>
  <dataValidations disablePrompts="1" count="1">
    <dataValidation type="custom" operator="notEqual" allowBlank="1" showInputMessage="1" showErrorMessage="1" error=" الخلية لا تقبل نص " prompt="ملاحظة: ادخال ارقام" sqref="C87:C101 E19:F33 E53:F67 C19:C20 E70:F84 C36:C50 C22 C70:C84 C104:C118 E87:F101 F2:F16 C24:C33 C53:C67 E36:F50" xr:uid="{3DEE5831-BBCC-48CC-B015-DB46B99E5018}">
      <formula1>ISNUMBER(C2)</formula1>
    </dataValidation>
  </dataValidations>
  <pageMargins left="0.7" right="0.7" top="0.75" bottom="0.75" header="0.3" footer="0.3"/>
  <pageSetup scale="24" fitToWidth="0" orientation="portrait" r:id="rId1"/>
  <headerFooter>
    <oddHeader>&amp;C&amp;G</oddHeader>
    <oddFooter>&amp;C&amp;G</oddFooter>
  </headerFooter>
  <drawing r:id="rId2"/>
  <legacyDrawingHF r:id="rId3"/>
  <tableParts count="7">
    <tablePart r:id="rId4"/>
    <tablePart r:id="rId5"/>
    <tablePart r:id="rId6"/>
    <tablePart r:id="rId7"/>
    <tablePart r:id="rId8"/>
    <tablePart r:id="rId9"/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0387-65C9-4A07-8214-D1DEC7CB1476}">
  <dimension ref="A1:E29"/>
  <sheetViews>
    <sheetView rightToLeft="1" view="pageLayout" topLeftCell="A34" zoomScale="50" zoomScaleNormal="100" zoomScalePageLayoutView="50" workbookViewId="0">
      <selection activeCell="E71" sqref="E71"/>
    </sheetView>
  </sheetViews>
  <sheetFormatPr defaultRowHeight="15" x14ac:dyDescent="0.25"/>
  <cols>
    <col min="1" max="1" width="69" style="133" bestFit="1" customWidth="1"/>
    <col min="2" max="2" width="42.5703125" style="133" customWidth="1"/>
    <col min="3" max="3" width="29.85546875" style="133" bestFit="1" customWidth="1"/>
    <col min="4" max="4" width="33.7109375" style="133" customWidth="1"/>
    <col min="5" max="5" width="34.7109375" style="133" customWidth="1"/>
    <col min="6" max="16384" width="9.140625" style="133"/>
  </cols>
  <sheetData>
    <row r="1" spans="1:5" ht="23.25" thickTop="1" thickBot="1" x14ac:dyDescent="0.3">
      <c r="A1" s="119" t="s">
        <v>108</v>
      </c>
      <c r="B1" s="120"/>
      <c r="C1" s="121"/>
      <c r="D1" s="121"/>
      <c r="E1" s="121"/>
    </row>
    <row r="2" spans="1:5" ht="23.25" thickTop="1" thickBot="1" x14ac:dyDescent="0.3">
      <c r="A2" s="134" t="s">
        <v>109</v>
      </c>
      <c r="B2" s="143"/>
      <c r="C2" s="121"/>
      <c r="D2" s="121"/>
      <c r="E2" s="121"/>
    </row>
    <row r="3" spans="1:5" ht="23.25" thickTop="1" thickBot="1" x14ac:dyDescent="0.3">
      <c r="A3" s="134" t="s">
        <v>110</v>
      </c>
      <c r="B3" s="143"/>
      <c r="C3" s="121"/>
      <c r="D3" s="121"/>
      <c r="E3" s="121"/>
    </row>
    <row r="4" spans="1:5" ht="23.25" thickTop="1" thickBot="1" x14ac:dyDescent="0.3">
      <c r="A4" s="134" t="s">
        <v>87</v>
      </c>
      <c r="B4" s="143"/>
      <c r="C4" s="121"/>
      <c r="D4" s="121"/>
      <c r="E4" s="121"/>
    </row>
    <row r="5" spans="1:5" ht="23.25" thickTop="1" thickBot="1" x14ac:dyDescent="0.3">
      <c r="A5" s="134" t="s">
        <v>111</v>
      </c>
      <c r="B5" s="144"/>
      <c r="C5" s="121"/>
      <c r="D5" s="121"/>
      <c r="E5" s="121"/>
    </row>
    <row r="6" spans="1:5" ht="23.25" thickTop="1" thickBot="1" x14ac:dyDescent="0.3">
      <c r="A6" s="134" t="s">
        <v>112</v>
      </c>
      <c r="B6" s="144"/>
      <c r="C6" s="121"/>
      <c r="D6" s="121"/>
      <c r="E6" s="121"/>
    </row>
    <row r="7" spans="1:5" ht="23.25" thickTop="1" thickBot="1" x14ac:dyDescent="0.3">
      <c r="A7" s="134" t="s">
        <v>113</v>
      </c>
      <c r="B7" s="144"/>
      <c r="C7" s="121"/>
      <c r="D7" s="121"/>
      <c r="E7" s="121"/>
    </row>
    <row r="8" spans="1:5" ht="23.25" thickTop="1" thickBot="1" x14ac:dyDescent="0.3">
      <c r="A8" s="134" t="s">
        <v>114</v>
      </c>
      <c r="B8" s="144"/>
      <c r="C8" s="121"/>
      <c r="D8" s="121"/>
      <c r="E8" s="121"/>
    </row>
    <row r="9" spans="1:5" ht="23.25" thickTop="1" thickBot="1" x14ac:dyDescent="0.3">
      <c r="A9" s="134" t="s">
        <v>115</v>
      </c>
      <c r="B9" s="143"/>
      <c r="C9" s="121"/>
      <c r="D9" s="121"/>
      <c r="E9" s="121"/>
    </row>
    <row r="10" spans="1:5" ht="23.25" thickTop="1" thickBot="1" x14ac:dyDescent="0.3">
      <c r="A10" s="134" t="s">
        <v>116</v>
      </c>
      <c r="B10" s="143"/>
      <c r="C10" s="121"/>
      <c r="D10" s="121"/>
      <c r="E10" s="121"/>
    </row>
    <row r="11" spans="1:5" ht="23.25" thickTop="1" thickBot="1" x14ac:dyDescent="0.55000000000000004">
      <c r="A11" s="134" t="s">
        <v>117</v>
      </c>
      <c r="B11" s="197"/>
      <c r="C11" s="121"/>
      <c r="D11" s="121"/>
      <c r="E11" s="121"/>
    </row>
    <row r="12" spans="1:5" ht="23.25" thickTop="1" thickBot="1" x14ac:dyDescent="0.55000000000000004">
      <c r="A12" s="134" t="s">
        <v>118</v>
      </c>
      <c r="B12" s="197"/>
      <c r="C12" s="121"/>
      <c r="D12" s="121"/>
      <c r="E12" s="121"/>
    </row>
    <row r="13" spans="1:5" ht="23.25" thickTop="1" thickBot="1" x14ac:dyDescent="0.3">
      <c r="A13" s="134" t="s">
        <v>119</v>
      </c>
      <c r="B13" s="122">
        <f ca="1">+B12-TODAY()</f>
        <v>-46287</v>
      </c>
      <c r="C13" s="121"/>
      <c r="D13" s="121"/>
      <c r="E13" s="121"/>
    </row>
    <row r="14" spans="1:5" ht="23.25" thickTop="1" thickBot="1" x14ac:dyDescent="0.3">
      <c r="A14" s="121"/>
      <c r="B14" s="121"/>
      <c r="C14" s="121"/>
      <c r="D14" s="121"/>
      <c r="E14" s="121"/>
    </row>
    <row r="15" spans="1:5" ht="23.25" thickTop="1" thickBot="1" x14ac:dyDescent="0.3">
      <c r="A15" s="123" t="s">
        <v>120</v>
      </c>
      <c r="B15" s="124"/>
      <c r="C15" s="121"/>
      <c r="D15" s="121"/>
      <c r="E15" s="121"/>
    </row>
    <row r="16" spans="1:5" ht="23.25" thickTop="1" thickBot="1" x14ac:dyDescent="0.3">
      <c r="A16" s="135" t="s">
        <v>121</v>
      </c>
      <c r="B16" s="125" cm="1">
        <f t="array" ref="B16">(-D25*1.2)+Table10[[#All],[Column4]]</f>
        <v>308285178.96999997</v>
      </c>
      <c r="C16" s="121"/>
      <c r="D16" s="121"/>
      <c r="E16" s="121"/>
    </row>
    <row r="17" spans="1:5" ht="23.25" thickTop="1" thickBot="1" x14ac:dyDescent="0.3">
      <c r="A17" s="135" t="s">
        <v>122</v>
      </c>
      <c r="B17" s="126">
        <f>+B16-B25*0.05</f>
        <v>308285178.96999997</v>
      </c>
      <c r="C17" s="121"/>
      <c r="D17" s="121"/>
      <c r="E17" s="121"/>
    </row>
    <row r="18" spans="1:5" ht="23.25" thickTop="1" thickBot="1" x14ac:dyDescent="0.3">
      <c r="A18" s="135" t="s">
        <v>123</v>
      </c>
      <c r="B18" s="126">
        <f>+B17</f>
        <v>308285178.96999997</v>
      </c>
      <c r="C18" s="121"/>
      <c r="D18" s="121"/>
      <c r="E18" s="121"/>
    </row>
    <row r="19" spans="1:5" ht="23.25" thickTop="1" thickBot="1" x14ac:dyDescent="0.55000000000000004">
      <c r="A19" s="135" t="s">
        <v>124</v>
      </c>
      <c r="B19" s="127"/>
      <c r="C19" s="121"/>
      <c r="D19" s="121"/>
      <c r="E19" s="136"/>
    </row>
    <row r="20" spans="1:5" ht="23.25" thickTop="1" thickBot="1" x14ac:dyDescent="0.3">
      <c r="A20" s="135" t="s">
        <v>125</v>
      </c>
      <c r="B20" s="127"/>
      <c r="C20" s="121"/>
      <c r="D20" s="121"/>
      <c r="E20" s="121"/>
    </row>
    <row r="21" spans="1:5" ht="23.25" thickTop="1" thickBot="1" x14ac:dyDescent="0.3">
      <c r="A21" s="121"/>
      <c r="B21" s="121"/>
      <c r="C21" s="121"/>
      <c r="D21" s="121"/>
      <c r="E21" s="121"/>
    </row>
    <row r="22" spans="1:5" ht="23.25" thickTop="1" thickBot="1" x14ac:dyDescent="0.3">
      <c r="A22" s="119" t="s">
        <v>126</v>
      </c>
      <c r="B22" s="128"/>
      <c r="C22" s="128"/>
      <c r="D22" s="128"/>
      <c r="E22" s="120"/>
    </row>
    <row r="23" spans="1:5" ht="23.25" thickTop="1" thickBot="1" x14ac:dyDescent="0.3">
      <c r="A23" s="137" t="s">
        <v>26</v>
      </c>
      <c r="B23" s="138" t="s">
        <v>127</v>
      </c>
      <c r="C23" s="138" t="s">
        <v>128</v>
      </c>
      <c r="D23" s="138" t="s">
        <v>129</v>
      </c>
      <c r="E23" s="139" t="s">
        <v>130</v>
      </c>
    </row>
    <row r="24" spans="1:5" ht="23.25" thickTop="1" thickBot="1" x14ac:dyDescent="0.3">
      <c r="A24" s="140" t="s">
        <v>131</v>
      </c>
      <c r="B24" s="129">
        <f>+'(1) البيانات الاساسية'!D8</f>
        <v>0</v>
      </c>
      <c r="C24" s="141">
        <f>+'(4) وحدات المشروع'!E51</f>
        <v>316100316.74000001</v>
      </c>
      <c r="D24" s="130">
        <f>+B24-C24</f>
        <v>-316100316.74000001</v>
      </c>
      <c r="E24" s="131" t="e">
        <f>+C24/B24</f>
        <v>#DIV/0!</v>
      </c>
    </row>
    <row r="25" spans="1:5" ht="23.25" thickTop="1" thickBot="1" x14ac:dyDescent="0.3">
      <c r="A25" s="140" t="s">
        <v>132</v>
      </c>
      <c r="B25" s="129">
        <f>+'(1) البيانات الاساسية'!D9</f>
        <v>0</v>
      </c>
      <c r="C25" s="129">
        <f>+'(3) العمليات المالية'!B9</f>
        <v>221354938.99999997</v>
      </c>
      <c r="D25" s="130">
        <f>+B25-C25</f>
        <v>-221354938.99999997</v>
      </c>
      <c r="E25" s="132" t="e">
        <f>+C25/B25</f>
        <v>#DIV/0!</v>
      </c>
    </row>
    <row r="26" spans="1:5" ht="23.25" thickTop="1" thickBot="1" x14ac:dyDescent="0.3">
      <c r="A26" s="140" t="s">
        <v>133</v>
      </c>
      <c r="B26" s="129">
        <f>+'(1) البيانات الاساسية'!D10</f>
        <v>0</v>
      </c>
      <c r="C26" s="129">
        <f>+'(3) العمليات المالية'!B11</f>
        <v>31715784.420000002</v>
      </c>
      <c r="D26" s="130">
        <f>+B26-C26</f>
        <v>-31715784.420000002</v>
      </c>
      <c r="E26" s="132" t="e">
        <f>+C26/B26</f>
        <v>#DIV/0!</v>
      </c>
    </row>
    <row r="27" spans="1:5" ht="22.5" thickTop="1" x14ac:dyDescent="0.5">
      <c r="A27" s="121"/>
      <c r="B27" s="121"/>
      <c r="C27" s="121"/>
      <c r="D27" s="121"/>
      <c r="E27" s="142"/>
    </row>
    <row r="28" spans="1:5" ht="21.75" x14ac:dyDescent="0.25">
      <c r="A28" s="121"/>
      <c r="B28" s="121"/>
      <c r="C28" s="121"/>
      <c r="D28" s="121"/>
      <c r="E28" s="121"/>
    </row>
    <row r="29" spans="1:5" ht="21.75" x14ac:dyDescent="0.25">
      <c r="A29" s="121"/>
      <c r="B29" s="121"/>
      <c r="C29" s="121"/>
      <c r="D29" s="121"/>
      <c r="E29" s="121"/>
    </row>
  </sheetData>
  <mergeCells count="3">
    <mergeCell ref="A1:B1"/>
    <mergeCell ref="A15:B15"/>
    <mergeCell ref="A22:E22"/>
  </mergeCells>
  <conditionalFormatting sqref="B13">
    <cfRule type="cellIs" dxfId="34" priority="12" operator="lessThan">
      <formula>1</formula>
    </cfRule>
    <cfRule type="cellIs" dxfId="33" priority="13" operator="between">
      <formula>1</formula>
      <formula>179</formula>
    </cfRule>
    <cfRule type="cellIs" dxfId="32" priority="14" operator="between">
      <formula>1</formula>
      <formula>179</formula>
    </cfRule>
    <cfRule type="cellIs" dxfId="31" priority="15" operator="greaterThan">
      <formula>180</formula>
    </cfRule>
  </conditionalFormatting>
  <conditionalFormatting sqref="B18">
    <cfRule type="cellIs" dxfId="30" priority="10" operator="lessThan">
      <formula>0</formula>
    </cfRule>
    <cfRule type="cellIs" dxfId="29" priority="11" operator="greaterThan">
      <formula>0</formula>
    </cfRule>
  </conditionalFormatting>
  <conditionalFormatting sqref="B18:B20">
    <cfRule type="cellIs" dxfId="28" priority="16" operator="greaterThan">
      <formula>0</formula>
    </cfRule>
    <cfRule type="cellIs" dxfId="27" priority="17" operator="lessThan">
      <formula>0</formula>
    </cfRule>
  </conditionalFormatting>
  <conditionalFormatting sqref="E25:E26">
    <cfRule type="cellIs" dxfId="26" priority="7" operator="lessThan">
      <formula>0.8</formula>
    </cfRule>
    <cfRule type="cellIs" dxfId="25" priority="8" operator="between">
      <formula>0.8</formula>
      <formula>0.89</formula>
    </cfRule>
    <cfRule type="cellIs" dxfId="24" priority="9" operator="greaterThan">
      <formula>0.9</formula>
    </cfRule>
    <cfRule type="cellIs" dxfId="23" priority="19" operator="greaterThan">
      <formula>1</formula>
    </cfRule>
    <cfRule type="dataBar" priority="20">
      <dataBar>
        <cfvo type="percent" val="0"/>
        <cfvo type="percent" val="100"/>
        <color theme="0" tint="-0.249977111117893"/>
      </dataBar>
      <extLst>
        <ext xmlns:x14="http://schemas.microsoft.com/office/spreadsheetml/2009/9/main" uri="{B025F937-C7B1-47D3-B67F-A62EFF666E3E}">
          <x14:id>{20278E52-9F60-42DB-A698-CE25BA95527F}</x14:id>
        </ext>
      </extLst>
    </cfRule>
  </conditionalFormatting>
  <conditionalFormatting sqref="E26">
    <cfRule type="cellIs" dxfId="22" priority="5" operator="greaterThan">
      <formula>1.2</formula>
    </cfRule>
    <cfRule type="cellIs" dxfId="21" priority="6" operator="between">
      <formula>1.01</formula>
      <formula>1.2</formula>
    </cfRule>
    <cfRule type="dataBar" priority="18">
      <dataBar>
        <cfvo type="percent" val="0"/>
        <cfvo type="percent" val="100"/>
        <color theme="0" tint="-0.249977111117893"/>
      </dataBar>
      <extLst>
        <ext xmlns:x14="http://schemas.microsoft.com/office/spreadsheetml/2009/9/main" uri="{B025F937-C7B1-47D3-B67F-A62EFF666E3E}">
          <x14:id>{6E6102C8-2CAD-4BC5-9C6A-A8CD1F1E1022}</x14:id>
        </ext>
      </extLst>
    </cfRule>
  </conditionalFormatting>
  <conditionalFormatting sqref="B17">
    <cfRule type="cellIs" dxfId="20" priority="1" operator="lessThan">
      <formula>0</formula>
    </cfRule>
    <cfRule type="cellIs" dxfId="19" priority="2" operator="greaterThan">
      <formula>0</formula>
    </cfRule>
  </conditionalFormatting>
  <conditionalFormatting sqref="B17">
    <cfRule type="cellIs" dxfId="18" priority="3" operator="greaterThan">
      <formula>0</formula>
    </cfRule>
    <cfRule type="cellIs" dxfId="17" priority="4" operator="lessThan">
      <formula>0</formula>
    </cfRule>
  </conditionalFormatting>
  <dataValidations disablePrompts="1" count="3">
    <dataValidation type="date" allowBlank="1" showInputMessage="1" showErrorMessage="1" error=" الخلية لا تقبل نص او ارقام" prompt="مثال على الادخال : mm/dd/yyyy" sqref="B11:B12" xr:uid="{65CD1223-0147-4910-9315-0C88AB6AE279}">
      <formula1>42370</formula1>
      <formula2>51136</formula2>
    </dataValidation>
    <dataValidation type="custom" operator="notEqual" allowBlank="1" showInputMessage="1" showErrorMessage="1" errorTitle="خطأ" error="_x000a_ الخلية لا تقبل ارقام " prompt="ملاحظة: الادخال نص" sqref="B5:B8" xr:uid="{E83C77B9-0A90-4DA2-B8CE-00D6AEBD6AFA}">
      <formula1>ISTEXT(B5)</formula1>
    </dataValidation>
    <dataValidation type="custom" operator="notEqual" allowBlank="1" showInputMessage="1" showErrorMessage="1" error=" الخلية لا تقبل نص " prompt="ملاحظة: ادخال ارقام" sqref="B19:B20" xr:uid="{7B32FF53-637F-4B73-B4CB-AC91758C26CA}">
      <formula1>ISNUMBER(B19)</formula1>
    </dataValidation>
  </dataValidations>
  <pageMargins left="0.7" right="0.7" top="1" bottom="1" header="0.3" footer="0.3"/>
  <pageSetup scale="33" orientation="landscape" r:id="rId1"/>
  <headerFooter>
    <oddHeader>&amp;C&amp;G</oddHeader>
    <oddFooter>&amp;C&amp;G</oddFooter>
  </headerFooter>
  <drawing r:id="rId2"/>
  <legacyDrawingHF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278E52-9F60-42DB-A698-CE25BA95527F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E25:E26</xm:sqref>
        </x14:conditionalFormatting>
        <x14:conditionalFormatting xmlns:xm="http://schemas.microsoft.com/office/excel/2006/main">
          <x14:cfRule type="dataBar" id="{6E6102C8-2CAD-4BC5-9C6A-A8CD1F1E1022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E26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DDC5-5160-4588-BBDE-968B7ED5BDF7}">
  <dimension ref="A1:C40"/>
  <sheetViews>
    <sheetView showGridLines="0" rightToLeft="1" view="pageLayout" topLeftCell="A49" zoomScale="85" zoomScaleNormal="90" zoomScalePageLayoutView="85" workbookViewId="0">
      <selection activeCell="C61" sqref="C61"/>
    </sheetView>
  </sheetViews>
  <sheetFormatPr defaultRowHeight="15" x14ac:dyDescent="0.25"/>
  <cols>
    <col min="1" max="1" width="4.5703125" customWidth="1"/>
    <col min="2" max="2" width="36.5703125" customWidth="1"/>
    <col min="3" max="3" width="48.5703125" customWidth="1"/>
  </cols>
  <sheetData>
    <row r="1" spans="1:3" s="166" customFormat="1" ht="23.25" customHeight="1" thickTop="1" thickBot="1" x14ac:dyDescent="0.4">
      <c r="A1" s="164" t="s">
        <v>151</v>
      </c>
      <c r="B1" s="165"/>
      <c r="C1" s="165"/>
    </row>
    <row r="2" spans="1:3" ht="18.75" customHeight="1" thickTop="1" thickBot="1" x14ac:dyDescent="0.3">
      <c r="A2" s="167">
        <v>1</v>
      </c>
      <c r="B2" s="168" t="s">
        <v>152</v>
      </c>
      <c r="C2" s="169"/>
    </row>
    <row r="3" spans="1:3" ht="24.75" customHeight="1" thickTop="1" thickBot="1" x14ac:dyDescent="0.3">
      <c r="A3" s="167"/>
      <c r="B3" s="170"/>
      <c r="C3" s="171"/>
    </row>
    <row r="4" spans="1:3" ht="16.5" thickTop="1" thickBot="1" x14ac:dyDescent="0.3">
      <c r="A4" s="167"/>
      <c r="B4" s="172"/>
      <c r="C4" s="173"/>
    </row>
    <row r="5" spans="1:3" ht="16.5" thickTop="1" thickBot="1" x14ac:dyDescent="0.3">
      <c r="A5" s="167"/>
      <c r="B5" s="172"/>
      <c r="C5" s="173"/>
    </row>
    <row r="6" spans="1:3" ht="16.5" thickTop="1" thickBot="1" x14ac:dyDescent="0.3">
      <c r="A6" s="167"/>
      <c r="B6" s="172"/>
      <c r="C6" s="173"/>
    </row>
    <row r="7" spans="1:3" ht="16.5" thickTop="1" thickBot="1" x14ac:dyDescent="0.3">
      <c r="A7" s="167"/>
      <c r="B7" s="172"/>
      <c r="C7" s="173"/>
    </row>
    <row r="8" spans="1:3" ht="16.5" thickTop="1" thickBot="1" x14ac:dyDescent="0.3">
      <c r="A8" s="167"/>
      <c r="B8" s="174"/>
      <c r="C8" s="175"/>
    </row>
    <row r="9" spans="1:3" ht="16.5" customHeight="1" thickTop="1" thickBot="1" x14ac:dyDescent="0.3">
      <c r="A9" s="167">
        <v>2</v>
      </c>
      <c r="B9" s="168" t="s">
        <v>153</v>
      </c>
      <c r="C9" s="169"/>
    </row>
    <row r="10" spans="1:3" ht="16.5" thickTop="1" thickBot="1" x14ac:dyDescent="0.3">
      <c r="A10" s="167"/>
      <c r="B10" s="170"/>
      <c r="C10" s="171"/>
    </row>
    <row r="11" spans="1:3" ht="16.5" thickTop="1" thickBot="1" x14ac:dyDescent="0.3">
      <c r="A11" s="167"/>
      <c r="B11" s="172"/>
      <c r="C11" s="173"/>
    </row>
    <row r="12" spans="1:3" ht="16.5" thickTop="1" thickBot="1" x14ac:dyDescent="0.3">
      <c r="A12" s="167"/>
      <c r="B12" s="172"/>
      <c r="C12" s="173"/>
    </row>
    <row r="13" spans="1:3" ht="16.5" thickTop="1" thickBot="1" x14ac:dyDescent="0.3">
      <c r="A13" s="167"/>
      <c r="B13" s="172"/>
      <c r="C13" s="173"/>
    </row>
    <row r="14" spans="1:3" ht="16.5" thickTop="1" thickBot="1" x14ac:dyDescent="0.3">
      <c r="A14" s="167"/>
      <c r="B14" s="172"/>
      <c r="C14" s="173"/>
    </row>
    <row r="15" spans="1:3" ht="16.5" thickTop="1" thickBot="1" x14ac:dyDescent="0.3">
      <c r="A15" s="167"/>
      <c r="B15" s="174"/>
      <c r="C15" s="175"/>
    </row>
    <row r="16" spans="1:3" ht="15.75" customHeight="1" thickTop="1" thickBot="1" x14ac:dyDescent="0.3">
      <c r="A16" s="167">
        <v>3</v>
      </c>
      <c r="B16" s="168" t="s">
        <v>154</v>
      </c>
      <c r="C16" s="169"/>
    </row>
    <row r="17" spans="1:3" ht="16.5" thickTop="1" thickBot="1" x14ac:dyDescent="0.3">
      <c r="A17" s="167"/>
      <c r="B17" s="170"/>
      <c r="C17" s="171"/>
    </row>
    <row r="18" spans="1:3" ht="16.5" thickTop="1" thickBot="1" x14ac:dyDescent="0.3">
      <c r="A18" s="167"/>
      <c r="B18" s="172"/>
      <c r="C18" s="173"/>
    </row>
    <row r="19" spans="1:3" ht="16.5" thickTop="1" thickBot="1" x14ac:dyDescent="0.3">
      <c r="A19" s="167"/>
      <c r="B19" s="172"/>
      <c r="C19" s="173"/>
    </row>
    <row r="20" spans="1:3" ht="16.5" thickTop="1" thickBot="1" x14ac:dyDescent="0.3">
      <c r="A20" s="167"/>
      <c r="B20" s="172"/>
      <c r="C20" s="173"/>
    </row>
    <row r="21" spans="1:3" ht="16.5" thickTop="1" thickBot="1" x14ac:dyDescent="0.3">
      <c r="A21" s="176"/>
      <c r="B21" s="172"/>
      <c r="C21" s="173"/>
    </row>
    <row r="22" spans="1:3" ht="24.75" thickTop="1" thickBot="1" x14ac:dyDescent="0.3">
      <c r="A22" s="167">
        <v>4</v>
      </c>
      <c r="B22" s="168" t="s">
        <v>155</v>
      </c>
      <c r="C22" s="169"/>
    </row>
    <row r="23" spans="1:3" ht="16.5" thickTop="1" thickBot="1" x14ac:dyDescent="0.3">
      <c r="A23" s="167"/>
      <c r="B23" s="170"/>
      <c r="C23" s="171"/>
    </row>
    <row r="24" spans="1:3" ht="16.5" thickTop="1" thickBot="1" x14ac:dyDescent="0.3">
      <c r="A24" s="167"/>
      <c r="B24" s="172"/>
      <c r="C24" s="173"/>
    </row>
    <row r="25" spans="1:3" ht="16.5" thickTop="1" thickBot="1" x14ac:dyDescent="0.3">
      <c r="A25" s="167"/>
      <c r="B25" s="172"/>
      <c r="C25" s="173"/>
    </row>
    <row r="26" spans="1:3" ht="16.5" thickTop="1" thickBot="1" x14ac:dyDescent="0.3">
      <c r="A26" s="167"/>
      <c r="B26" s="172"/>
      <c r="C26" s="173"/>
    </row>
    <row r="27" spans="1:3" ht="16.5" thickTop="1" thickBot="1" x14ac:dyDescent="0.3">
      <c r="A27" s="176"/>
      <c r="B27" s="172"/>
      <c r="C27" s="173"/>
    </row>
    <row r="28" spans="1:3" ht="24.75" thickTop="1" thickBot="1" x14ac:dyDescent="0.3">
      <c r="A28" s="167">
        <v>5</v>
      </c>
      <c r="B28" s="168" t="s">
        <v>156</v>
      </c>
      <c r="C28" s="169"/>
    </row>
    <row r="29" spans="1:3" ht="16.5" thickTop="1" thickBot="1" x14ac:dyDescent="0.3">
      <c r="A29" s="167"/>
      <c r="B29" s="170"/>
      <c r="C29" s="171"/>
    </row>
    <row r="30" spans="1:3" ht="16.5" thickTop="1" thickBot="1" x14ac:dyDescent="0.3">
      <c r="A30" s="167"/>
      <c r="B30" s="172"/>
      <c r="C30" s="173"/>
    </row>
    <row r="31" spans="1:3" ht="16.5" thickTop="1" thickBot="1" x14ac:dyDescent="0.3">
      <c r="A31" s="167"/>
      <c r="B31" s="172"/>
      <c r="C31" s="173"/>
    </row>
    <row r="32" spans="1:3" ht="16.5" thickTop="1" thickBot="1" x14ac:dyDescent="0.3">
      <c r="A32" s="167"/>
      <c r="B32" s="172"/>
      <c r="C32" s="173"/>
    </row>
    <row r="33" spans="1:3" ht="16.5" thickTop="1" thickBot="1" x14ac:dyDescent="0.3">
      <c r="A33" s="176"/>
      <c r="B33" s="172"/>
      <c r="C33" s="173"/>
    </row>
    <row r="34" spans="1:3" ht="24" customHeight="1" thickTop="1" thickBot="1" x14ac:dyDescent="0.3">
      <c r="A34" s="177" t="s">
        <v>157</v>
      </c>
      <c r="B34" s="178"/>
      <c r="C34" s="179"/>
    </row>
    <row r="35" spans="1:3" ht="24.75" customHeight="1" thickTop="1" x14ac:dyDescent="0.25">
      <c r="A35" s="180">
        <v>6</v>
      </c>
      <c r="B35" s="181"/>
      <c r="C35" s="182"/>
    </row>
    <row r="36" spans="1:3" x14ac:dyDescent="0.25">
      <c r="A36" s="183"/>
      <c r="B36" s="172"/>
      <c r="C36" s="173"/>
    </row>
    <row r="37" spans="1:3" x14ac:dyDescent="0.25">
      <c r="A37" s="183"/>
      <c r="B37" s="172"/>
      <c r="C37" s="173"/>
    </row>
    <row r="38" spans="1:3" x14ac:dyDescent="0.25">
      <c r="A38" s="183"/>
      <c r="B38" s="172"/>
      <c r="C38" s="173"/>
    </row>
    <row r="39" spans="1:3" ht="15.75" thickBot="1" x14ac:dyDescent="0.3">
      <c r="A39" s="184"/>
      <c r="B39" s="185"/>
      <c r="C39" s="186"/>
    </row>
    <row r="40" spans="1:3" ht="15.75" thickTop="1" x14ac:dyDescent="0.25"/>
  </sheetData>
  <mergeCells count="19">
    <mergeCell ref="A28:A33"/>
    <mergeCell ref="B28:C28"/>
    <mergeCell ref="B29:C33"/>
    <mergeCell ref="A34:C34"/>
    <mergeCell ref="A35:A39"/>
    <mergeCell ref="B35:C39"/>
    <mergeCell ref="A16:A21"/>
    <mergeCell ref="B16:C16"/>
    <mergeCell ref="B17:C21"/>
    <mergeCell ref="A22:A27"/>
    <mergeCell ref="B22:C22"/>
    <mergeCell ref="B23:C27"/>
    <mergeCell ref="A1:C1"/>
    <mergeCell ref="A2:A8"/>
    <mergeCell ref="B2:C2"/>
    <mergeCell ref="B3:C8"/>
    <mergeCell ref="A9:A15"/>
    <mergeCell ref="B9:C9"/>
    <mergeCell ref="B10:C15"/>
  </mergeCells>
  <pageMargins left="0.7" right="0.7" top="1.5" bottom="0.75" header="0.3" footer="0.3"/>
  <pageSetup paperSize="9" scale="55" orientation="portrait" r:id="rId1"/>
  <headerFooter>
    <oddHeader>&amp;C&amp;"Calibri,Bold"&amp;10&amp;K139119&amp;G</oddHeader>
    <oddFooter>&amp;C&amp;G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851E6-ED65-4E98-83E5-EB17E936A57E}">
  <sheetPr>
    <pageSetUpPr fitToPage="1"/>
  </sheetPr>
  <dimension ref="B9:F28"/>
  <sheetViews>
    <sheetView showGridLines="0" rightToLeft="1" view="pageLayout" topLeftCell="A27" zoomScaleNormal="74" zoomScaleSheetLayoutView="115" workbookViewId="0">
      <selection activeCell="F16" sqref="F16"/>
    </sheetView>
  </sheetViews>
  <sheetFormatPr defaultRowHeight="15" x14ac:dyDescent="0.25"/>
  <cols>
    <col min="2" max="2" width="23.5703125" bestFit="1" customWidth="1"/>
    <col min="6" max="6" width="16.140625" bestFit="1" customWidth="1"/>
    <col min="8" max="8" width="16.28515625" bestFit="1" customWidth="1"/>
  </cols>
  <sheetData>
    <row r="9" spans="2:6" ht="18" x14ac:dyDescent="0.25">
      <c r="B9" s="187"/>
      <c r="E9" t="s">
        <v>172</v>
      </c>
      <c r="F9" s="194" t="s">
        <v>78</v>
      </c>
    </row>
    <row r="10" spans="2:6" x14ac:dyDescent="0.25">
      <c r="B10" s="188" t="s">
        <v>158</v>
      </c>
      <c r="F10" s="189" t="s">
        <v>159</v>
      </c>
    </row>
    <row r="11" spans="2:6" x14ac:dyDescent="0.25">
      <c r="B11" s="188" t="s">
        <v>160</v>
      </c>
    </row>
    <row r="12" spans="2:6" x14ac:dyDescent="0.25">
      <c r="B12" t="s">
        <v>161</v>
      </c>
      <c r="F12" s="195" cm="1">
        <f t="array" ref="F12">+Table10[[#All],[Column4]]</f>
        <v>42659252.170000002</v>
      </c>
    </row>
    <row r="13" spans="2:6" x14ac:dyDescent="0.25">
      <c r="B13" s="188" t="s">
        <v>162</v>
      </c>
      <c r="F13" s="190">
        <f>SUM(F12)</f>
        <v>42659252.170000002</v>
      </c>
    </row>
    <row r="14" spans="2:6" x14ac:dyDescent="0.25">
      <c r="B14" s="188" t="s">
        <v>163</v>
      </c>
    </row>
    <row r="15" spans="2:6" x14ac:dyDescent="0.25">
      <c r="B15" t="s">
        <v>164</v>
      </c>
      <c r="F15" s="195">
        <f>+'(3) العمليات المالية'!B9+'(3) العمليات المالية'!B10+'(3) العمليات المالية'!B11+'(3) العمليات المالية'!B13</f>
        <v>253070723.41999996</v>
      </c>
    </row>
    <row r="16" spans="2:6" x14ac:dyDescent="0.25">
      <c r="B16" s="188" t="s">
        <v>165</v>
      </c>
      <c r="F16" s="191">
        <f>SUM(F15)</f>
        <v>253070723.41999996</v>
      </c>
    </row>
    <row r="17" spans="2:6" ht="15.75" thickBot="1" x14ac:dyDescent="0.3">
      <c r="B17" s="188" t="s">
        <v>166</v>
      </c>
      <c r="F17" s="192">
        <f>+F16+F13</f>
        <v>295729975.58999997</v>
      </c>
    </row>
    <row r="18" spans="2:6" ht="15.75" thickTop="1" x14ac:dyDescent="0.25"/>
    <row r="20" spans="2:6" x14ac:dyDescent="0.25">
      <c r="B20" s="188" t="s">
        <v>167</v>
      </c>
    </row>
    <row r="21" spans="2:6" x14ac:dyDescent="0.25">
      <c r="B21" s="188" t="s">
        <v>168</v>
      </c>
    </row>
    <row r="22" spans="2:6" x14ac:dyDescent="0.25">
      <c r="B22" t="s">
        <v>169</v>
      </c>
      <c r="F22" s="196">
        <f>+'(3) العمليات المالية'!D9-'(3) العمليات المالية'!B12</f>
        <v>286629975.58999997</v>
      </c>
    </row>
    <row r="23" spans="2:6" x14ac:dyDescent="0.25">
      <c r="B23" t="s">
        <v>10</v>
      </c>
      <c r="F23" s="196">
        <f>+'(3) العمليات المالية'!D10</f>
        <v>0</v>
      </c>
    </row>
    <row r="24" spans="2:6" x14ac:dyDescent="0.25">
      <c r="B24" t="s">
        <v>13</v>
      </c>
      <c r="F24" s="196">
        <f>+'(3) العمليات المالية'!D11</f>
        <v>0</v>
      </c>
    </row>
    <row r="25" spans="2:6" x14ac:dyDescent="0.25">
      <c r="B25" t="s">
        <v>15</v>
      </c>
      <c r="F25" s="196">
        <f>+'(3) العمليات المالية'!D12</f>
        <v>0</v>
      </c>
    </row>
    <row r="26" spans="2:6" x14ac:dyDescent="0.25">
      <c r="B26" t="s">
        <v>170</v>
      </c>
      <c r="F26" s="196">
        <f>+'(3) العمليات المالية'!D13+'(3) العمليات المالية'!D14-'(3) العمليات المالية'!B14</f>
        <v>9100000</v>
      </c>
    </row>
    <row r="27" spans="2:6" ht="15.75" thickBot="1" x14ac:dyDescent="0.3">
      <c r="B27" s="188" t="s">
        <v>171</v>
      </c>
      <c r="F27" s="192">
        <f>SUM(F22:F26)</f>
        <v>295729975.58999997</v>
      </c>
    </row>
    <row r="28" spans="2:6" ht="15.75" thickTop="1" x14ac:dyDescent="0.25">
      <c r="F28" s="193">
        <f>F17-F27</f>
        <v>0</v>
      </c>
    </row>
  </sheetData>
  <pageMargins left="0.23622047244094488" right="0.23622047244094488" top="1.1417322834645669" bottom="0.94488188976377951" header="0.31496062992125984" footer="0.31496062992125984"/>
  <pageSetup paperSize="9" fitToHeight="0" orientation="portrait" r:id="rId1"/>
  <headerFooter>
    <oddHeader>&amp;C&amp;"Calibri,Bold"&amp;10&amp;K139119&amp;G</oddHead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(1) البيانات الاساسية</vt:lpstr>
      <vt:lpstr>(2) وثائق الصرف</vt:lpstr>
      <vt:lpstr>Sheet1</vt:lpstr>
      <vt:lpstr>(3) العمليات المالية</vt:lpstr>
      <vt:lpstr>(4) وحدات المشروع</vt:lpstr>
      <vt:lpstr>(5) تحليل البيانات المالية</vt:lpstr>
      <vt:lpstr>(6) النتائج والملاحظات</vt:lpstr>
      <vt:lpstr>قائمة المركز المالي (7)</vt:lpstr>
      <vt:lpstr>'(6) النتائج والملاحظات'!Print_Area</vt:lpstr>
      <vt:lpstr>'قائمة المركز المالي (7)'!Print_Area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Bukhamseen</dc:creator>
  <cp:lastModifiedBy>Mahdi Bukhamseen</cp:lastModifiedBy>
  <cp:lastPrinted>2026-09-22T09:21:24Z</cp:lastPrinted>
  <dcterms:created xsi:type="dcterms:W3CDTF">2026-09-22T06:01:45Z</dcterms:created>
  <dcterms:modified xsi:type="dcterms:W3CDTF">2026-09-22T09:31:04Z</dcterms:modified>
</cp:coreProperties>
</file>