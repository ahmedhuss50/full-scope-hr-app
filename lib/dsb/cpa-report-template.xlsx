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drawings/drawing2.xml" ContentType="application/vnd.openxmlformats-officedocument.drawing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drawings/drawing3.xml" ContentType="application/vnd.openxmlformats-officedocument.drawing+xml"/>
  <Override PartName="/xl/tables/table16.xml" ContentType="application/vnd.openxmlformats-officedocument.spreadsheetml.table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mahdihb.sharepoint.com/sites/msteams_0acdb9/Shared Documents/OPP/الحبيب/إيال الاصالة/0 تقارير/2026/2 الربع الثاني إيال الاصالة 2026/"/>
    </mc:Choice>
  </mc:AlternateContent>
  <xr:revisionPtr revIDLastSave="18" documentId="13_ncr:1_{8BC9F5DF-87D2-48C9-913B-FA3E8EB4F2D5}" xr6:coauthVersionLast="47" xr6:coauthVersionMax="47" xr10:uidLastSave="{51D54D9A-00F9-4550-A476-C7C40949AD5C}"/>
  <bookViews>
    <workbookView xWindow="14295" yWindow="0" windowWidth="14610" windowHeight="15585" tabRatio="839" firstSheet="4" activeTab="7" xr2:uid="{00000000-000D-0000-FFFF-FFFF00000000}"/>
  </bookViews>
  <sheets>
    <sheet name="(1) البيانات الاساسية" sheetId="2" r:id="rId1"/>
    <sheet name="(2) وثائق الصرف" sheetId="8" r:id="rId2"/>
    <sheet name="Sheet1" sheetId="10" state="hidden" r:id="rId3"/>
    <sheet name="(3) العمليات المالية" sheetId="11" r:id="rId4"/>
    <sheet name="(4) وحدات المشروع" sheetId="4" r:id="rId5"/>
    <sheet name="(5) تحليل البيانات المالية" sheetId="9" r:id="rId6"/>
    <sheet name="(6) النتائج والملاحظات" sheetId="6" r:id="rId7"/>
    <sheet name="قائمة المركز المالي (7)" sheetId="7" r:id="rId8"/>
  </sheets>
  <definedNames>
    <definedName name="_xlnm.Print_Area" localSheetId="0">'(1) البيانات الاساسية'!$A$1:$D$36</definedName>
    <definedName name="_xlnm.Print_Area" localSheetId="1">'(2) وثائق الصرف'!$A$1:$L$199</definedName>
    <definedName name="_xlnm.Print_Area" localSheetId="3">'(3) العمليات المالية'!$A$1:$I$35</definedName>
    <definedName name="_xlnm.Print_Area" localSheetId="4">'(4) وحدات المشروع'!$A$1:$G$119</definedName>
    <definedName name="_xlnm.Print_Area" localSheetId="5">'(5) تحليل البيانات المالية'!$A$1:$E$26</definedName>
    <definedName name="_xlnm.Print_Area" localSheetId="6">'(6) النتائج والملاحظات'!$A$1:$C$35</definedName>
    <definedName name="_xlnm.Print_Area" localSheetId="7">'قائمة المركز المالي (7)'!$A$1:$G$31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3" i="7" l="1"/>
  <c r="F22" i="7" l="1"/>
  <c r="F24" i="7" l="1"/>
  <c r="I34" i="11"/>
  <c r="I15" i="11"/>
  <c r="I24" i="11" l="1"/>
  <c r="J8" i="10"/>
  <c r="K8" i="10" s="1"/>
  <c r="U8" i="10"/>
  <c r="F3" i="4"/>
  <c r="F2" i="4"/>
  <c r="F16" i="4"/>
  <c r="F4" i="4"/>
  <c r="F5" i="4"/>
  <c r="F6" i="4"/>
  <c r="F7" i="4"/>
  <c r="F8" i="4"/>
  <c r="F9" i="4"/>
  <c r="F10" i="4"/>
  <c r="F11" i="4"/>
  <c r="F12" i="4"/>
  <c r="F13" i="4"/>
  <c r="F14" i="4"/>
  <c r="F15" i="4"/>
  <c r="D15" i="11" l="1"/>
  <c r="C2" i="4"/>
  <c r="C3" i="4"/>
  <c r="B26" i="9" l="1"/>
  <c r="B25" i="9"/>
  <c r="C26" i="9"/>
  <c r="C25" i="9"/>
  <c r="E26" i="9" l="1"/>
  <c r="E25" i="9"/>
  <c r="D26" i="9"/>
  <c r="D25" i="9"/>
  <c r="E102" i="4"/>
  <c r="C102" i="4"/>
  <c r="D97" i="4" s="1"/>
  <c r="G87" i="4"/>
  <c r="D95" i="4" l="1"/>
  <c r="D94" i="4"/>
  <c r="D96" i="4"/>
  <c r="D93" i="4"/>
  <c r="D92" i="4"/>
  <c r="D91" i="4"/>
  <c r="D87" i="4"/>
  <c r="D102" i="4" s="1"/>
  <c r="D90" i="4"/>
  <c r="D101" i="4"/>
  <c r="D89" i="4"/>
  <c r="D100" i="4"/>
  <c r="D88" i="4"/>
  <c r="D99" i="4"/>
  <c r="D98" i="4"/>
  <c r="G89" i="4"/>
  <c r="G90" i="4"/>
  <c r="G91" i="4"/>
  <c r="G88" i="4"/>
  <c r="G92" i="4" l="1"/>
  <c r="G93" i="4"/>
  <c r="G94" i="4"/>
  <c r="G95" i="4" l="1"/>
  <c r="G96" i="4"/>
  <c r="G97" i="4" l="1"/>
  <c r="G98" i="4" l="1"/>
  <c r="G99" i="4" l="1"/>
  <c r="G100" i="4" l="1"/>
  <c r="G101" i="4" l="1"/>
  <c r="G102" i="4" s="1"/>
  <c r="F102" i="4"/>
  <c r="T8" i="10" l="1"/>
  <c r="C119" i="4"/>
  <c r="C24" i="11" l="1"/>
  <c r="C23" i="11" s="1"/>
  <c r="G34" i="11" l="1"/>
  <c r="D29" i="11" l="1"/>
  <c r="D11" i="2"/>
  <c r="B10" i="9"/>
  <c r="B2" i="9"/>
  <c r="F68" i="4"/>
  <c r="F34" i="4"/>
  <c r="E3" i="4"/>
  <c r="E4" i="4"/>
  <c r="E5" i="4"/>
  <c r="E6" i="4"/>
  <c r="E7" i="4"/>
  <c r="E8" i="4"/>
  <c r="G8" i="4" s="1"/>
  <c r="E9" i="4"/>
  <c r="G9" i="4" s="1"/>
  <c r="E10" i="4"/>
  <c r="G10" i="4" s="1"/>
  <c r="E11" i="4"/>
  <c r="G11" i="4" s="1"/>
  <c r="E12" i="4"/>
  <c r="E13" i="4"/>
  <c r="E14" i="4"/>
  <c r="G14" i="4" s="1"/>
  <c r="E15" i="4"/>
  <c r="G15" i="4" s="1"/>
  <c r="E16" i="4"/>
  <c r="G16" i="4" s="1"/>
  <c r="E2" i="4"/>
  <c r="B31" i="11"/>
  <c r="B15" i="11"/>
  <c r="G15" i="11"/>
  <c r="L196" i="8"/>
  <c r="B4" i="9"/>
  <c r="B13" i="9"/>
  <c r="B9" i="9"/>
  <c r="B3" i="9"/>
  <c r="E34" i="4"/>
  <c r="C34" i="4"/>
  <c r="F85" i="4"/>
  <c r="E85" i="4"/>
  <c r="C85" i="4"/>
  <c r="D84" i="4" s="1"/>
  <c r="G84" i="4"/>
  <c r="G83" i="4"/>
  <c r="G82" i="4"/>
  <c r="G81" i="4"/>
  <c r="G80" i="4"/>
  <c r="G79" i="4"/>
  <c r="G78" i="4"/>
  <c r="G77" i="4"/>
  <c r="G76" i="4"/>
  <c r="G75" i="4"/>
  <c r="G74" i="4"/>
  <c r="G73" i="4"/>
  <c r="G72" i="4"/>
  <c r="G71" i="4"/>
  <c r="G70" i="4"/>
  <c r="F51" i="4"/>
  <c r="G67" i="4"/>
  <c r="G66" i="4"/>
  <c r="G65" i="4"/>
  <c r="G64" i="4"/>
  <c r="G63" i="4"/>
  <c r="G62" i="4"/>
  <c r="G61" i="4"/>
  <c r="G60" i="4"/>
  <c r="G59" i="4"/>
  <c r="G58" i="4"/>
  <c r="G57" i="4"/>
  <c r="G56" i="4"/>
  <c r="G55" i="4"/>
  <c r="G53" i="4"/>
  <c r="G36" i="4"/>
  <c r="G19" i="4"/>
  <c r="G25" i="4"/>
  <c r="G26" i="4"/>
  <c r="G27" i="4"/>
  <c r="G28" i="4"/>
  <c r="G29" i="4"/>
  <c r="G30" i="4"/>
  <c r="G31" i="4"/>
  <c r="G32" i="4"/>
  <c r="G33" i="4"/>
  <c r="G12" i="4"/>
  <c r="G13" i="4"/>
  <c r="F17" i="4"/>
  <c r="G24" i="4"/>
  <c r="G23" i="4"/>
  <c r="G22" i="4"/>
  <c r="G21" i="4"/>
  <c r="G20" i="4"/>
  <c r="C5" i="4"/>
  <c r="C8" i="4"/>
  <c r="C9" i="4"/>
  <c r="C10" i="4"/>
  <c r="C11" i="4"/>
  <c r="C12" i="4"/>
  <c r="C13" i="4"/>
  <c r="C14" i="4"/>
  <c r="C15" i="4"/>
  <c r="C16" i="4"/>
  <c r="C4" i="4"/>
  <c r="C6" i="4"/>
  <c r="C7" i="4"/>
  <c r="B18" i="11"/>
  <c r="G24" i="11"/>
  <c r="D35" i="2"/>
  <c r="D8" i="2" s="1"/>
  <c r="C35" i="2"/>
  <c r="F15" i="7" l="1"/>
  <c r="F16" i="7" s="1"/>
  <c r="D18" i="11"/>
  <c r="F12" i="7" s="1" a="1"/>
  <c r="F12" i="7" s="1"/>
  <c r="B29" i="11"/>
  <c r="B30" i="11" s="1"/>
  <c r="B32" i="11" s="1"/>
  <c r="L8" i="10"/>
  <c r="D12" i="2"/>
  <c r="B24" i="9"/>
  <c r="G85" i="4"/>
  <c r="E17" i="4"/>
  <c r="G2" i="4"/>
  <c r="D30" i="11"/>
  <c r="C17" i="4"/>
  <c r="C68" i="4" s="1"/>
  <c r="D33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G34" i="4"/>
  <c r="D70" i="4"/>
  <c r="D74" i="4"/>
  <c r="D78" i="4"/>
  <c r="D80" i="4"/>
  <c r="D82" i="4"/>
  <c r="D75" i="4"/>
  <c r="D76" i="4"/>
  <c r="D81" i="4"/>
  <c r="D71" i="4"/>
  <c r="D72" i="4"/>
  <c r="D73" i="4"/>
  <c r="D77" i="4"/>
  <c r="D79" i="4"/>
  <c r="D83" i="4"/>
  <c r="G40" i="4"/>
  <c r="G37" i="4"/>
  <c r="G54" i="4" l="1"/>
  <c r="G68" i="4" s="1"/>
  <c r="E68" i="4"/>
  <c r="D85" i="4"/>
  <c r="B16" i="9" a="1"/>
  <c r="F13" i="7"/>
  <c r="F17" i="7" s="1"/>
  <c r="F25" i="7" s="1"/>
  <c r="D2" i="4"/>
  <c r="D117" i="4"/>
  <c r="D104" i="4"/>
  <c r="D118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0" i="4"/>
  <c r="D9" i="4"/>
  <c r="D7" i="4"/>
  <c r="D6" i="4"/>
  <c r="D4" i="4"/>
  <c r="D3" i="4"/>
  <c r="D16" i="4"/>
  <c r="D15" i="4"/>
  <c r="D14" i="4"/>
  <c r="D13" i="4"/>
  <c r="D12" i="4"/>
  <c r="D8" i="4"/>
  <c r="D5" i="4"/>
  <c r="D11" i="4"/>
  <c r="D65" i="4"/>
  <c r="D67" i="4"/>
  <c r="D54" i="4"/>
  <c r="D55" i="4"/>
  <c r="D56" i="4"/>
  <c r="D57" i="4"/>
  <c r="D58" i="4"/>
  <c r="D59" i="4"/>
  <c r="D60" i="4"/>
  <c r="D61" i="4"/>
  <c r="D62" i="4"/>
  <c r="D63" i="4"/>
  <c r="D64" i="4"/>
  <c r="D66" i="4"/>
  <c r="D53" i="4"/>
  <c r="D34" i="4"/>
  <c r="G38" i="4"/>
  <c r="G39" i="4"/>
  <c r="D68" i="4" l="1"/>
  <c r="D119" i="4"/>
  <c r="D17" i="4"/>
  <c r="G41" i="4"/>
  <c r="G3" i="4"/>
  <c r="G4" i="4"/>
  <c r="G5" i="4"/>
  <c r="G6" i="4"/>
  <c r="G7" i="4"/>
  <c r="G17" i="4" l="1"/>
  <c r="G42" i="4"/>
  <c r="G43" i="4" l="1"/>
  <c r="G44" i="4" l="1"/>
  <c r="G45" i="4"/>
  <c r="G46" i="4" l="1"/>
  <c r="G47" i="4" l="1"/>
  <c r="G48" i="4" l="1"/>
  <c r="G49" i="4" l="1"/>
  <c r="C51" i="4" l="1"/>
  <c r="D50" i="4" s="1"/>
  <c r="E51" i="4"/>
  <c r="G50" i="4"/>
  <c r="G51" i="4" s="1"/>
  <c r="C24" i="9" l="1"/>
  <c r="D49" i="4"/>
  <c r="D48" i="4"/>
  <c r="D47" i="4"/>
  <c r="D46" i="4"/>
  <c r="D45" i="4"/>
  <c r="D43" i="4"/>
  <c r="D44" i="4"/>
  <c r="D42" i="4"/>
  <c r="D39" i="4"/>
  <c r="D36" i="4"/>
  <c r="D37" i="4"/>
  <c r="D38" i="4"/>
  <c r="D40" i="4"/>
  <c r="D41" i="4"/>
  <c r="E24" i="9" l="1"/>
  <c r="D24" i="9"/>
  <c r="D51" i="4"/>
  <c r="B16" i="9"/>
  <c r="B17" i="9" s="1"/>
  <c r="B18" i="9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<sst xmlns="http://schemas.openxmlformats.org/spreadsheetml/2006/main" count="1216" uniqueCount="433">
  <si>
    <t>اسم مكتب المحاسب القانوني</t>
  </si>
  <si>
    <t>تاريخ التقرير</t>
  </si>
  <si>
    <t>اسم المطور</t>
  </si>
  <si>
    <t>رقم ترخيص المشروع</t>
  </si>
  <si>
    <t>اسم المشروع</t>
  </si>
  <si>
    <t>الاسم</t>
  </si>
  <si>
    <t>نوع الوحدات</t>
  </si>
  <si>
    <t>البيان</t>
  </si>
  <si>
    <t>العدد</t>
  </si>
  <si>
    <t>رقم الجوال</t>
  </si>
  <si>
    <t>شقق</t>
  </si>
  <si>
    <t>فلل</t>
  </si>
  <si>
    <t>سعر الارض</t>
  </si>
  <si>
    <t>إجمالي قيمة وحدات المشروع</t>
  </si>
  <si>
    <t>مكاتب تجارية</t>
  </si>
  <si>
    <t>أراضي صناعية</t>
  </si>
  <si>
    <t>الإجمالي</t>
  </si>
  <si>
    <t>آمين الحساب (البنك)</t>
  </si>
  <si>
    <t>البريد الإلكتروني</t>
  </si>
  <si>
    <t xml:space="preserve">البيانات الأساسية للمشروع </t>
  </si>
  <si>
    <t xml:space="preserve">وحدات المشروع </t>
  </si>
  <si>
    <t>بيانات معد التقرير</t>
  </si>
  <si>
    <t>رقم وثيقة الصرف</t>
  </si>
  <si>
    <t>تاريخ الدفع</t>
  </si>
  <si>
    <t>المبلغ</t>
  </si>
  <si>
    <t>العمليات المدينة</t>
  </si>
  <si>
    <t>العمليات الدائنة</t>
  </si>
  <si>
    <t>تحصيل من العملاء</t>
  </si>
  <si>
    <t>تمويل بنكي</t>
  </si>
  <si>
    <t>تمويل ذاتي</t>
  </si>
  <si>
    <t>تمويل الوزارة</t>
  </si>
  <si>
    <t>أخرى (مع ذكر السبب)</t>
  </si>
  <si>
    <t>اجمالي العمليات الدائنة</t>
  </si>
  <si>
    <t>تكاليف انشائية</t>
  </si>
  <si>
    <t>مصاريف ادارية وتسويقية</t>
  </si>
  <si>
    <t>ايداعات عملاء مستردة</t>
  </si>
  <si>
    <t>عمولات بنكية</t>
  </si>
  <si>
    <t>اجمالي العمليات المدينة</t>
  </si>
  <si>
    <t xml:space="preserve">العمليات المالية منذ البدء بالمشروع </t>
  </si>
  <si>
    <t xml:space="preserve"> العمليات المالية خلال الفترة</t>
  </si>
  <si>
    <t>رصيد افتتاح الفترة</t>
  </si>
  <si>
    <t>رصيد اغلاق الفترة</t>
  </si>
  <si>
    <t>البنود</t>
  </si>
  <si>
    <t>بيان نوع الوحدات</t>
  </si>
  <si>
    <t>عدد</t>
  </si>
  <si>
    <t>نسبة</t>
  </si>
  <si>
    <t>قيمة الوحدات</t>
  </si>
  <si>
    <t>قيمة المحصل من الوحدات المباعة</t>
  </si>
  <si>
    <t>اجمالي الوحدات المباعة خلال الفترة</t>
  </si>
  <si>
    <t>اجمالي الوحدات المباعة منذ بداية المشروع</t>
  </si>
  <si>
    <t>اجمالي الوحدات المتبقية للمشروع</t>
  </si>
  <si>
    <t>إجمالي وحدات المشروع</t>
  </si>
  <si>
    <t xml:space="preserve">النسبة المسموح بها للمصاريف الإدارية والتسويقية </t>
  </si>
  <si>
    <t>الحد المسموح التصرف به للمصاريف الإدارية والتسويقية</t>
  </si>
  <si>
    <t>المبلغ المتبقي</t>
  </si>
  <si>
    <t>إجمالي قيمة الوحدات المباعة والمحصل قيمتها</t>
  </si>
  <si>
    <t>(20% من قيمة الوحدة المباعة والمحصل قيمتها)</t>
  </si>
  <si>
    <t xml:space="preserve">النسبة الواجب توفرها بحساب الضمان </t>
  </si>
  <si>
    <t>الحد الأدنى الواجب توفره في حساب الضمان</t>
  </si>
  <si>
    <t>الحد المسموح التصرف به من حساب الضمان</t>
  </si>
  <si>
    <t>(4% من قيمة الوحدة المباعة والمحصل قيمتها)</t>
  </si>
  <si>
    <t>المتبقي</t>
  </si>
  <si>
    <t>رصيد إغلاق الربع السابق</t>
  </si>
  <si>
    <t>المنطقة</t>
  </si>
  <si>
    <t>المدينة</t>
  </si>
  <si>
    <t>تاريخ بداية المشروع</t>
  </si>
  <si>
    <t>تاريخ نهاية المشروع</t>
  </si>
  <si>
    <t>فرق الأيام</t>
  </si>
  <si>
    <t>المحاسب القانوني</t>
  </si>
  <si>
    <t xml:space="preserve">الفعلي  </t>
  </si>
  <si>
    <t>اجمالي قيمة وحدات المشروع</t>
  </si>
  <si>
    <t xml:space="preserve">عدد مرات سحب الفائض </t>
  </si>
  <si>
    <t>اجمالي قيمة سحوبات الفائض</t>
  </si>
  <si>
    <t>رقم الترخيص</t>
  </si>
  <si>
    <t>اسم  المشروع</t>
  </si>
  <si>
    <t>الحي</t>
  </si>
  <si>
    <t xml:space="preserve">الاستشاري الهندسي </t>
  </si>
  <si>
    <t>آمين الحساب</t>
  </si>
  <si>
    <t>بيانات المشروع</t>
  </si>
  <si>
    <t>أرصدة حساب الضمان</t>
  </si>
  <si>
    <t xml:space="preserve">عدد الوحدات المسلمة </t>
  </si>
  <si>
    <t xml:space="preserve">نتائج ومرئيات </t>
  </si>
  <si>
    <t>المبيعات</t>
  </si>
  <si>
    <t xml:space="preserve">المصروفات </t>
  </si>
  <si>
    <t>التحصيل / التمويل</t>
  </si>
  <si>
    <t>المقدر  (دراسة الجدوى)</t>
  </si>
  <si>
    <t>الفرق</t>
  </si>
  <si>
    <t>%</t>
  </si>
  <si>
    <t xml:space="preserve"> التكاليف الإدارية و التسويقية </t>
  </si>
  <si>
    <t xml:space="preserve">وثائق الصرف </t>
  </si>
  <si>
    <t>رقم حساب الضمان (ايبان)</t>
  </si>
  <si>
    <t>اجمالي التكاليف التقديرية</t>
  </si>
  <si>
    <t>اجمالي التكاليف الانشائية التقديرية</t>
  </si>
  <si>
    <t>إجمالي التكاليف الإدارية التسويقية التقديرية</t>
  </si>
  <si>
    <t>تاريخ الوثيقة</t>
  </si>
  <si>
    <t>تاريخ اعتماد الوثيقة</t>
  </si>
  <si>
    <t>#</t>
  </si>
  <si>
    <t xml:space="preserve">إجمالي المنصرف من الإدارية والتسويقية </t>
  </si>
  <si>
    <t>العمليات المالية من خارج حساب الضمان (إن وجدت)</t>
  </si>
  <si>
    <t>البند</t>
  </si>
  <si>
    <t>اسم المستفيد</t>
  </si>
  <si>
    <t>صفة المستفيد</t>
  </si>
  <si>
    <t>مقاول</t>
  </si>
  <si>
    <t>مورد</t>
  </si>
  <si>
    <t>ممول</t>
  </si>
  <si>
    <t>بيان الصرف</t>
  </si>
  <si>
    <t>مشتري</t>
  </si>
  <si>
    <t>مسوق</t>
  </si>
  <si>
    <t>القيود المالية</t>
  </si>
  <si>
    <t>الوحدات التي تم الغاء بيعها</t>
  </si>
  <si>
    <t>الفائض بعد حجز 5% الحفظ</t>
  </si>
  <si>
    <t>الفائض بعد حجز  20% من التكلفة الانشائية المتبقية لاستكمال المشروع</t>
  </si>
  <si>
    <t>صافي الفائض المتاح</t>
  </si>
  <si>
    <t>تحليل المعطيات التقديرية والفعلية</t>
  </si>
  <si>
    <t>ملاحظات  أخرى</t>
  </si>
  <si>
    <t>دوبلكس</t>
  </si>
  <si>
    <t>أراضي سكنية</t>
  </si>
  <si>
    <t>أراضي تجارية</t>
  </si>
  <si>
    <t>أراضي زراعية</t>
  </si>
  <si>
    <t>أراضي سياحية</t>
  </si>
  <si>
    <t>أدوار</t>
  </si>
  <si>
    <t>تاون هاوس</t>
  </si>
  <si>
    <t>غرف فندقية</t>
  </si>
  <si>
    <t>أجنحة فندقية</t>
  </si>
  <si>
    <t>بنت هاوس</t>
  </si>
  <si>
    <t>بند وثائق الصرف</t>
  </si>
  <si>
    <t xml:space="preserve">انشائي </t>
  </si>
  <si>
    <t xml:space="preserve">اداري </t>
  </si>
  <si>
    <t xml:space="preserve">تسويقي </t>
  </si>
  <si>
    <t xml:space="preserve"> الحفظ (حسن التنفيذ)</t>
  </si>
  <si>
    <t>أخرى</t>
  </si>
  <si>
    <t>أخرى (يتم ذكر صفة المستفيد في بيان الصرف)</t>
  </si>
  <si>
    <t>المبلغ2</t>
  </si>
  <si>
    <r>
      <rPr>
        <sz val="14"/>
        <color theme="1"/>
        <rFont val="Times New Roman"/>
        <family val="1"/>
      </rPr>
      <t xml:space="preserve"> </t>
    </r>
    <r>
      <rPr>
        <sz val="14"/>
        <color theme="1"/>
        <rFont val="Sakkal Majalla"/>
      </rPr>
      <t xml:space="preserve">المصاريف الإدارية التسويقي - الغير انشائية : 20% </t>
    </r>
  </si>
  <si>
    <r>
      <rPr>
        <b/>
        <sz val="14"/>
        <color theme="1"/>
        <rFont val="Times New Roman"/>
        <family val="1"/>
      </rPr>
      <t xml:space="preserve">  </t>
    </r>
    <r>
      <rPr>
        <b/>
        <sz val="14"/>
        <color theme="1"/>
        <rFont val="Sakkal Majalla"/>
      </rPr>
      <t>حساب الحفظ: 5%</t>
    </r>
  </si>
  <si>
    <t>العمليات المالية المتوقعة للربع القادم من العام الحالي (يتم ادخال العمليات المالية المتوقعة للربع القادم)</t>
  </si>
  <si>
    <t>التكلفة المتبقية</t>
  </si>
  <si>
    <t xml:space="preserve"> 20% من التكلفة الانشائية المتبقية</t>
  </si>
  <si>
    <t>حجز مبلغ الحفظ</t>
  </si>
  <si>
    <t>اسم المقاول</t>
  </si>
  <si>
    <t>اسم المقاول 2</t>
  </si>
  <si>
    <t>اسم المقاول 3</t>
  </si>
  <si>
    <t>اسم المقاول 4</t>
  </si>
  <si>
    <t xml:space="preserve">قيمة عقد المقاول </t>
  </si>
  <si>
    <t>قيمة عقد المقاول 2</t>
  </si>
  <si>
    <t>قيمة عقد المقاول 3</t>
  </si>
  <si>
    <t>قيمة عقد المقاول 4</t>
  </si>
  <si>
    <t>تقرير الربع</t>
  </si>
  <si>
    <t xml:space="preserve">تقرير الربع </t>
  </si>
  <si>
    <t>Q1</t>
  </si>
  <si>
    <t>Q2</t>
  </si>
  <si>
    <t>Q3</t>
  </si>
  <si>
    <t>Q4</t>
  </si>
  <si>
    <t>البنك</t>
  </si>
  <si>
    <t>البنك العربي الوطني</t>
  </si>
  <si>
    <t>مصرف الانماء</t>
  </si>
  <si>
    <t>البنك الأهلي السعودي</t>
  </si>
  <si>
    <t>البنك السعودي الأول</t>
  </si>
  <si>
    <t>البنك السعودي الفرنسي</t>
  </si>
  <si>
    <t xml:space="preserve">بنك الامارات دبي الوطني </t>
  </si>
  <si>
    <t>بنك البلاد</t>
  </si>
  <si>
    <t>بنك الجزيرة</t>
  </si>
  <si>
    <t>بنك الخليج الدولي</t>
  </si>
  <si>
    <t>بنك الرياض</t>
  </si>
  <si>
    <t>بنك الكويت الوطني</t>
  </si>
  <si>
    <t>مصرف الراجحي</t>
  </si>
  <si>
    <t>اجمالي قيمة  الوحدات</t>
  </si>
  <si>
    <t>حالة الوثيقة</t>
  </si>
  <si>
    <t>مقدم</t>
  </si>
  <si>
    <t>مستحق</t>
  </si>
  <si>
    <t>-</t>
  </si>
  <si>
    <t>حساب الحفظ من الايداعات</t>
  </si>
  <si>
    <t>حساب الحفظ من التكلفة الانشائية</t>
  </si>
  <si>
    <t>تكاليف انشائية تسويات (دفعة مقدمة)</t>
  </si>
  <si>
    <t>حساب الحفظ</t>
  </si>
  <si>
    <t xml:space="preserve">نسبة هامش الربح المتوقع </t>
  </si>
  <si>
    <t>تفاصيل الدفعة المقدمة</t>
  </si>
  <si>
    <t>الرصيد الافتتاحي للدفعة المقدمة</t>
  </si>
  <si>
    <t>المدين</t>
  </si>
  <si>
    <t>المتبقي من الدفعة المقدمة</t>
  </si>
  <si>
    <t>ما تم إنجازه من الدفعة المقدمة (تراكمي)</t>
  </si>
  <si>
    <t xml:space="preserve">نوع حساب الضمان </t>
  </si>
  <si>
    <t>تكاليف انشائية  (الدفعة المقدمة المتبقية)</t>
  </si>
  <si>
    <t>تكاليف انشائية  (تسويات الدفعة المقدمة)</t>
  </si>
  <si>
    <t xml:space="preserve"> التكاليف الانشائية </t>
  </si>
  <si>
    <t>حساب الانشاءات</t>
  </si>
  <si>
    <t>حساب الإداري والتسويقي</t>
  </si>
  <si>
    <t>نسبة (من الوحدات المرخصة)</t>
  </si>
  <si>
    <t>مبلغ الفائض (الأرباح تقديري)</t>
  </si>
  <si>
    <t>المخاطرالحالية المتوقعة على المشروع</t>
  </si>
  <si>
    <t>المخاطر المستقبلية المتوقعة على المشروع</t>
  </si>
  <si>
    <t>قيمة المحصل من الوحدات المباعة (متوقع)</t>
  </si>
  <si>
    <t>الوحدات المتوقع بيعها خلال الربع القادم (يتم ادخال المبيعات المتوقعة للربع القادم)</t>
  </si>
  <si>
    <t>الموجودات</t>
  </si>
  <si>
    <t>(بالريال السعودي)</t>
  </si>
  <si>
    <t>الموجودات المتداولة</t>
  </si>
  <si>
    <t>نقد وما في حكمه</t>
  </si>
  <si>
    <t>اجمالي الموجودات المتداولة</t>
  </si>
  <si>
    <t>الموجودات غير المتداولة</t>
  </si>
  <si>
    <t>تكاليف عقود</t>
  </si>
  <si>
    <t>اجمالي الموجودات غير المتداولة</t>
  </si>
  <si>
    <t>اجمالي الموجودات</t>
  </si>
  <si>
    <t>المطلوبات</t>
  </si>
  <si>
    <t>المطلوبات المتداولة</t>
  </si>
  <si>
    <t>المبالغ المقدمة من المشترين</t>
  </si>
  <si>
    <t>أرصدة دائنة أخرى</t>
  </si>
  <si>
    <t>اجمالي المطلوبات</t>
  </si>
  <si>
    <t>أخرى (حوالة خاطئة)</t>
  </si>
  <si>
    <t>اجمالي تحصيل من العملاء</t>
  </si>
  <si>
    <t>أخرى (حوالة خاطئة) دائنه</t>
  </si>
  <si>
    <t>كما في 30 يونيو 2026</t>
  </si>
  <si>
    <t>أخرى()</t>
  </si>
  <si>
    <t>الأستاذ مهدي بوخمسين</t>
  </si>
  <si>
    <t>mahdi@etqan-cpa.sa</t>
  </si>
  <si>
    <t>أ/208</t>
  </si>
  <si>
    <t>ايال الاصالة</t>
  </si>
  <si>
    <t xml:space="preserve">شركة محمد الحبيب العقارية </t>
  </si>
  <si>
    <t>شركة إتقان للاستشارات المهنية</t>
  </si>
  <si>
    <t>شركة مجرة البناء للمقاولات</t>
  </si>
  <si>
    <t>ST001</t>
  </si>
  <si>
    <t>مستخلص أعمال رقم 1</t>
  </si>
  <si>
    <t>ST002</t>
  </si>
  <si>
    <t>مستخلص أعمال رقم 2</t>
  </si>
  <si>
    <t>ST003</t>
  </si>
  <si>
    <t>مستخلص أعمال رقم 3</t>
  </si>
  <si>
    <t>ST004</t>
  </si>
  <si>
    <t>مستخلص أعمال رقم 4</t>
  </si>
  <si>
    <t>ST0005</t>
  </si>
  <si>
    <t>ST0006</t>
  </si>
  <si>
    <t>مستخلص أعمال رقم 5</t>
  </si>
  <si>
    <t>ST0008</t>
  </si>
  <si>
    <t>ST0007</t>
  </si>
  <si>
    <t>ST0009</t>
  </si>
  <si>
    <t>مستخلص أعمال رقم 6</t>
  </si>
  <si>
    <t>ST0010</t>
  </si>
  <si>
    <t>مستخلص أعمال رقم 7</t>
  </si>
  <si>
    <t>SAT0012</t>
  </si>
  <si>
    <t>مستخلص أعمال رقم 8</t>
  </si>
  <si>
    <t>SAT0013</t>
  </si>
  <si>
    <t>الشركة الوطنية للاسكان</t>
  </si>
  <si>
    <t>فاتورة تطوير ارض</t>
  </si>
  <si>
    <t>SAT0014</t>
  </si>
  <si>
    <t>SAT0015</t>
  </si>
  <si>
    <t>مستخلص أعمال رقم 9</t>
  </si>
  <si>
    <t>SAT0016</t>
  </si>
  <si>
    <t>SAT0017</t>
  </si>
  <si>
    <t>مستخلص أعمال رقم 10</t>
  </si>
  <si>
    <t>SAT0018</t>
  </si>
  <si>
    <t>SAT0011A</t>
  </si>
  <si>
    <t>SAT0011</t>
  </si>
  <si>
    <t>تكاليف تطوير بنية تحتية دفعة 1</t>
  </si>
  <si>
    <t>SAT0019</t>
  </si>
  <si>
    <t>مستخلص أعمال رقم 11</t>
  </si>
  <si>
    <t>SAT0020</t>
  </si>
  <si>
    <t>قيمة تطوير الأرض دفعة 6 بالمتر 500 ريال</t>
  </si>
  <si>
    <t>SAT0021</t>
  </si>
  <si>
    <t>قيمة تطوير الأرض دفعة 7 بالمتر 500 ريال</t>
  </si>
  <si>
    <t>SAT0022</t>
  </si>
  <si>
    <t>مستخلص أعمال رقم 12</t>
  </si>
  <si>
    <t>SAT0023</t>
  </si>
  <si>
    <t>مستخلص أعمال رقم 13 جزئي</t>
  </si>
  <si>
    <t>SAT0024</t>
  </si>
  <si>
    <t>ST0025</t>
  </si>
  <si>
    <t>مستخلص أعمال رقم 14</t>
  </si>
  <si>
    <t>ST0026</t>
  </si>
  <si>
    <t>مستخلص أعمال رقم 15</t>
  </si>
  <si>
    <t>ST0027</t>
  </si>
  <si>
    <t>قيمة تطوير الأرض دفعة 8  بالمتر 500 ريال (انشائي)</t>
  </si>
  <si>
    <t>ST0028</t>
  </si>
  <si>
    <t>مستخلص أعمال رقم 16</t>
  </si>
  <si>
    <t>ST0029</t>
  </si>
  <si>
    <t>مستخلص أعمال رقم 17</t>
  </si>
  <si>
    <t>ST0030</t>
  </si>
  <si>
    <t xml:space="preserve">قيمة تطوير الأرض دفعة 9 ديسمبر 2025م </t>
  </si>
  <si>
    <t>ST0031</t>
  </si>
  <si>
    <t>مستخلص أعمال رقم 18 جزء 1</t>
  </si>
  <si>
    <t>ST032</t>
  </si>
  <si>
    <t>مستخلص أعمال رقم 18 جزء 2</t>
  </si>
  <si>
    <t>ST033</t>
  </si>
  <si>
    <t>مستخلص أعمال رقم 18 جزء 3</t>
  </si>
  <si>
    <t>ST034</t>
  </si>
  <si>
    <t>مستخلص أعمال رقم 19 جزء 1</t>
  </si>
  <si>
    <t>ST035</t>
  </si>
  <si>
    <t>مستخلص أعمال رقم 19 جزء 2</t>
  </si>
  <si>
    <t>ST037</t>
  </si>
  <si>
    <t>مستخلص اعمال 20 جزء 1</t>
  </si>
  <si>
    <t>ST036</t>
  </si>
  <si>
    <t>مستخلص اعمال 20 جزء 2</t>
  </si>
  <si>
    <t>MAN001</t>
  </si>
  <si>
    <t>شركة محمد عبد العزيز الحبيب وشركاه للاستثمار العقاري</t>
  </si>
  <si>
    <t>فواتير الاستشاري الهندسي والمراقب المالي</t>
  </si>
  <si>
    <t>MAN004</t>
  </si>
  <si>
    <t>23/12/2024</t>
  </si>
  <si>
    <t xml:space="preserve"> شركة نبيل عباس للاستشارات الهندسية</t>
  </si>
  <si>
    <t>رواتب الكادر الهندسي عن نوفمبر 2024</t>
  </si>
  <si>
    <t>MAN003</t>
  </si>
  <si>
    <t>الشركة الوطنية للإسكان</t>
  </si>
  <si>
    <t>خدمات تطوير فبراير ومارس</t>
  </si>
  <si>
    <t>MAN002</t>
  </si>
  <si>
    <t>شركة إتقان المكان المحدودة</t>
  </si>
  <si>
    <t>عمولة المسوق العقاري عن تسويق وبيع وحدات المشروع</t>
  </si>
  <si>
    <t>MAN005</t>
  </si>
  <si>
    <t>رواتب الكادر الهندسي عن ديسمبر 2024</t>
  </si>
  <si>
    <t>MAN006</t>
  </si>
  <si>
    <t>شركة اتقان للاستشارات المهنية</t>
  </si>
  <si>
    <t>اتعاب المراقب المالي لشهر ديسمبر 2024</t>
  </si>
  <si>
    <t>MAN007</t>
  </si>
  <si>
    <t>15/1/2025</t>
  </si>
  <si>
    <t>عمولة 3% خدمات التطوير من شهر ابريل - ديسمبر 2024</t>
  </si>
  <si>
    <t>MAN009</t>
  </si>
  <si>
    <t>اتعاب الاستشاري الهندسي عن شهر يناير 2025</t>
  </si>
  <si>
    <t>MAN008</t>
  </si>
  <si>
    <t>جزء من اتعاب فاتوة تسويق ديسمبر 2024</t>
  </si>
  <si>
    <t>MAN010</t>
  </si>
  <si>
    <t>19/2/2025</t>
  </si>
  <si>
    <t>عمولة 3% خدمات التطوير يناير 2025</t>
  </si>
  <si>
    <t>MAN013</t>
  </si>
  <si>
    <t>اتعاب الاستشاري الهندسي عن شهر فبراير 2025</t>
  </si>
  <si>
    <t>MAN012</t>
  </si>
  <si>
    <t>24/3/2025</t>
  </si>
  <si>
    <t>MAN00018</t>
  </si>
  <si>
    <t>14/5/2025</t>
  </si>
  <si>
    <t>رواتب الكادر الهندسي لشهر أبريل 2025</t>
  </si>
  <si>
    <t>MAN00011</t>
  </si>
  <si>
    <t>16/4/2025</t>
  </si>
  <si>
    <t>فاتورة أتعاب الإشراف المحاسبي شهر 1 و2 و3 2025</t>
  </si>
  <si>
    <t>17/4/2025</t>
  </si>
  <si>
    <t>MAN00014A</t>
  </si>
  <si>
    <t>16/5/2025</t>
  </si>
  <si>
    <t>رسوم الأشراف والمتابعة للنصف الثاني عام 2024</t>
  </si>
  <si>
    <t>MAN00015</t>
  </si>
  <si>
    <t>رسوم الأشراف والمتابعة للنصف الأول عام 2024</t>
  </si>
  <si>
    <t>MAN00016</t>
  </si>
  <si>
    <t>الدفعة الأولى من قيمة العقد بعد انجاز 25%</t>
  </si>
  <si>
    <t>MAN00014</t>
  </si>
  <si>
    <t>رواتب الكادر الهندسي لشهر مارس 2025</t>
  </si>
  <si>
    <t>MAN00017</t>
  </si>
  <si>
    <t>فاتورة عمولة تسويق وبيع 222 فيلا</t>
  </si>
  <si>
    <t>MAN00019</t>
  </si>
  <si>
    <t>21/5/2025</t>
  </si>
  <si>
    <t>فاتورة أتعاب الإشراف المحاسبي أبريل 2025</t>
  </si>
  <si>
    <t>MAN00020</t>
  </si>
  <si>
    <t>MAN00022</t>
  </si>
  <si>
    <t>رواتب الكادر الهندسي لشهر مايو 2025</t>
  </si>
  <si>
    <t>MAN00021</t>
  </si>
  <si>
    <t>فاتورة عمولة تسويق وبيع 62 فيلا</t>
  </si>
  <si>
    <t>MAN00023</t>
  </si>
  <si>
    <t>17/6/2025</t>
  </si>
  <si>
    <t>فاتورة أتعاب الإشراف المحاسبي مايو 2025</t>
  </si>
  <si>
    <t>18/6/2025</t>
  </si>
  <si>
    <t>MAN0024</t>
  </si>
  <si>
    <t>أتعاب شهرية للاستشاري الهندسي</t>
  </si>
  <si>
    <t>MAN0025</t>
  </si>
  <si>
    <t>17/07/2025</t>
  </si>
  <si>
    <t>أتعاب المراقب المالي</t>
  </si>
  <si>
    <t>20/07/2025</t>
  </si>
  <si>
    <t>MAN0027</t>
  </si>
  <si>
    <t>أتعاب تسويق وبيع</t>
  </si>
  <si>
    <t>MAN0026</t>
  </si>
  <si>
    <t>MAN0028</t>
  </si>
  <si>
    <t>عمولة خدمات تطوير</t>
  </si>
  <si>
    <t>MAN0029</t>
  </si>
  <si>
    <t>MAN0030</t>
  </si>
  <si>
    <t>25/08/2025</t>
  </si>
  <si>
    <t>MAN0031</t>
  </si>
  <si>
    <t>MAN0033</t>
  </si>
  <si>
    <t>MAN0032</t>
  </si>
  <si>
    <t>MAN0035</t>
  </si>
  <si>
    <t>عمولة 3% خدمات التطوير شهر أغسطس 2025</t>
  </si>
  <si>
    <t>MAN0034</t>
  </si>
  <si>
    <t>MAN0036</t>
  </si>
  <si>
    <t>رواتب الكادر الهندسي لشهر سبتمبر 2025</t>
  </si>
  <si>
    <t>MAN0038</t>
  </si>
  <si>
    <t>خدمات تطوير سبتمبر 2025</t>
  </si>
  <si>
    <t>MAN0040</t>
  </si>
  <si>
    <t>رواتب الكادر الهندسي لشهر اكتوبر 2025</t>
  </si>
  <si>
    <t>MAN0039</t>
  </si>
  <si>
    <t>خدمات التطويرلـ فوترة شهر نوفمبر 2026</t>
  </si>
  <si>
    <t>MAN0037</t>
  </si>
  <si>
    <t>فاتورة اتعاب الاشراف المحاسبي سبتمبر 2025</t>
  </si>
  <si>
    <t>MAN0041</t>
  </si>
  <si>
    <t>الدفعة الثانية من قيمة العقد بعد انجاز 50%</t>
  </si>
  <si>
    <t>MAN0045</t>
  </si>
  <si>
    <t>MAN0042</t>
  </si>
  <si>
    <t>فاتورة اتعاب الاشراف المحاسبي اكتوبر 2025م</t>
  </si>
  <si>
    <t>MAN0044</t>
  </si>
  <si>
    <t>رواتب الكادر الهندسي لـ شهر  نوفمبر 2025</t>
  </si>
  <si>
    <t>MAN0043</t>
  </si>
  <si>
    <t>فاتورة عمولة 5% تسويق وبيع أكتوبر 2025</t>
  </si>
  <si>
    <t>MAN0046</t>
  </si>
  <si>
    <t>خدمات تطوير اكتوبر 2025</t>
  </si>
  <si>
    <t>MAN0047</t>
  </si>
  <si>
    <t>رواتب الكادر الهندسي لـ شهر  ديسمبر 2025</t>
  </si>
  <si>
    <t>MAN0048</t>
  </si>
  <si>
    <t>فاتورة اتعاب الاشراف المحاسبي ديسمبر 2025م</t>
  </si>
  <si>
    <t>MAN0049</t>
  </si>
  <si>
    <t>رواتب الكادر الهندسي لـ شهر  يناير 2026م</t>
  </si>
  <si>
    <t>MAN0050</t>
  </si>
  <si>
    <t>فاتورة اتعاب الاشراف المحاسبي يناير 2026م</t>
  </si>
  <si>
    <t>MAN0051</t>
  </si>
  <si>
    <t>خدمات تطوير ديسمبر 2025م , يناير 2026م</t>
  </si>
  <si>
    <t>MAN0052</t>
  </si>
  <si>
    <t>رواتب الكادر الهندسي لـ شهر  فبراير 2026م</t>
  </si>
  <si>
    <t>MAN0053</t>
  </si>
  <si>
    <t>فاتورة اتعاب الاشراف المحاسبي فبراير 2026م</t>
  </si>
  <si>
    <t>MAN0054</t>
  </si>
  <si>
    <t>فاتورة اتعاب الاشراف المحاسبي مارس 2026م</t>
  </si>
  <si>
    <t>MAN0055</t>
  </si>
  <si>
    <t>رواتب الكادر الهندسي لـ شهر  مارس 2026م</t>
  </si>
  <si>
    <t>MAN0056</t>
  </si>
  <si>
    <t xml:space="preserve">اتعاب اعمال متابعة إزالة العناصر الخرسانية ومتابعة حقن الاسقف - ساعات عمل إضافية مارس 2026 </t>
  </si>
  <si>
    <t>MAN0057</t>
  </si>
  <si>
    <t>عمولة %3 خدمات التطويرلـ فوترة شهر فبراير ومارس 2026م</t>
  </si>
  <si>
    <t>MAN0058</t>
  </si>
  <si>
    <t>فاتورة عمولة 5% تسويق وبيع ديسمبر 2025م ويناير ومارس 2026م وباقي فاتورة 215</t>
  </si>
  <si>
    <t>MAN0058A</t>
  </si>
  <si>
    <t>الدفعة الثالثة من قيمة العقد بعد انجاز 75%</t>
  </si>
  <si>
    <t>MAN0059</t>
  </si>
  <si>
    <t>فاتورة اتعاب الاشراف المحاسبي ابريل 2026م</t>
  </si>
  <si>
    <t>MAN0060</t>
  </si>
  <si>
    <t>شركة محمد الحبيب العقارية</t>
  </si>
  <si>
    <t xml:space="preserve">تكاليف الاشراف والمتابعة عن النصف الاول 2025 </t>
  </si>
  <si>
    <t>MAN0061</t>
  </si>
  <si>
    <t>شركة نبيل عباس للاستشارات الهندسية</t>
  </si>
  <si>
    <t>رواتب الكادر الهندسي لـ شهر ابريل 2026م</t>
  </si>
  <si>
    <t>MAN0062</t>
  </si>
  <si>
    <t>رواتب الكادر الهندسي لـ شهر مايو 2026م</t>
  </si>
  <si>
    <t>MAN0063</t>
  </si>
  <si>
    <t>فاتورة اتعاب الاشراف المحاسبي مايو 2026م</t>
  </si>
  <si>
    <t>MAN0064</t>
  </si>
  <si>
    <t>عمولة %3 خدمات التطويرلـ فوترة شهر ابريل و مايو 2026م</t>
  </si>
  <si>
    <t xml:space="preserve">الرياض </t>
  </si>
  <si>
    <t>شركة نبيل محمد علي عباس للاستشارات الهندسية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</si>
</sst>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 &quot;⃁&quot;\ * #,##0.00_ ;_ &quot;⃁&quot;\ * \-#,##0.00_ ;_ &quot;⃁&quot;\ * &quot;-&quot;??_ ;_ @_ "/>
    <numFmt numFmtId="165" formatCode="_ * #,##0.00_ ;_ * \-#,##0.00_ ;_ * &quot;-&quot;??_ ;_ @_ "/>
    <numFmt numFmtId="166" formatCode="_-* #,##0.00\ [$ر.س.‏-401]_-;\-* #,##0.00\ [$ر.س.‏-401]_-;_-* &quot;-&quot;??\ [$ر.س.‏-401]_-;_-@_-"/>
  </numFmts>
  <fonts count="2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4"/>
      <color theme="1"/>
      <name val="Symbol"/>
      <family val="1"/>
      <charset val="2"/>
    </font>
    <font>
      <sz val="10"/>
      <color rgb="FF000000"/>
      <name val="Sakkal Majalla"/>
    </font>
    <font>
      <sz val="12"/>
      <color theme="1"/>
      <name val="Aptos Narrow"/>
      <family val="2"/>
      <scheme val="minor"/>
    </font>
    <font>
      <sz val="14"/>
      <color theme="1"/>
      <name val="Sakkal Majalla"/>
    </font>
    <font>
      <b/>
      <sz val="14"/>
      <color theme="0"/>
      <name val="Sakkal Majalla"/>
    </font>
    <font>
      <sz val="14"/>
      <color theme="1"/>
      <name val="Aptos Narrow"/>
      <family val="2"/>
      <scheme val="minor"/>
    </font>
    <font>
      <b/>
      <sz val="12"/>
      <color rgb="FF000000"/>
      <name val="Sakkal Majalla"/>
    </font>
    <font>
      <sz val="14"/>
      <color theme="0"/>
      <name val="Sakkal Majalla"/>
    </font>
    <font>
      <b/>
      <sz val="14"/>
      <color theme="1"/>
      <name val="Sakkal Majalla"/>
    </font>
    <font>
      <sz val="16"/>
      <color theme="1"/>
      <name val="Aptos Narrow"/>
      <family val="2"/>
      <scheme val="minor"/>
    </font>
    <font>
      <sz val="14"/>
      <color rgb="FF000000"/>
      <name val="Sakkal Majalla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sz val="12"/>
      <color theme="1"/>
      <name val="Sakkal Majalla"/>
    </font>
    <font>
      <sz val="12"/>
      <color rgb="FF000000"/>
      <name val="Sakkal Majalla"/>
    </font>
    <font>
      <sz val="16"/>
      <color theme="1"/>
      <name val="Sakkal Majalla"/>
    </font>
    <font>
      <b/>
      <u/>
      <sz val="16"/>
      <color theme="1"/>
      <name val="Sakkal Majalla"/>
    </font>
    <font>
      <sz val="8"/>
      <name val="Aptos Narrow"/>
      <family val="2"/>
      <scheme val="minor"/>
    </font>
    <font>
      <sz val="14"/>
      <color rgb="FFFF0000"/>
      <name val="Sakkal Majalla"/>
    </font>
    <font>
      <sz val="14"/>
      <name val="Sakkal Majalla"/>
    </font>
    <font>
      <b/>
      <sz val="11"/>
      <color theme="1"/>
      <name val="Sakkal Majalla"/>
    </font>
    <font>
      <b/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525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5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ck">
        <color theme="0" tint="-0.14996795556505021"/>
      </left>
      <right/>
      <top style="thick">
        <color theme="0" tint="-0.14996795556505021"/>
      </top>
      <bottom style="thick">
        <color theme="0" tint="-0.14996795556505021"/>
      </bottom>
      <diagonal/>
    </border>
    <border>
      <left/>
      <right/>
      <top style="thick">
        <color theme="0" tint="-0.14996795556505021"/>
      </top>
      <bottom style="thick">
        <color theme="0" tint="-0.14996795556505021"/>
      </bottom>
      <diagonal/>
    </border>
    <border>
      <left/>
      <right style="thick">
        <color theme="0" tint="-0.14996795556505021"/>
      </right>
      <top style="thick">
        <color theme="0" tint="-0.14996795556505021"/>
      </top>
      <bottom style="thick">
        <color theme="0" tint="-0.14996795556505021"/>
      </bottom>
      <diagonal/>
    </border>
    <border>
      <left style="thick">
        <color theme="0" tint="-0.14996795556505021"/>
      </left>
      <right/>
      <top style="thick">
        <color theme="0" tint="-0.14996795556505021"/>
      </top>
      <bottom/>
      <diagonal/>
    </border>
    <border>
      <left/>
      <right/>
      <top style="thick">
        <color theme="0" tint="-0.14996795556505021"/>
      </top>
      <bottom/>
      <diagonal/>
    </border>
    <border>
      <left/>
      <right style="thick">
        <color theme="0" tint="-0.14996795556505021"/>
      </right>
      <top style="thick">
        <color theme="0" tint="-0.14996795556505021"/>
      </top>
      <bottom/>
      <diagonal/>
    </border>
    <border>
      <left style="thick">
        <color theme="0" tint="-0.14996795556505021"/>
      </left>
      <right/>
      <top/>
      <bottom style="thick">
        <color theme="0" tint="-0.14996795556505021"/>
      </bottom>
      <diagonal/>
    </border>
    <border>
      <left/>
      <right/>
      <top/>
      <bottom style="thick">
        <color theme="0" tint="-0.14996795556505021"/>
      </bottom>
      <diagonal/>
    </border>
    <border>
      <left/>
      <right style="thick">
        <color theme="0" tint="-0.14996795556505021"/>
      </right>
      <top/>
      <bottom style="thick">
        <color theme="0" tint="-0.14996795556505021"/>
      </bottom>
      <diagonal/>
    </border>
    <border>
      <left style="thick">
        <color theme="0" tint="-0.14993743705557422"/>
      </left>
      <right/>
      <top style="thick">
        <color theme="0" tint="-0.14993743705557422"/>
      </top>
      <bottom style="thick">
        <color theme="0" tint="-0.14993743705557422"/>
      </bottom>
      <diagonal/>
    </border>
    <border>
      <left/>
      <right/>
      <top style="thick">
        <color theme="0" tint="-0.14993743705557422"/>
      </top>
      <bottom style="thick">
        <color theme="0" tint="-0.14993743705557422"/>
      </bottom>
      <diagonal/>
    </border>
    <border>
      <left/>
      <right style="thick">
        <color theme="0" tint="-0.14993743705557422"/>
      </right>
      <top style="thick">
        <color theme="0" tint="-0.14993743705557422"/>
      </top>
      <bottom style="thick">
        <color theme="0" tint="-0.14993743705557422"/>
      </bottom>
      <diagonal/>
    </border>
    <border>
      <left style="thick">
        <color theme="0" tint="-0.14993743705557422"/>
      </left>
      <right/>
      <top style="thick">
        <color theme="0" tint="-0.14993743705557422"/>
      </top>
      <bottom/>
      <diagonal/>
    </border>
    <border>
      <left/>
      <right/>
      <top style="thick">
        <color theme="0" tint="-0.14993743705557422"/>
      </top>
      <bottom/>
      <diagonal/>
    </border>
    <border>
      <left/>
      <right style="thick">
        <color theme="0" tint="-0.14993743705557422"/>
      </right>
      <top style="thick">
        <color theme="0" tint="-0.14993743705557422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ck">
        <color theme="0" tint="-0.24994659260841701"/>
      </right>
      <top/>
      <bottom style="thick">
        <color theme="0" tint="-0.14996795556505021"/>
      </bottom>
      <diagonal/>
    </border>
    <border>
      <left style="thick">
        <color theme="0" tint="-0.24994659260841701"/>
      </left>
      <right/>
      <top/>
      <bottom style="thick">
        <color theme="0" tint="-0.14996795556505021"/>
      </bottom>
      <diagonal/>
    </border>
    <border>
      <left style="thick">
        <color theme="0" tint="-0.24994659260841701"/>
      </left>
      <right/>
      <top style="thick">
        <color theme="0" tint="-0.14996795556505021"/>
      </top>
      <bottom style="thick">
        <color theme="0" tint="-0.14996795556505021"/>
      </bottom>
      <diagonal/>
    </border>
    <border>
      <left/>
      <right/>
      <top style="thin">
        <color indexed="64"/>
      </top>
      <bottom/>
      <diagonal/>
    </border>
    <border>
      <left style="thick">
        <color theme="0" tint="-0.14993743705557422"/>
      </left>
      <right/>
      <top style="thick">
        <color theme="0" tint="-0.14993743705557422"/>
      </top>
      <bottom style="thick">
        <color theme="0" tint="-0.14996795556505021"/>
      </bottom>
      <diagonal/>
    </border>
    <border>
      <left/>
      <right style="thick">
        <color theme="0" tint="-0.14993743705557422"/>
      </right>
      <top style="thick">
        <color theme="0" tint="-0.14996795556505021"/>
      </top>
      <bottom style="thick">
        <color theme="0" tint="-0.14996795556505021"/>
      </bottom>
      <diagonal/>
    </border>
    <border>
      <left style="thick">
        <color theme="0" tint="-0.14993743705557422"/>
      </left>
      <right style="thick">
        <color theme="0" tint="-0.14993743705557422"/>
      </right>
      <top style="thick">
        <color theme="0" tint="-0.14996795556505021"/>
      </top>
      <bottom style="thick">
        <color theme="0" tint="-0.14996795556505021"/>
      </bottom>
      <diagonal/>
    </border>
    <border>
      <left style="thick">
        <color theme="0" tint="-0.14993743705557422"/>
      </left>
      <right style="thick">
        <color theme="0" tint="-0.14993743705557422"/>
      </right>
      <top style="thick">
        <color theme="0" tint="-0.14993743705557422"/>
      </top>
      <bottom style="thick">
        <color theme="0" tint="-0.14996795556505021"/>
      </bottom>
      <diagonal/>
    </border>
    <border>
      <left/>
      <right style="thick">
        <color theme="0" tint="-0.14996795556505021"/>
      </right>
      <top style="thick">
        <color theme="0" tint="-0.14993743705557422"/>
      </top>
      <bottom style="thick">
        <color theme="0" tint="-0.14996795556505021"/>
      </bottom>
      <diagonal/>
    </border>
    <border>
      <left/>
      <right style="thick">
        <color theme="0" tint="-0.14990691854609822"/>
      </right>
      <top/>
      <bottom/>
      <diagonal/>
    </border>
    <border>
      <left style="thick">
        <color theme="0" tint="-0.14990691854609822"/>
      </left>
      <right style="thick">
        <color theme="0" tint="-0.14990691854609822"/>
      </right>
      <top/>
      <bottom/>
      <diagonal/>
    </border>
    <border>
      <left style="thick">
        <color theme="0" tint="-0.14990691854609822"/>
      </left>
      <right/>
      <top/>
      <bottom/>
      <diagonal/>
    </border>
    <border>
      <left/>
      <right style="thick">
        <color theme="0" tint="-0.24994659260841701"/>
      </right>
      <top style="thick">
        <color theme="0" tint="-0.14996795556505021"/>
      </top>
      <bottom/>
      <diagonal/>
    </border>
    <border>
      <left style="thick">
        <color theme="0" tint="-0.14993743705557422"/>
      </left>
      <right style="thick">
        <color theme="0" tint="-0.14993743705557422"/>
      </right>
      <top/>
      <bottom style="thick">
        <color theme="0" tint="-0.14996795556505021"/>
      </bottom>
      <diagonal/>
    </border>
    <border>
      <left style="thick">
        <color theme="0" tint="-0.14990691854609822"/>
      </left>
      <right/>
      <top style="thick">
        <color theme="0" tint="-0.14990691854609822"/>
      </top>
      <bottom style="thick">
        <color theme="0" tint="-0.14996795556505021"/>
      </bottom>
      <diagonal/>
    </border>
    <border>
      <left/>
      <right/>
      <top style="thick">
        <color theme="0" tint="-0.14990691854609822"/>
      </top>
      <bottom style="thick">
        <color theme="0" tint="-0.14996795556505021"/>
      </bottom>
      <diagonal/>
    </border>
    <border>
      <left/>
      <right style="thick">
        <color theme="0" tint="-0.14990691854609822"/>
      </right>
      <top style="thick">
        <color theme="0" tint="-0.14990691854609822"/>
      </top>
      <bottom style="thick">
        <color theme="0" tint="-0.14996795556505021"/>
      </bottom>
      <diagonal/>
    </border>
    <border>
      <left style="thick">
        <color theme="0" tint="-0.14990691854609822"/>
      </left>
      <right/>
      <top style="thick">
        <color theme="0" tint="-0.14996795556505021"/>
      </top>
      <bottom style="thick">
        <color theme="0" tint="-0.14996795556505021"/>
      </bottom>
      <diagonal/>
    </border>
    <border>
      <left/>
      <right/>
      <top style="thick">
        <color theme="0" tint="-0.14993743705557422"/>
      </top>
      <bottom style="thick">
        <color theme="0" tint="-0.14996795556505021"/>
      </bottom>
      <diagonal/>
    </border>
    <border>
      <left/>
      <right style="thick">
        <color theme="0" tint="-0.14990691854609822"/>
      </right>
      <top style="thick">
        <color theme="0" tint="-0.14993743705557422"/>
      </top>
      <bottom style="thick">
        <color theme="0" tint="-0.14996795556505021"/>
      </bottom>
      <diagonal/>
    </border>
    <border>
      <left style="thick">
        <color theme="0" tint="-0.14990691854609822"/>
      </left>
      <right/>
      <top style="thick">
        <color theme="0" tint="-0.14996795556505021"/>
      </top>
      <bottom style="thick">
        <color theme="0" tint="-0.14990691854609822"/>
      </bottom>
      <diagonal/>
    </border>
    <border>
      <left/>
      <right/>
      <top style="thick">
        <color theme="0" tint="-0.14996795556505021"/>
      </top>
      <bottom style="thick">
        <color theme="0" tint="-0.14990691854609822"/>
      </bottom>
      <diagonal/>
    </border>
    <border>
      <left/>
      <right/>
      <top style="thick">
        <color theme="0" tint="-0.14993743705557422"/>
      </top>
      <bottom style="thick">
        <color theme="0" tint="-0.14990691854609822"/>
      </bottom>
      <diagonal/>
    </border>
    <border>
      <left/>
      <right style="thick">
        <color theme="0" tint="-0.14990691854609822"/>
      </right>
      <top style="thick">
        <color theme="0" tint="-0.14993743705557422"/>
      </top>
      <bottom style="thick">
        <color theme="0" tint="-0.14990691854609822"/>
      </bottom>
      <diagonal/>
    </border>
    <border>
      <left/>
      <right/>
      <top style="thick">
        <color theme="0" tint="-0.14996795556505021"/>
      </top>
      <bottom style="thick">
        <color theme="0" tint="-0.14993743705557422"/>
      </bottom>
      <diagonal/>
    </border>
    <border>
      <left/>
      <right style="thick">
        <color theme="0" tint="-0.14996795556505021"/>
      </right>
      <top style="thick">
        <color theme="0" tint="-0.14996795556505021"/>
      </top>
      <bottom style="thick">
        <color theme="0" tint="-0.14993743705557422"/>
      </bottom>
      <diagonal/>
    </border>
    <border>
      <left style="thick">
        <color theme="0" tint="-0.14993743705557422"/>
      </left>
      <right style="thick">
        <color theme="0" tint="-0.14996795556505021"/>
      </right>
      <top style="thick">
        <color theme="0" tint="-0.14993743705557422"/>
      </top>
      <bottom style="thick">
        <color theme="0" tint="-0.14996795556505021"/>
      </bottom>
      <diagonal/>
    </border>
    <border>
      <left style="thick">
        <color theme="0" tint="-0.14996795556505021"/>
      </left>
      <right style="thick">
        <color theme="0" tint="-0.14996795556505021"/>
      </right>
      <top style="thick">
        <color theme="0" tint="-0.14996795556505021"/>
      </top>
      <bottom style="thick">
        <color theme="0" tint="-0.1499679555650502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ck">
        <color theme="0" tint="-0.14993743705557422"/>
      </left>
      <right style="thick">
        <color theme="0" tint="-0.14993743705557422"/>
      </right>
      <top style="thick">
        <color theme="0" tint="-0.14996795556505021"/>
      </top>
      <bottom style="thick">
        <color theme="0" tint="-0.14993743705557422"/>
      </bottom>
      <diagonal/>
    </border>
  </borders>
  <cellStyleXfs count="4">
    <xf numFmtId="0" fontId="0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211">
    <xf numFmtId="0" fontId="0" fillId="0" borderId="0" xfId="0"/>
    <xf numFmtId="0" fontId="11" fillId="0" borderId="0" xfId="0" applyFont="1"/>
    <xf numFmtId="1" fontId="9" fillId="2" borderId="2" xfId="0" applyNumberFormat="1" applyFont="1" applyFill="1" applyBorder="1" applyAlignment="1">
      <alignment horizontal="center" vertical="center" wrapText="1" readingOrder="2"/>
    </xf>
    <xf numFmtId="0" fontId="7" fillId="0" borderId="2" xfId="0" applyFont="1" applyBorder="1" applyAlignment="1">
      <alignment horizontal="center" vertical="center"/>
    </xf>
    <xf numFmtId="1" fontId="5" fillId="7" borderId="14" xfId="0" applyNumberFormat="1" applyFont="1" applyFill="1" applyBorder="1" applyAlignment="1">
      <alignment horizontal="center" vertical="center" wrapText="1" readingOrder="2"/>
    </xf>
    <xf numFmtId="0" fontId="5" fillId="0" borderId="8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 wrapText="1"/>
    </xf>
    <xf numFmtId="0" fontId="17" fillId="6" borderId="8" xfId="0" applyFont="1" applyFill="1" applyBorder="1" applyAlignment="1">
      <alignment horizontal="right" vertical="top"/>
    </xf>
    <xf numFmtId="0" fontId="17" fillId="6" borderId="9" xfId="0" applyFont="1" applyFill="1" applyBorder="1" applyAlignment="1">
      <alignment horizontal="right" vertical="top"/>
    </xf>
    <xf numFmtId="0" fontId="17" fillId="4" borderId="16" xfId="0" applyFont="1" applyFill="1" applyBorder="1" applyAlignment="1">
      <alignment horizontal="center" vertical="center"/>
    </xf>
    <xf numFmtId="0" fontId="5" fillId="0" borderId="8" xfId="0" applyFont="1" applyBorder="1" applyAlignment="1" applyProtection="1">
      <alignment horizontal="center" vertical="center"/>
      <protection hidden="1"/>
    </xf>
    <xf numFmtId="1" fontId="5" fillId="7" borderId="0" xfId="0" applyNumberFormat="1" applyFont="1" applyFill="1" applyAlignment="1">
      <alignment horizontal="center" vertical="center" wrapText="1" readingOrder="2"/>
    </xf>
    <xf numFmtId="1" fontId="5" fillId="7" borderId="0" xfId="0" applyNumberFormat="1" applyFont="1" applyFill="1" applyAlignment="1" applyProtection="1">
      <alignment horizontal="center" vertical="center" wrapText="1" readingOrder="2"/>
      <protection locked="0"/>
    </xf>
    <xf numFmtId="1" fontId="5" fillId="4" borderId="16" xfId="0" applyNumberFormat="1" applyFont="1" applyFill="1" applyBorder="1" applyAlignment="1" applyProtection="1">
      <alignment horizontal="center" vertical="center" wrapText="1" readingOrder="2"/>
      <protection locked="0"/>
    </xf>
    <xf numFmtId="1" fontId="6" fillId="2" borderId="11" xfId="0" applyNumberFormat="1" applyFont="1" applyFill="1" applyBorder="1" applyAlignment="1" applyProtection="1">
      <alignment horizontal="center" vertical="center" wrapText="1" readingOrder="2"/>
      <protection locked="0"/>
    </xf>
    <xf numFmtId="1" fontId="5" fillId="7" borderId="17" xfId="0" applyNumberFormat="1" applyFont="1" applyFill="1" applyBorder="1" applyAlignment="1" applyProtection="1">
      <alignment horizontal="center" vertical="center" wrapText="1" readingOrder="2"/>
      <protection locked="0"/>
    </xf>
    <xf numFmtId="3" fontId="12" fillId="3" borderId="17" xfId="1" applyNumberFormat="1" applyFont="1" applyFill="1" applyBorder="1" applyAlignment="1" applyProtection="1">
      <alignment horizontal="center" vertical="center" readingOrder="2"/>
      <protection locked="0"/>
    </xf>
    <xf numFmtId="1" fontId="10" fillId="7" borderId="53" xfId="0" applyNumberFormat="1" applyFont="1" applyFill="1" applyBorder="1" applyAlignment="1" applyProtection="1">
      <alignment horizontal="center" vertical="center" wrapText="1" readingOrder="2"/>
      <protection locked="0"/>
    </xf>
    <xf numFmtId="1" fontId="5" fillId="7" borderId="53" xfId="0" applyNumberFormat="1" applyFont="1" applyFill="1" applyBorder="1" applyAlignment="1" applyProtection="1">
      <alignment horizontal="center" vertical="center" wrapText="1" readingOrder="2"/>
      <protection locked="0"/>
    </xf>
    <xf numFmtId="0" fontId="5" fillId="0" borderId="53" xfId="0" applyFont="1" applyBorder="1" applyAlignment="1" applyProtection="1">
      <alignment horizontal="center" vertical="center"/>
      <protection locked="0"/>
    </xf>
    <xf numFmtId="0" fontId="5" fillId="0" borderId="53" xfId="0" applyFont="1" applyBorder="1" applyProtection="1">
      <protection locked="0"/>
    </xf>
    <xf numFmtId="14" fontId="5" fillId="0" borderId="53" xfId="0" applyNumberFormat="1" applyFont="1" applyBorder="1" applyProtection="1">
      <protection locked="0"/>
    </xf>
    <xf numFmtId="0" fontId="5" fillId="0" borderId="53" xfId="0" applyFont="1" applyBorder="1" applyAlignment="1" applyProtection="1">
      <alignment wrapText="1"/>
      <protection locked="0"/>
    </xf>
    <xf numFmtId="0" fontId="5" fillId="0" borderId="53" xfId="0" applyFont="1" applyBorder="1" applyAlignment="1" applyProtection="1">
      <alignment horizontal="center" vertical="center" wrapText="1"/>
      <protection locked="0"/>
    </xf>
    <xf numFmtId="0" fontId="5" fillId="0" borderId="53" xfId="0" applyFont="1" applyBorder="1" applyAlignment="1" applyProtection="1">
      <alignment horizontal="right" vertical="center" wrapText="1"/>
      <protection locked="0"/>
    </xf>
    <xf numFmtId="3" fontId="12" fillId="7" borderId="11" xfId="1" applyNumberFormat="1" applyFont="1" applyFill="1" applyBorder="1" applyAlignment="1" applyProtection="1">
      <alignment horizontal="center" vertical="center" readingOrder="2"/>
      <protection hidden="1"/>
    </xf>
    <xf numFmtId="0" fontId="10" fillId="6" borderId="0" xfId="0" applyFont="1" applyFill="1" applyAlignment="1" applyProtection="1">
      <alignment vertical="center"/>
      <protection locked="0"/>
    </xf>
    <xf numFmtId="0" fontId="6" fillId="6" borderId="0" xfId="0" applyFont="1" applyFill="1" applyAlignment="1" applyProtection="1">
      <alignment horizontal="center" vertic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5" fillId="0" borderId="0" xfId="0" applyFont="1" applyProtection="1">
      <protection locked="0"/>
    </xf>
    <xf numFmtId="0" fontId="5" fillId="0" borderId="0" xfId="0" applyFont="1" applyAlignment="1" applyProtection="1">
      <alignment horizontal="center" vertical="center" wrapText="1"/>
      <protection locked="0"/>
    </xf>
    <xf numFmtId="0" fontId="5" fillId="6" borderId="0" xfId="0" applyFont="1" applyFill="1" applyProtection="1">
      <protection locked="0"/>
    </xf>
    <xf numFmtId="0" fontId="0" fillId="0" borderId="0" xfId="0" applyProtection="1">
      <protection locked="0"/>
    </xf>
    <xf numFmtId="0" fontId="2" fillId="0" borderId="0" xfId="0" applyFont="1" applyAlignment="1" applyProtection="1">
      <alignment vertical="center" wrapText="1"/>
      <protection locked="0"/>
    </xf>
    <xf numFmtId="0" fontId="0" fillId="0" borderId="0" xfId="0" applyAlignment="1" applyProtection="1">
      <alignment horizontal="center" vertical="center"/>
      <protection locked="0"/>
    </xf>
    <xf numFmtId="1" fontId="5" fillId="4" borderId="7" xfId="0" applyNumberFormat="1" applyFont="1" applyFill="1" applyBorder="1" applyAlignment="1" applyProtection="1">
      <alignment horizontal="right" vertical="center" wrapText="1" readingOrder="2"/>
      <protection locked="0"/>
    </xf>
    <xf numFmtId="0" fontId="5" fillId="6" borderId="8" xfId="0" applyFont="1" applyFill="1" applyBorder="1" applyAlignment="1" applyProtection="1">
      <alignment horizontal="right" vertical="center"/>
      <protection locked="0"/>
    </xf>
    <xf numFmtId="14" fontId="5" fillId="6" borderId="9" xfId="0" applyNumberFormat="1" applyFont="1" applyFill="1" applyBorder="1" applyAlignment="1" applyProtection="1">
      <alignment horizontal="center" vertical="center"/>
      <protection locked="0"/>
    </xf>
    <xf numFmtId="14" fontId="12" fillId="6" borderId="9" xfId="0" applyNumberFormat="1" applyFont="1" applyFill="1" applyBorder="1" applyAlignment="1" applyProtection="1">
      <alignment horizontal="center" vertical="center" wrapText="1" readingOrder="2"/>
      <protection locked="0"/>
    </xf>
    <xf numFmtId="0" fontId="12" fillId="6" borderId="8" xfId="0" applyFont="1" applyFill="1" applyBorder="1" applyAlignment="1" applyProtection="1">
      <alignment horizontal="right" vertical="center" wrapText="1" readingOrder="2"/>
      <protection locked="0"/>
    </xf>
    <xf numFmtId="1" fontId="5" fillId="7" borderId="14" xfId="0" applyNumberFormat="1" applyFont="1" applyFill="1" applyBorder="1" applyAlignment="1" applyProtection="1">
      <alignment horizontal="center" vertical="center" wrapText="1" readingOrder="2"/>
      <protection locked="0"/>
    </xf>
    <xf numFmtId="0" fontId="3" fillId="0" borderId="0" xfId="0" applyFont="1" applyAlignment="1" applyProtection="1">
      <alignment horizontal="center" vertical="center" wrapText="1" readingOrder="2"/>
      <protection locked="0"/>
    </xf>
    <xf numFmtId="1" fontId="5" fillId="4" borderId="7" xfId="0" applyNumberFormat="1" applyFont="1" applyFill="1" applyBorder="1" applyAlignment="1" applyProtection="1">
      <alignment horizontal="center" vertical="center" wrapText="1" readingOrder="2"/>
      <protection locked="0"/>
    </xf>
    <xf numFmtId="1" fontId="5" fillId="4" borderId="8" xfId="0" applyNumberFormat="1" applyFont="1" applyFill="1" applyBorder="1" applyAlignment="1" applyProtection="1">
      <alignment horizontal="center" vertical="center" wrapText="1" readingOrder="2"/>
      <protection locked="0"/>
    </xf>
    <xf numFmtId="0" fontId="8" fillId="3" borderId="0" xfId="0" applyFont="1" applyFill="1" applyAlignment="1" applyProtection="1">
      <alignment horizontal="center" vertical="center" readingOrder="2"/>
      <protection locked="0"/>
    </xf>
    <xf numFmtId="0" fontId="4" fillId="0" borderId="0" xfId="0" applyFont="1" applyAlignment="1" applyProtection="1">
      <alignment horizontal="center"/>
      <protection locked="0"/>
    </xf>
    <xf numFmtId="0" fontId="4" fillId="0" borderId="0" xfId="0" applyFont="1" applyProtection="1">
      <protection locked="0"/>
    </xf>
    <xf numFmtId="1" fontId="10" fillId="7" borderId="14" xfId="0" applyNumberFormat="1" applyFont="1" applyFill="1" applyBorder="1" applyAlignment="1" applyProtection="1">
      <alignment horizontal="center" vertical="center" wrapText="1" readingOrder="2"/>
      <protection locked="0"/>
    </xf>
    <xf numFmtId="0" fontId="7" fillId="0" borderId="0" xfId="0" applyFont="1" applyProtection="1">
      <protection locked="0"/>
    </xf>
    <xf numFmtId="1" fontId="5" fillId="4" borderId="11" xfId="0" applyNumberFormat="1" applyFont="1" applyFill="1" applyBorder="1" applyAlignment="1" applyProtection="1">
      <alignment horizontal="center" vertical="center" wrapText="1" readingOrder="2"/>
      <protection locked="0"/>
    </xf>
    <xf numFmtId="1" fontId="5" fillId="4" borderId="10" xfId="0" applyNumberFormat="1" applyFont="1" applyFill="1" applyBorder="1" applyAlignment="1" applyProtection="1">
      <alignment horizontal="center" vertical="center" wrapText="1" readingOrder="2"/>
      <protection locked="0"/>
    </xf>
    <xf numFmtId="1" fontId="9" fillId="0" borderId="0" xfId="0" applyNumberFormat="1" applyFont="1" applyAlignment="1" applyProtection="1">
      <alignment horizontal="center" vertical="center" wrapText="1" readingOrder="2"/>
      <protection locked="0"/>
    </xf>
    <xf numFmtId="0" fontId="5" fillId="0" borderId="0" xfId="0" applyFont="1" applyAlignment="1" applyProtection="1">
      <alignment horizontal="center" vertical="center" wrapText="1" readingOrder="2"/>
      <protection locked="0"/>
    </xf>
    <xf numFmtId="1" fontId="5" fillId="7" borderId="26" xfId="0" applyNumberFormat="1" applyFont="1" applyFill="1" applyBorder="1" applyAlignment="1" applyProtection="1">
      <alignment horizontal="center" vertical="center" wrapText="1" readingOrder="2"/>
      <protection locked="0"/>
    </xf>
    <xf numFmtId="1" fontId="5" fillId="7" borderId="27" xfId="0" applyNumberFormat="1" applyFont="1" applyFill="1" applyBorder="1" applyAlignment="1" applyProtection="1">
      <alignment horizontal="center" vertical="center" wrapText="1" readingOrder="2"/>
      <protection locked="0"/>
    </xf>
    <xf numFmtId="1" fontId="5" fillId="4" borderId="28" xfId="0" applyNumberFormat="1" applyFont="1" applyFill="1" applyBorder="1" applyAlignment="1" applyProtection="1">
      <alignment horizontal="center" vertical="center" wrapText="1" readingOrder="2"/>
      <protection locked="0"/>
    </xf>
    <xf numFmtId="1" fontId="6" fillId="2" borderId="3" xfId="0" applyNumberFormat="1" applyFont="1" applyFill="1" applyBorder="1" applyAlignment="1" applyProtection="1">
      <alignment horizontal="center" vertical="center" wrapText="1" readingOrder="2"/>
      <protection locked="0"/>
    </xf>
    <xf numFmtId="1" fontId="6" fillId="2" borderId="14" xfId="0" applyNumberFormat="1" applyFont="1" applyFill="1" applyBorder="1" applyAlignment="1" applyProtection="1">
      <alignment horizontal="center" vertical="center" wrapText="1" readingOrder="2"/>
      <protection locked="0"/>
    </xf>
    <xf numFmtId="0" fontId="12" fillId="7" borderId="11" xfId="1" applyNumberFormat="1" applyFont="1" applyFill="1" applyBorder="1" applyAlignment="1" applyProtection="1">
      <alignment horizontal="center" vertical="center" readingOrder="2"/>
      <protection locked="0"/>
    </xf>
    <xf numFmtId="1" fontId="6" fillId="2" borderId="5" xfId="0" applyNumberFormat="1" applyFont="1" applyFill="1" applyBorder="1" applyAlignment="1" applyProtection="1">
      <alignment horizontal="center" vertical="center" wrapText="1" readingOrder="2"/>
      <protection locked="0"/>
    </xf>
    <xf numFmtId="164" fontId="0" fillId="0" borderId="0" xfId="3" applyFont="1" applyProtection="1">
      <protection locked="0"/>
    </xf>
    <xf numFmtId="1" fontId="6" fillId="2" borderId="4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5" fillId="4" borderId="8" xfId="0" applyFont="1" applyFill="1" applyBorder="1" applyAlignment="1" applyProtection="1">
      <alignment horizontal="center" vertical="center" wrapText="1" readingOrder="2"/>
      <protection hidden="1"/>
    </xf>
    <xf numFmtId="9" fontId="5" fillId="4" borderId="8" xfId="0" applyNumberFormat="1" applyFont="1" applyFill="1" applyBorder="1" applyAlignment="1" applyProtection="1">
      <alignment horizontal="center" vertical="center" wrapText="1" readingOrder="2"/>
      <protection hidden="1"/>
    </xf>
    <xf numFmtId="0" fontId="12" fillId="7" borderId="11" xfId="1" applyNumberFormat="1" applyFont="1" applyFill="1" applyBorder="1" applyAlignment="1" applyProtection="1">
      <alignment horizontal="center" vertical="center" readingOrder="2"/>
      <protection hidden="1"/>
    </xf>
    <xf numFmtId="9" fontId="5" fillId="7" borderId="8" xfId="0" applyNumberFormat="1" applyFont="1" applyFill="1" applyBorder="1" applyAlignment="1" applyProtection="1">
      <alignment horizontal="center" vertical="center" wrapText="1" readingOrder="2"/>
      <protection hidden="1"/>
    </xf>
    <xf numFmtId="9" fontId="5" fillId="7" borderId="11" xfId="0" applyNumberFormat="1" applyFont="1" applyFill="1" applyBorder="1" applyAlignment="1" applyProtection="1">
      <alignment horizontal="center" vertical="center" wrapText="1" readingOrder="2"/>
      <protection hidden="1"/>
    </xf>
    <xf numFmtId="9" fontId="5" fillId="4" borderId="8" xfId="2" applyFont="1" applyFill="1" applyBorder="1" applyAlignment="1" applyProtection="1">
      <alignment horizontal="center"/>
      <protection hidden="1"/>
    </xf>
    <xf numFmtId="0" fontId="12" fillId="6" borderId="31" xfId="0" applyFont="1" applyFill="1" applyBorder="1" applyAlignment="1" applyProtection="1">
      <alignment horizontal="right" vertical="center" wrapText="1" readingOrder="2"/>
      <protection locked="0"/>
    </xf>
    <xf numFmtId="49" fontId="12" fillId="6" borderId="8" xfId="0" applyNumberFormat="1" applyFont="1" applyFill="1" applyBorder="1" applyAlignment="1" applyProtection="1">
      <alignment horizontal="right" vertical="center" wrapText="1" readingOrder="2"/>
      <protection locked="0"/>
    </xf>
    <xf numFmtId="4" fontId="12" fillId="3" borderId="9" xfId="1" applyNumberFormat="1" applyFont="1" applyFill="1" applyBorder="1" applyAlignment="1" applyProtection="1">
      <alignment horizontal="center" vertical="center" readingOrder="2"/>
      <protection locked="0"/>
    </xf>
    <xf numFmtId="9" fontId="21" fillId="4" borderId="9" xfId="2" applyFont="1" applyFill="1" applyBorder="1" applyAlignment="1" applyProtection="1">
      <alignment horizontal="center" vertical="center" readingOrder="2"/>
      <protection hidden="1"/>
    </xf>
    <xf numFmtId="4" fontId="12" fillId="4" borderId="9" xfId="1" applyNumberFormat="1" applyFont="1" applyFill="1" applyBorder="1" applyAlignment="1" applyProtection="1">
      <alignment horizontal="center" vertical="center" readingOrder="2"/>
      <protection hidden="1"/>
    </xf>
    <xf numFmtId="0" fontId="5" fillId="6" borderId="31" xfId="0" applyFont="1" applyFill="1" applyBorder="1" applyAlignment="1" applyProtection="1">
      <alignment horizontal="right" vertical="center" wrapText="1"/>
      <protection locked="0"/>
    </xf>
    <xf numFmtId="1" fontId="9" fillId="2" borderId="0" xfId="0" applyNumberFormat="1" applyFont="1" applyFill="1" applyAlignment="1" applyProtection="1">
      <alignment horizontal="center" vertical="center" wrapText="1" readingOrder="2"/>
      <protection locked="0"/>
    </xf>
    <xf numFmtId="14" fontId="5" fillId="0" borderId="32" xfId="0" applyNumberFormat="1" applyFont="1" applyBorder="1" applyProtection="1">
      <protection locked="0"/>
    </xf>
    <xf numFmtId="1" fontId="5" fillId="4" borderId="12" xfId="0" applyNumberFormat="1" applyFont="1" applyFill="1" applyBorder="1" applyAlignment="1" applyProtection="1">
      <alignment horizontal="center" vertical="center" wrapText="1" readingOrder="2"/>
      <protection locked="0"/>
    </xf>
    <xf numFmtId="166" fontId="15" fillId="4" borderId="8" xfId="1" applyNumberFormat="1" applyFont="1" applyFill="1" applyBorder="1" applyAlignment="1" applyProtection="1">
      <alignment horizontal="center" vertical="center" wrapText="1" readingOrder="2"/>
      <protection locked="0"/>
    </xf>
    <xf numFmtId="1" fontId="5" fillId="4" borderId="35" xfId="0" applyNumberFormat="1" applyFont="1" applyFill="1" applyBorder="1" applyAlignment="1" applyProtection="1">
      <alignment horizontal="center" vertical="center" wrapText="1" readingOrder="2"/>
      <protection locked="0"/>
    </xf>
    <xf numFmtId="1" fontId="5" fillId="4" borderId="36" xfId="0" applyNumberFormat="1" applyFont="1" applyFill="1" applyBorder="1" applyAlignment="1" applyProtection="1">
      <alignment horizontal="center" vertical="center" wrapText="1" readingOrder="2"/>
      <protection locked="0"/>
    </xf>
    <xf numFmtId="166" fontId="16" fillId="4" borderId="38" xfId="1" applyNumberFormat="1" applyFont="1" applyFill="1" applyBorder="1" applyAlignment="1" applyProtection="1">
      <alignment horizontal="center" vertical="center" wrapText="1" readingOrder="2"/>
      <protection locked="0"/>
    </xf>
    <xf numFmtId="4" fontId="12" fillId="7" borderId="33" xfId="1" applyNumberFormat="1" applyFont="1" applyFill="1" applyBorder="1" applyAlignment="1" applyProtection="1">
      <alignment horizontal="center" vertical="center" readingOrder="2"/>
      <protection hidden="1"/>
    </xf>
    <xf numFmtId="4" fontId="12" fillId="7" borderId="36" xfId="1" applyNumberFormat="1" applyFont="1" applyFill="1" applyBorder="1" applyAlignment="1" applyProtection="1">
      <alignment horizontal="center" vertical="center" readingOrder="2"/>
      <protection hidden="1"/>
    </xf>
    <xf numFmtId="4" fontId="12" fillId="7" borderId="37" xfId="1" applyNumberFormat="1" applyFont="1" applyFill="1" applyBorder="1" applyAlignment="1" applyProtection="1">
      <alignment horizontal="center" vertical="center" readingOrder="2"/>
      <protection hidden="1"/>
    </xf>
    <xf numFmtId="4" fontId="12" fillId="4" borderId="18" xfId="1" applyNumberFormat="1" applyFont="1" applyFill="1" applyBorder="1" applyAlignment="1" applyProtection="1">
      <alignment horizontal="center" vertical="center" readingOrder="2"/>
      <protection hidden="1"/>
    </xf>
    <xf numFmtId="4" fontId="12" fillId="7" borderId="18" xfId="1" applyNumberFormat="1" applyFont="1" applyFill="1" applyBorder="1" applyAlignment="1" applyProtection="1">
      <alignment horizontal="center" vertical="center" readingOrder="2"/>
      <protection hidden="1"/>
    </xf>
    <xf numFmtId="1" fontId="6" fillId="2" borderId="0" xfId="0" applyNumberFormat="1" applyFont="1" applyFill="1" applyAlignment="1" applyProtection="1">
      <alignment horizontal="center" vertical="center" wrapText="1" readingOrder="2"/>
      <protection locked="0"/>
    </xf>
    <xf numFmtId="0" fontId="12" fillId="7" borderId="0" xfId="1" applyNumberFormat="1" applyFont="1" applyFill="1" applyBorder="1" applyAlignment="1" applyProtection="1">
      <alignment horizontal="center" vertical="center" readingOrder="2"/>
      <protection locked="0"/>
    </xf>
    <xf numFmtId="0" fontId="12" fillId="7" borderId="0" xfId="1" applyNumberFormat="1" applyFont="1" applyFill="1" applyBorder="1" applyAlignment="1" applyProtection="1">
      <alignment horizontal="center" vertical="center" readingOrder="2"/>
      <protection hidden="1"/>
    </xf>
    <xf numFmtId="9" fontId="5" fillId="7" borderId="14" xfId="0" applyNumberFormat="1" applyFont="1" applyFill="1" applyBorder="1" applyAlignment="1" applyProtection="1">
      <alignment horizontal="center" vertical="center" wrapText="1" readingOrder="2"/>
      <protection hidden="1"/>
    </xf>
    <xf numFmtId="4" fontId="12" fillId="7" borderId="39" xfId="1" applyNumberFormat="1" applyFont="1" applyFill="1" applyBorder="1" applyAlignment="1" applyProtection="1">
      <alignment horizontal="center" vertical="center" readingOrder="2"/>
      <protection hidden="1"/>
    </xf>
    <xf numFmtId="1" fontId="5" fillId="4" borderId="40" xfId="0" applyNumberFormat="1" applyFont="1" applyFill="1" applyBorder="1" applyAlignment="1" applyProtection="1">
      <alignment horizontal="center" vertical="center" wrapText="1" readingOrder="2"/>
      <protection locked="0"/>
    </xf>
    <xf numFmtId="9" fontId="5" fillId="4" borderId="41" xfId="0" applyNumberFormat="1" applyFont="1" applyFill="1" applyBorder="1" applyAlignment="1" applyProtection="1">
      <alignment horizontal="center" vertical="center" wrapText="1" readingOrder="2"/>
      <protection hidden="1"/>
    </xf>
    <xf numFmtId="1" fontId="5" fillId="4" borderId="43" xfId="0" applyNumberFormat="1" applyFont="1" applyFill="1" applyBorder="1" applyAlignment="1" applyProtection="1">
      <alignment horizontal="center" vertical="center" wrapText="1" readingOrder="2"/>
      <protection locked="0"/>
    </xf>
    <xf numFmtId="1" fontId="5" fillId="4" borderId="46" xfId="0" applyNumberFormat="1" applyFont="1" applyFill="1" applyBorder="1" applyAlignment="1" applyProtection="1">
      <alignment horizontal="center" vertical="center" wrapText="1" readingOrder="2"/>
      <protection locked="0"/>
    </xf>
    <xf numFmtId="0" fontId="5" fillId="4" borderId="47" xfId="0" applyFont="1" applyFill="1" applyBorder="1" applyAlignment="1" applyProtection="1">
      <alignment horizontal="center" vertical="center" wrapText="1" readingOrder="2"/>
      <protection hidden="1"/>
    </xf>
    <xf numFmtId="9" fontId="5" fillId="4" borderId="47" xfId="0" applyNumberFormat="1" applyFont="1" applyFill="1" applyBorder="1" applyAlignment="1" applyProtection="1">
      <alignment horizontal="center" vertical="center" wrapText="1" readingOrder="2"/>
      <protection hidden="1"/>
    </xf>
    <xf numFmtId="9" fontId="5" fillId="4" borderId="17" xfId="0" applyNumberFormat="1" applyFont="1" applyFill="1" applyBorder="1" applyAlignment="1" applyProtection="1">
      <alignment horizontal="center" vertical="center" wrapText="1" readingOrder="2"/>
      <protection hidden="1"/>
    </xf>
    <xf numFmtId="4" fontId="12" fillId="3" borderId="17" xfId="1" applyNumberFormat="1" applyFont="1" applyFill="1" applyBorder="1" applyAlignment="1" applyProtection="1">
      <alignment horizontal="center" vertical="center" readingOrder="2"/>
      <protection locked="0"/>
    </xf>
    <xf numFmtId="0" fontId="12" fillId="7" borderId="16" xfId="1" applyNumberFormat="1" applyFont="1" applyFill="1" applyBorder="1" applyAlignment="1" applyProtection="1">
      <alignment horizontal="center" vertical="center" readingOrder="2"/>
      <protection locked="0"/>
    </xf>
    <xf numFmtId="0" fontId="12" fillId="7" borderId="17" xfId="1" applyNumberFormat="1" applyFont="1" applyFill="1" applyBorder="1" applyAlignment="1" applyProtection="1">
      <alignment horizontal="center" vertical="center" readingOrder="2"/>
      <protection hidden="1"/>
    </xf>
    <xf numFmtId="9" fontId="5" fillId="7" borderId="17" xfId="0" applyNumberFormat="1" applyFont="1" applyFill="1" applyBorder="1" applyAlignment="1" applyProtection="1">
      <alignment horizontal="center" vertical="center" wrapText="1" readingOrder="2"/>
      <protection hidden="1"/>
    </xf>
    <xf numFmtId="4" fontId="12" fillId="7" borderId="17" xfId="1" applyNumberFormat="1" applyFont="1" applyFill="1" applyBorder="1" applyAlignment="1" applyProtection="1">
      <alignment horizontal="center" vertical="center" readingOrder="2"/>
      <protection hidden="1"/>
    </xf>
    <xf numFmtId="4" fontId="12" fillId="4" borderId="41" xfId="1" applyNumberFormat="1" applyFont="1" applyFill="1" applyBorder="1" applyAlignment="1" applyProtection="1">
      <alignment horizontal="center" vertical="center" readingOrder="2"/>
      <protection hidden="1"/>
    </xf>
    <xf numFmtId="4" fontId="12" fillId="4" borderId="44" xfId="1" applyNumberFormat="1" applyFont="1" applyFill="1" applyBorder="1" applyAlignment="1" applyProtection="1">
      <alignment horizontal="center" vertical="center" readingOrder="2"/>
      <protection hidden="1"/>
    </xf>
    <xf numFmtId="4" fontId="12" fillId="4" borderId="48" xfId="1" applyNumberFormat="1" applyFont="1" applyFill="1" applyBorder="1" applyAlignment="1" applyProtection="1">
      <alignment horizontal="center" vertical="center" readingOrder="2"/>
      <protection hidden="1"/>
    </xf>
    <xf numFmtId="4" fontId="12" fillId="4" borderId="42" xfId="1" applyNumberFormat="1" applyFont="1" applyFill="1" applyBorder="1" applyAlignment="1" applyProtection="1">
      <alignment horizontal="center" vertical="center" readingOrder="2"/>
      <protection hidden="1"/>
    </xf>
    <xf numFmtId="4" fontId="12" fillId="4" borderId="45" xfId="1" applyNumberFormat="1" applyFont="1" applyFill="1" applyBorder="1" applyAlignment="1" applyProtection="1">
      <alignment horizontal="center" vertical="center" readingOrder="2"/>
      <protection hidden="1"/>
    </xf>
    <xf numFmtId="4" fontId="12" fillId="4" borderId="49" xfId="1" applyNumberFormat="1" applyFont="1" applyFill="1" applyBorder="1" applyAlignment="1" applyProtection="1">
      <alignment horizontal="center" vertical="center" readingOrder="2"/>
      <protection hidden="1"/>
    </xf>
    <xf numFmtId="1" fontId="10" fillId="4" borderId="16" xfId="0" applyNumberFormat="1" applyFont="1" applyFill="1" applyBorder="1" applyAlignment="1" applyProtection="1">
      <alignment horizontal="center" vertical="center" wrapText="1" readingOrder="2"/>
      <protection locked="0"/>
    </xf>
    <xf numFmtId="0" fontId="5" fillId="4" borderId="18" xfId="0" applyFont="1" applyFill="1" applyBorder="1" applyAlignment="1" applyProtection="1">
      <alignment horizontal="center" vertical="center"/>
      <protection hidden="1"/>
    </xf>
    <xf numFmtId="0" fontId="12" fillId="6" borderId="18" xfId="0" applyFont="1" applyFill="1" applyBorder="1" applyAlignment="1" applyProtection="1">
      <alignment horizontal="right" vertical="center" wrapText="1" readingOrder="2"/>
      <protection locked="0"/>
    </xf>
    <xf numFmtId="0" fontId="5" fillId="7" borderId="18" xfId="0" applyFont="1" applyFill="1" applyBorder="1" applyAlignment="1" applyProtection="1">
      <alignment horizontal="center" vertical="center"/>
      <protection hidden="1"/>
    </xf>
    <xf numFmtId="0" fontId="10" fillId="4" borderId="16" xfId="0" applyFont="1" applyFill="1" applyBorder="1" applyAlignment="1" applyProtection="1">
      <alignment horizontal="right" vertical="center" wrapText="1" readingOrder="2"/>
      <protection locked="0"/>
    </xf>
    <xf numFmtId="4" fontId="12" fillId="3" borderId="18" xfId="1" applyNumberFormat="1" applyFont="1" applyFill="1" applyBorder="1" applyAlignment="1" applyProtection="1">
      <alignment horizontal="center" vertical="center" readingOrder="2"/>
      <protection locked="0"/>
    </xf>
    <xf numFmtId="165" fontId="10" fillId="4" borderId="18" xfId="1" applyFont="1" applyFill="1" applyBorder="1" applyAlignment="1" applyProtection="1">
      <alignment horizontal="center" vertical="center"/>
      <protection hidden="1"/>
    </xf>
    <xf numFmtId="4" fontId="20" fillId="3" borderId="9" xfId="1" applyNumberFormat="1" applyFont="1" applyFill="1" applyBorder="1" applyAlignment="1" applyProtection="1">
      <alignment horizontal="center" vertical="center" readingOrder="2"/>
      <protection locked="0"/>
    </xf>
    <xf numFmtId="4" fontId="5" fillId="4" borderId="18" xfId="0" applyNumberFormat="1" applyFont="1" applyFill="1" applyBorder="1" applyAlignment="1" applyProtection="1">
      <alignment horizontal="center" vertical="center"/>
      <protection hidden="1"/>
    </xf>
    <xf numFmtId="0" fontId="12" fillId="4" borderId="14" xfId="0" applyFont="1" applyFill="1" applyBorder="1" applyAlignment="1" applyProtection="1">
      <alignment horizontal="center" vertical="center" readingOrder="2"/>
      <protection hidden="1"/>
    </xf>
    <xf numFmtId="4" fontId="12" fillId="4" borderId="15" xfId="1" applyNumberFormat="1" applyFont="1" applyFill="1" applyBorder="1" applyAlignment="1" applyProtection="1">
      <alignment horizontal="center" vertical="center" readingOrder="2"/>
      <protection hidden="1"/>
    </xf>
    <xf numFmtId="1" fontId="5" fillId="7" borderId="18" xfId="0" applyNumberFormat="1" applyFont="1" applyFill="1" applyBorder="1" applyAlignment="1" applyProtection="1">
      <alignment horizontal="center" vertical="center" wrapText="1" readingOrder="2"/>
      <protection locked="0"/>
    </xf>
    <xf numFmtId="1" fontId="5" fillId="6" borderId="8" xfId="0" applyNumberFormat="1" applyFont="1" applyFill="1" applyBorder="1" applyAlignment="1" applyProtection="1">
      <alignment horizontal="right" vertical="center" wrapText="1"/>
      <protection locked="0"/>
    </xf>
    <xf numFmtId="4" fontId="12" fillId="6" borderId="18" xfId="1" applyNumberFormat="1" applyFont="1" applyFill="1" applyBorder="1" applyAlignment="1" applyProtection="1">
      <alignment horizontal="center" vertical="center" readingOrder="2"/>
      <protection locked="0"/>
    </xf>
    <xf numFmtId="0" fontId="10" fillId="4" borderId="16" xfId="0" applyFont="1" applyFill="1" applyBorder="1" applyAlignment="1" applyProtection="1">
      <alignment horizontal="center" vertical="center" wrapText="1" readingOrder="2"/>
      <protection locked="0"/>
    </xf>
    <xf numFmtId="4" fontId="12" fillId="6" borderId="33" xfId="1" applyNumberFormat="1" applyFont="1" applyFill="1" applyBorder="1" applyAlignment="1" applyProtection="1">
      <alignment horizontal="center" vertical="center" readingOrder="2"/>
      <protection locked="0"/>
    </xf>
    <xf numFmtId="4" fontId="12" fillId="6" borderId="52" xfId="1" applyNumberFormat="1" applyFont="1" applyFill="1" applyBorder="1" applyAlignment="1" applyProtection="1">
      <alignment horizontal="center" vertical="center" readingOrder="2"/>
      <protection locked="0"/>
    </xf>
    <xf numFmtId="0" fontId="10" fillId="5" borderId="16" xfId="0" applyFont="1" applyFill="1" applyBorder="1" applyAlignment="1" applyProtection="1">
      <alignment horizontal="center" vertical="center" wrapText="1" readingOrder="2"/>
      <protection locked="0"/>
    </xf>
    <xf numFmtId="0" fontId="10" fillId="5" borderId="17" xfId="0" applyFont="1" applyFill="1" applyBorder="1" applyAlignment="1" applyProtection="1">
      <alignment horizontal="center" vertical="center" wrapText="1" readingOrder="2"/>
      <protection locked="0"/>
    </xf>
    <xf numFmtId="0" fontId="10" fillId="5" borderId="18" xfId="0" applyFont="1" applyFill="1" applyBorder="1" applyAlignment="1" applyProtection="1">
      <alignment horizontal="center" vertical="center" wrapText="1" readingOrder="2"/>
      <protection locked="0"/>
    </xf>
    <xf numFmtId="0" fontId="10" fillId="5" borderId="16" xfId="0" applyFont="1" applyFill="1" applyBorder="1" applyAlignment="1" applyProtection="1">
      <alignment horizontal="right" vertical="top" wrapText="1" readingOrder="2"/>
      <protection locked="0"/>
    </xf>
    <xf numFmtId="165" fontId="10" fillId="4" borderId="17" xfId="1" applyFont="1" applyFill="1" applyBorder="1" applyAlignment="1" applyProtection="1">
      <alignment horizontal="center" vertical="center"/>
      <protection hidden="1"/>
    </xf>
    <xf numFmtId="165" fontId="10" fillId="4" borderId="17" xfId="1" applyFont="1" applyFill="1" applyBorder="1" applyAlignment="1" applyProtection="1">
      <alignment vertical="center"/>
      <protection hidden="1"/>
    </xf>
    <xf numFmtId="9" fontId="10" fillId="4" borderId="18" xfId="2" applyFont="1" applyFill="1" applyBorder="1" applyAlignment="1" applyProtection="1">
      <alignment horizontal="center" vertical="center"/>
      <protection hidden="1"/>
    </xf>
    <xf numFmtId="4" fontId="12" fillId="4" borderId="52" xfId="1" applyNumberFormat="1" applyFont="1" applyFill="1" applyBorder="1" applyAlignment="1" applyProtection="1">
      <alignment horizontal="center" vertical="center" readingOrder="2"/>
      <protection hidden="1"/>
    </xf>
    <xf numFmtId="3" fontId="12" fillId="3" borderId="53" xfId="1" applyNumberFormat="1" applyFont="1" applyFill="1" applyBorder="1" applyAlignment="1" applyProtection="1">
      <alignment horizontal="center" vertical="center" readingOrder="2"/>
      <protection locked="0"/>
    </xf>
    <xf numFmtId="3" fontId="12" fillId="7" borderId="15" xfId="1" applyNumberFormat="1" applyFont="1" applyFill="1" applyBorder="1" applyAlignment="1" applyProtection="1">
      <alignment horizontal="center" vertical="center" readingOrder="2"/>
      <protection hidden="1"/>
    </xf>
    <xf numFmtId="4" fontId="10" fillId="4" borderId="17" xfId="0" applyNumberFormat="1" applyFont="1" applyFill="1" applyBorder="1" applyAlignment="1" applyProtection="1">
      <alignment horizontal="center" vertical="center" wrapText="1" readingOrder="2"/>
      <protection hidden="1"/>
    </xf>
    <xf numFmtId="165" fontId="10" fillId="4" borderId="18" xfId="0" applyNumberFormat="1" applyFont="1" applyFill="1" applyBorder="1" applyAlignment="1" applyProtection="1">
      <alignment horizontal="center" vertical="center" wrapText="1" readingOrder="2"/>
      <protection hidden="1"/>
    </xf>
    <xf numFmtId="3" fontId="5" fillId="4" borderId="8" xfId="0" applyNumberFormat="1" applyFont="1" applyFill="1" applyBorder="1" applyAlignment="1" applyProtection="1">
      <alignment horizontal="center" vertical="center" wrapText="1" readingOrder="2"/>
      <protection hidden="1"/>
    </xf>
    <xf numFmtId="4" fontId="5" fillId="0" borderId="8" xfId="0" applyNumberFormat="1" applyFont="1" applyBorder="1" applyAlignment="1" applyProtection="1">
      <alignment horizontal="center" vertical="center"/>
      <protection hidden="1"/>
    </xf>
    <xf numFmtId="0" fontId="22" fillId="0" borderId="0" xfId="0" applyFont="1" applyAlignment="1">
      <alignment horizontal="right" vertical="center" readingOrder="2"/>
    </xf>
    <xf numFmtId="0" fontId="23" fillId="0" borderId="0" xfId="0" applyFont="1"/>
    <xf numFmtId="0" fontId="23" fillId="0" borderId="0" xfId="0" applyFont="1" applyAlignment="1">
      <alignment horizontal="center" vertical="center"/>
    </xf>
    <xf numFmtId="165" fontId="0" fillId="0" borderId="54" xfId="0" applyNumberFormat="1" applyBorder="1"/>
    <xf numFmtId="165" fontId="23" fillId="0" borderId="55" xfId="0" applyNumberFormat="1" applyFont="1" applyBorder="1"/>
    <xf numFmtId="165" fontId="23" fillId="0" borderId="54" xfId="0" applyNumberFormat="1" applyFont="1" applyBorder="1"/>
    <xf numFmtId="165" fontId="23" fillId="0" borderId="56" xfId="0" applyNumberFormat="1" applyFont="1" applyBorder="1"/>
    <xf numFmtId="165" fontId="0" fillId="0" borderId="0" xfId="0" applyNumberFormat="1"/>
    <xf numFmtId="0" fontId="5" fillId="0" borderId="8" xfId="0" applyFont="1" applyBorder="1" applyAlignment="1" applyProtection="1">
      <alignment horizontal="center" vertical="center"/>
      <protection locked="0"/>
    </xf>
    <xf numFmtId="0" fontId="5" fillId="0" borderId="32" xfId="0" applyFont="1" applyBorder="1" applyAlignment="1" applyProtection="1">
      <alignment horizontal="center" vertical="center"/>
      <protection locked="0"/>
    </xf>
    <xf numFmtId="0" fontId="5" fillId="0" borderId="57" xfId="0" applyFont="1" applyBorder="1" applyAlignment="1" applyProtection="1">
      <alignment horizontal="center" vertical="center"/>
      <protection locked="0"/>
    </xf>
    <xf numFmtId="0" fontId="5" fillId="0" borderId="8" xfId="0" applyFont="1" applyBorder="1" applyProtection="1">
      <protection locked="0"/>
    </xf>
    <xf numFmtId="14" fontId="5" fillId="0" borderId="8" xfId="0" applyNumberFormat="1" applyFont="1" applyBorder="1" applyProtection="1">
      <protection locked="0"/>
    </xf>
    <xf numFmtId="0" fontId="5" fillId="0" borderId="8" xfId="0" applyFont="1" applyBorder="1" applyAlignment="1" applyProtection="1">
      <alignment wrapText="1"/>
      <protection locked="0"/>
    </xf>
    <xf numFmtId="0" fontId="5" fillId="0" borderId="8" xfId="0" applyFont="1" applyBorder="1" applyAlignment="1" applyProtection="1">
      <alignment horizontal="right" vertical="center"/>
      <protection locked="0"/>
    </xf>
    <xf numFmtId="0" fontId="5" fillId="0" borderId="32" xfId="0" applyFont="1" applyBorder="1" applyAlignment="1" applyProtection="1">
      <alignment horizontal="right" vertical="center" wrapText="1"/>
      <protection locked="0"/>
    </xf>
    <xf numFmtId="0" fontId="5" fillId="0" borderId="57" xfId="0" applyFont="1" applyBorder="1" applyAlignment="1" applyProtection="1">
      <alignment horizontal="right" vertical="center" wrapText="1"/>
      <protection locked="0"/>
    </xf>
    <xf numFmtId="3" fontId="12" fillId="3" borderId="9" xfId="1" applyNumberFormat="1" applyFont="1" applyFill="1" applyBorder="1" applyAlignment="1" applyProtection="1">
      <alignment horizontal="center" vertical="center" readingOrder="2"/>
      <protection locked="0"/>
    </xf>
    <xf numFmtId="3" fontId="0" fillId="0" borderId="0" xfId="0" applyNumberFormat="1" applyProtection="1">
      <protection locked="0"/>
    </xf>
    <xf numFmtId="4" fontId="0" fillId="0" borderId="0" xfId="0" applyNumberFormat="1" applyProtection="1">
      <protection locked="0"/>
    </xf>
    <xf numFmtId="0" fontId="24" fillId="0" borderId="54" xfId="0" applyFont="1" applyBorder="1" applyAlignment="1">
      <alignment horizontal="center" vertical="center" wrapText="1" readingOrder="2"/>
    </xf>
    <xf numFmtId="0" fontId="6" fillId="2" borderId="0" xfId="0" applyFont="1" applyFill="1" applyAlignment="1" applyProtection="1">
      <alignment horizontal="center" vertical="center"/>
      <protection locked="0"/>
    </xf>
    <xf numFmtId="1" fontId="6" fillId="2" borderId="10" xfId="0" applyNumberFormat="1" applyFont="1" applyFill="1" applyBorder="1" applyAlignment="1" applyProtection="1">
      <alignment horizontal="center" vertical="center" wrapText="1" readingOrder="2"/>
      <protection locked="0"/>
    </xf>
    <xf numFmtId="1" fontId="6" fillId="2" borderId="11" xfId="0" applyNumberFormat="1" applyFont="1" applyFill="1" applyBorder="1" applyAlignment="1" applyProtection="1">
      <alignment horizontal="center" vertical="center" wrapText="1" readingOrder="2"/>
      <protection locked="0"/>
    </xf>
    <xf numFmtId="1" fontId="6" fillId="2" borderId="12" xfId="0" applyNumberFormat="1" applyFont="1" applyFill="1" applyBorder="1" applyAlignment="1" applyProtection="1">
      <alignment horizontal="center" vertical="center" wrapText="1" readingOrder="2"/>
      <protection locked="0"/>
    </xf>
    <xf numFmtId="4" fontId="12" fillId="3" borderId="30" xfId="1" applyNumberFormat="1" applyFont="1" applyFill="1" applyBorder="1" applyAlignment="1" applyProtection="1">
      <alignment horizontal="center" vertical="center" readingOrder="2"/>
      <protection locked="0"/>
    </xf>
    <xf numFmtId="4" fontId="12" fillId="3" borderId="34" xfId="1" applyNumberFormat="1" applyFont="1" applyFill="1" applyBorder="1" applyAlignment="1" applyProtection="1">
      <alignment horizontal="center" vertical="center" readingOrder="2"/>
      <protection locked="0"/>
    </xf>
    <xf numFmtId="1" fontId="9" fillId="2" borderId="7" xfId="0" applyNumberFormat="1" applyFont="1" applyFill="1" applyBorder="1" applyAlignment="1" applyProtection="1">
      <alignment horizontal="center" vertical="center" wrapText="1" readingOrder="2"/>
      <protection locked="0"/>
    </xf>
    <xf numFmtId="1" fontId="9" fillId="2" borderId="8" xfId="0" applyNumberFormat="1" applyFont="1" applyFill="1" applyBorder="1" applyAlignment="1" applyProtection="1">
      <alignment horizontal="center" vertical="center" wrapText="1" readingOrder="2"/>
      <protection locked="0"/>
    </xf>
    <xf numFmtId="1" fontId="6" fillId="2" borderId="19" xfId="0" applyNumberFormat="1" applyFont="1" applyFill="1" applyBorder="1" applyAlignment="1" applyProtection="1">
      <alignment horizontal="center" vertical="center" wrapText="1" readingOrder="2"/>
      <protection locked="0"/>
    </xf>
    <xf numFmtId="1" fontId="6" fillId="2" borderId="20" xfId="0" applyNumberFormat="1" applyFont="1" applyFill="1" applyBorder="1" applyAlignment="1" applyProtection="1">
      <alignment horizontal="center" vertical="center" wrapText="1" readingOrder="2"/>
      <protection locked="0"/>
    </xf>
    <xf numFmtId="1" fontId="6" fillId="2" borderId="21" xfId="0" applyNumberFormat="1" applyFont="1" applyFill="1" applyBorder="1" applyAlignment="1" applyProtection="1">
      <alignment horizontal="center" vertical="center" wrapText="1" readingOrder="2"/>
      <protection locked="0"/>
    </xf>
    <xf numFmtId="1" fontId="9" fillId="2" borderId="13" xfId="0" applyNumberFormat="1" applyFont="1" applyFill="1" applyBorder="1" applyAlignment="1" applyProtection="1">
      <alignment horizontal="center" vertical="center" wrapText="1" readingOrder="2"/>
      <protection locked="0"/>
    </xf>
    <xf numFmtId="1" fontId="9" fillId="2" borderId="14" xfId="0" applyNumberFormat="1" applyFont="1" applyFill="1" applyBorder="1" applyAlignment="1" applyProtection="1">
      <alignment horizontal="center" vertical="center" wrapText="1" readingOrder="2"/>
      <protection locked="0"/>
    </xf>
    <xf numFmtId="1" fontId="5" fillId="4" borderId="16" xfId="0" applyNumberFormat="1" applyFont="1" applyFill="1" applyBorder="1" applyAlignment="1" applyProtection="1">
      <alignment horizontal="center" vertical="center" wrapText="1" readingOrder="2"/>
      <protection locked="0"/>
    </xf>
    <xf numFmtId="1" fontId="5" fillId="4" borderId="17" xfId="0" applyNumberFormat="1" applyFont="1" applyFill="1" applyBorder="1" applyAlignment="1" applyProtection="1">
      <alignment horizontal="center" vertical="center" wrapText="1" readingOrder="2"/>
      <protection locked="0"/>
    </xf>
    <xf numFmtId="1" fontId="6" fillId="2" borderId="7" xfId="0" applyNumberFormat="1" applyFont="1" applyFill="1" applyBorder="1" applyAlignment="1" applyProtection="1">
      <alignment horizontal="center" vertical="center" wrapText="1" readingOrder="2"/>
      <protection locked="0"/>
    </xf>
    <xf numFmtId="1" fontId="6" fillId="2" borderId="8" xfId="0" applyNumberFormat="1" applyFont="1" applyFill="1" applyBorder="1" applyAlignment="1" applyProtection="1">
      <alignment horizontal="center" vertical="center" wrapText="1" readingOrder="2"/>
      <protection locked="0"/>
    </xf>
    <xf numFmtId="1" fontId="6" fillId="2" borderId="9" xfId="0" applyNumberFormat="1" applyFont="1" applyFill="1" applyBorder="1" applyAlignment="1" applyProtection="1">
      <alignment horizontal="center" vertical="center" wrapText="1" readingOrder="2"/>
      <protection locked="0"/>
    </xf>
    <xf numFmtId="0" fontId="7" fillId="0" borderId="0" xfId="0" applyFont="1" applyAlignment="1" applyProtection="1">
      <alignment horizontal="center"/>
      <protection locked="0"/>
    </xf>
    <xf numFmtId="1" fontId="5" fillId="7" borderId="16" xfId="0" applyNumberFormat="1" applyFont="1" applyFill="1" applyBorder="1" applyAlignment="1" applyProtection="1">
      <alignment horizontal="center" vertical="center" wrapText="1" readingOrder="2"/>
      <protection locked="0"/>
    </xf>
    <xf numFmtId="1" fontId="5" fillId="7" borderId="17" xfId="0" applyNumberFormat="1" applyFont="1" applyFill="1" applyBorder="1" applyAlignment="1" applyProtection="1">
      <alignment horizontal="center" vertical="center" wrapText="1" readingOrder="2"/>
      <protection locked="0"/>
    </xf>
    <xf numFmtId="1" fontId="10" fillId="4" borderId="23" xfId="0" applyNumberFormat="1" applyFont="1" applyFill="1" applyBorder="1" applyAlignment="1" applyProtection="1">
      <alignment horizontal="center" vertical="center" wrapText="1" readingOrder="2"/>
      <protection locked="0"/>
    </xf>
    <xf numFmtId="1" fontId="10" fillId="4" borderId="0" xfId="0" applyNumberFormat="1" applyFont="1" applyFill="1" applyAlignment="1" applyProtection="1">
      <alignment horizontal="center" vertical="center" wrapText="1" readingOrder="2"/>
      <protection locked="0"/>
    </xf>
    <xf numFmtId="1" fontId="10" fillId="4" borderId="1" xfId="0" applyNumberFormat="1" applyFont="1" applyFill="1" applyBorder="1" applyAlignment="1" applyProtection="1">
      <alignment horizontal="center" vertical="center" wrapText="1" readingOrder="2"/>
      <protection locked="0"/>
    </xf>
    <xf numFmtId="1" fontId="10" fillId="4" borderId="22" xfId="0" applyNumberFormat="1" applyFont="1" applyFill="1" applyBorder="1" applyAlignment="1" applyProtection="1">
      <alignment horizontal="center" vertical="center" wrapText="1" readingOrder="2"/>
      <protection locked="0"/>
    </xf>
    <xf numFmtId="1" fontId="10" fillId="4" borderId="24" xfId="0" applyNumberFormat="1" applyFont="1" applyFill="1" applyBorder="1" applyAlignment="1" applyProtection="1">
      <alignment horizontal="center" vertical="center" wrapText="1" readingOrder="2"/>
      <protection locked="0"/>
    </xf>
    <xf numFmtId="1" fontId="10" fillId="4" borderId="25" xfId="0" applyNumberFormat="1" applyFont="1" applyFill="1" applyBorder="1" applyAlignment="1" applyProtection="1">
      <alignment horizontal="center" vertical="center" wrapText="1" readingOrder="2"/>
      <protection locked="0"/>
    </xf>
    <xf numFmtId="1" fontId="10" fillId="4" borderId="29" xfId="0" applyNumberFormat="1" applyFont="1" applyFill="1" applyBorder="1" applyAlignment="1" applyProtection="1">
      <alignment horizontal="center" vertical="center" wrapText="1" readingOrder="2"/>
      <protection locked="0"/>
    </xf>
    <xf numFmtId="0" fontId="6" fillId="2" borderId="16" xfId="0" applyFont="1" applyFill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horizontal="center" vertical="center"/>
      <protection locked="0"/>
    </xf>
    <xf numFmtId="0" fontId="6" fillId="2" borderId="17" xfId="0" applyFont="1" applyFill="1" applyBorder="1" applyAlignment="1" applyProtection="1">
      <alignment horizontal="center" vertical="center"/>
      <protection locked="0"/>
    </xf>
    <xf numFmtId="0" fontId="6" fillId="2" borderId="7" xfId="0" applyFont="1" applyFill="1" applyBorder="1" applyAlignment="1" applyProtection="1">
      <alignment horizontal="center" vertical="center"/>
      <protection locked="0"/>
    </xf>
    <xf numFmtId="0" fontId="6" fillId="2" borderId="9" xfId="0" applyFont="1" applyFill="1" applyBorder="1" applyAlignment="1" applyProtection="1">
      <alignment horizontal="center" vertical="center"/>
      <protection locked="0"/>
    </xf>
    <xf numFmtId="0" fontId="17" fillId="0" borderId="17" xfId="0" applyFont="1" applyBorder="1" applyAlignment="1">
      <alignment horizontal="right" vertical="top"/>
    </xf>
    <xf numFmtId="0" fontId="17" fillId="0" borderId="18" xfId="0" applyFont="1" applyBorder="1" applyAlignment="1">
      <alignment horizontal="right" vertical="top"/>
    </xf>
    <xf numFmtId="0" fontId="18" fillId="5" borderId="8" xfId="0" applyFont="1" applyFill="1" applyBorder="1" applyAlignment="1">
      <alignment horizontal="center" vertical="center"/>
    </xf>
    <xf numFmtId="0" fontId="18" fillId="5" borderId="9" xfId="0" applyFont="1" applyFill="1" applyBorder="1" applyAlignment="1">
      <alignment horizontal="center" vertical="center"/>
    </xf>
    <xf numFmtId="0" fontId="17" fillId="6" borderId="8" xfId="0" applyFont="1" applyFill="1" applyBorder="1" applyAlignment="1">
      <alignment horizontal="right" vertical="top"/>
    </xf>
    <xf numFmtId="0" fontId="17" fillId="6" borderId="9" xfId="0" applyFont="1" applyFill="1" applyBorder="1" applyAlignment="1">
      <alignment horizontal="right" vertical="top"/>
    </xf>
    <xf numFmtId="0" fontId="17" fillId="4" borderId="7" xfId="0" applyFont="1" applyFill="1" applyBorder="1" applyAlignment="1">
      <alignment horizontal="center" vertical="center"/>
    </xf>
    <xf numFmtId="1" fontId="9" fillId="2" borderId="7" xfId="0" applyNumberFormat="1" applyFont="1" applyFill="1" applyBorder="1" applyAlignment="1">
      <alignment horizontal="center" vertical="center" wrapText="1" readingOrder="2"/>
    </xf>
    <xf numFmtId="1" fontId="9" fillId="2" borderId="8" xfId="0" applyNumberFormat="1" applyFont="1" applyFill="1" applyBorder="1" applyAlignment="1">
      <alignment horizontal="center" vertical="center" wrapText="1" readingOrder="2"/>
    </xf>
    <xf numFmtId="1" fontId="9" fillId="2" borderId="16" xfId="0" applyNumberFormat="1" applyFont="1" applyFill="1" applyBorder="1" applyAlignment="1">
      <alignment horizontal="center" vertical="center" wrapText="1" readingOrder="2"/>
    </xf>
    <xf numFmtId="1" fontId="9" fillId="2" borderId="17" xfId="0" applyNumberFormat="1" applyFont="1" applyFill="1" applyBorder="1" applyAlignment="1">
      <alignment horizontal="center" vertical="center" wrapText="1" readingOrder="2"/>
    </xf>
    <xf numFmtId="1" fontId="9" fillId="2" borderId="18" xfId="0" applyNumberFormat="1" applyFont="1" applyFill="1" applyBorder="1" applyAlignment="1">
      <alignment horizontal="center" vertical="center" wrapText="1" readingOrder="2"/>
    </xf>
    <xf numFmtId="0" fontId="17" fillId="4" borderId="10" xfId="0" applyFont="1" applyFill="1" applyBorder="1" applyAlignment="1">
      <alignment horizontal="center" vertical="center"/>
    </xf>
    <xf numFmtId="0" fontId="17" fillId="6" borderId="50" xfId="0" applyFont="1" applyFill="1" applyBorder="1" applyAlignment="1">
      <alignment horizontal="right" vertical="top"/>
    </xf>
    <xf numFmtId="0" fontId="17" fillId="6" borderId="51" xfId="0" applyFont="1" applyFill="1" applyBorder="1" applyAlignment="1">
      <alignment horizontal="right" vertical="top"/>
    </xf>
  </cellXfs>
  <cellStyles count="4">
    <cellStyle name="Comma" xfId="1" builtinId="3"/>
    <cellStyle name="Currency" xfId="3" builtinId="4"/>
    <cellStyle name="Percent" xfId="2" builtinId="5"/>
    <cellStyle name="عادي" xfId="0" builtinId="0"/>
  </cellStyles>
  <dxfs count="179">
    <dxf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theme="0" tint="-0.14996795556505021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strike val="0"/>
        <outline val="0"/>
        <shadow val="0"/>
        <u val="none"/>
        <vertAlign val="baseline"/>
        <sz val="14"/>
        <color theme="1"/>
        <name val="Sakkal Majalla"/>
        <scheme val="none"/>
      </font>
      <alignment horizontal="center" vertical="center" textRotation="0" indent="0" justifyLastLine="0" shrinkToFit="0"/>
      <border diagonalUp="0" diagonalDown="0">
        <left/>
        <right/>
        <top style="thick">
          <color theme="0" tint="-0.14993743705557422"/>
        </top>
        <bottom style="thick">
          <color theme="0" tint="-0.14993743705557422"/>
        </bottom>
        <vertical/>
        <horizontal style="thick">
          <color theme="0" tint="-0.14993743705557422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solid">
          <fgColor indexed="64"/>
          <bgColor theme="0" tint="-4.9989318521683403E-2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Sakkal Majalla"/>
        <scheme val="none"/>
      </font>
      <numFmt numFmtId="1" formatCode="0"/>
      <fill>
        <patternFill patternType="solid">
          <fgColor indexed="64"/>
          <bgColor theme="0" tint="-4.9989318521683403E-2"/>
        </patternFill>
      </fill>
      <alignment horizontal="center" vertical="center" textRotation="0" wrapText="1" indent="0" justifyLastLine="0" shrinkToFit="0" readingOrder="2"/>
      <border diagonalUp="0" diagonalDown="0">
        <left/>
        <right/>
        <top style="thick">
          <color theme="0" tint="-0.14993743705557422"/>
        </top>
        <bottom style="thick">
          <color theme="0" tint="-0.14993743705557422"/>
        </bottom>
        <vertical/>
        <horizontal style="thick">
          <color theme="0" tint="-0.14993743705557422"/>
        </horizontal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Sakkal Majalla"/>
        <scheme val="none"/>
      </font>
      <numFmt numFmtId="1" formatCode="0"/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2"/>
      <border diagonalUp="0" diagonalDown="0" outline="0">
        <left/>
        <right style="thin">
          <color indexed="64"/>
        </right>
        <top/>
        <bottom style="thin">
          <color indexed="64"/>
        </bottom>
      </border>
      <protection locked="0" hidden="0"/>
    </dxf>
    <dxf>
      <border outline="0">
        <top style="thin">
          <color indexed="64"/>
        </top>
      </border>
    </dxf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Sakkal Majalla"/>
        <scheme val="none"/>
      </font>
      <alignment horizontal="center" vertical="center" textRotation="0" indent="0" justifyLastLine="0" shrinkToFit="0"/>
      <protection locked="0" hidden="0"/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Sakkal Majalla"/>
        <scheme val="none"/>
      </font>
      <alignment horizontal="center" vertical="center" textRotation="0" indent="0" justifyLastLine="0" shrinkToFit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Sakkal Majalla"/>
        <scheme val="none"/>
      </font>
      <numFmt numFmtId="4" formatCode="#,##0.0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2"/>
      <border diagonalUp="0" diagonalDown="0">
        <left/>
        <right style="thick">
          <color theme="0" tint="-0.14993743705557422"/>
        </right>
        <top style="thick">
          <color theme="0" tint="-0.14993743705557422"/>
        </top>
        <bottom style="thick">
          <color theme="0" tint="-0.14993743705557422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Sakkal Majalla"/>
        <scheme val="none"/>
      </font>
      <numFmt numFmtId="4" formatCode="#,##0.00"/>
      <alignment horizontal="center" vertical="center" textRotation="0" wrapText="1" indent="0" justifyLastLine="0" shrinkToFit="0" readingOrder="2"/>
      <border diagonalUp="0" diagonalDown="0">
        <left/>
        <right/>
        <top style="thick">
          <color theme="0" tint="-0.14996795556505021"/>
        </top>
        <bottom style="thick">
          <color theme="0" tint="-0.1499679555650502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Sakkal Majalla"/>
        <scheme val="none"/>
      </font>
      <numFmt numFmtId="166" formatCode="_-* #,##0.00\ [$ر.س.‏-401]_-;\-* #,##0.00\ [$ر.س.‏-401]_-;_-* &quot;-&quot;??\ [$ر.س.‏-401]_-;_-@_-"/>
      <alignment horizontal="center" vertical="center" textRotation="0" wrapText="1" indent="0" justifyLastLine="0" shrinkToFit="0" readingOrder="2"/>
      <border diagonalUp="0" diagonalDown="0">
        <left/>
        <right/>
        <top style="thick">
          <color theme="0" tint="-0.14996795556505021"/>
        </top>
        <bottom style="thick">
          <color theme="0" tint="-0.1499679555650502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Sakkal Majalla"/>
        <scheme val="none"/>
      </font>
      <numFmt numFmtId="13" formatCode="0%"/>
      <alignment horizontal="center" vertical="center" textRotation="0" wrapText="1" indent="0" justifyLastLine="0" shrinkToFit="0" readingOrder="2"/>
      <border diagonalUp="0" diagonalDown="0">
        <left/>
        <right/>
        <top style="thick">
          <color theme="0" tint="-0.14996795556505021"/>
        </top>
        <bottom style="thick">
          <color theme="0" tint="-0.1499679555650502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Sakkal Majalla"/>
        <scheme val="none"/>
      </font>
      <numFmt numFmtId="0" formatCode="General"/>
      <alignment horizontal="center" vertical="center" textRotation="0" wrapText="1" indent="0" justifyLastLine="0" shrinkToFit="0" readingOrder="2"/>
      <border diagonalUp="0" diagonalDown="0">
        <left/>
        <right/>
        <top style="thick">
          <color theme="0" tint="-0.14996795556505021"/>
        </top>
        <bottom style="thick">
          <color theme="0" tint="-0.1499679555650502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Sakkal Majalla"/>
        <scheme val="none"/>
      </font>
      <numFmt numFmtId="1" formatCode="0"/>
      <fill>
        <patternFill patternType="solid">
          <fgColor indexed="64"/>
          <bgColor theme="0" tint="-4.9989318521683403E-2"/>
        </patternFill>
      </fill>
      <alignment horizontal="center" vertical="center" textRotation="0" wrapText="1" indent="0" justifyLastLine="0" shrinkToFit="0" readingOrder="2"/>
      <border diagonalUp="0" diagonalDown="0">
        <left/>
        <right/>
        <top style="thick">
          <color theme="0" tint="-0.14996795556505021"/>
        </top>
        <bottom style="thick">
          <color theme="0" tint="-0.14996795556505021"/>
        </bottom>
      </border>
      <protection locked="0" hidden="0"/>
    </dxf>
    <dxf>
      <border>
        <top style="thick">
          <color theme="0" tint="-0.14996795556505021"/>
        </top>
      </border>
    </dxf>
    <dxf>
      <border diagonalUp="0" diagonalDown="0">
        <left style="thick">
          <color theme="0" tint="-0.14996795556505021"/>
        </left>
        <right style="thick">
          <color theme="0" tint="-0.14996795556505021"/>
        </right>
        <top style="thick">
          <color theme="0" tint="-0.14996795556505021"/>
        </top>
        <bottom style="thick">
          <color theme="0" tint="-0.149967955565050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Sakkal Majalla"/>
        <scheme val="none"/>
      </font>
      <numFmt numFmtId="1" formatCode="0"/>
      <alignment horizontal="center" vertical="center" textRotation="0" wrapText="1" indent="0" justifyLastLine="0" shrinkToFit="0" readingOrder="2"/>
      <protection locked="0" hidden="0"/>
    </dxf>
    <dxf>
      <border>
        <bottom style="thick">
          <color theme="0" tint="-0.149967955565050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Sakkal Majalla"/>
        <scheme val="none"/>
      </font>
      <numFmt numFmtId="1" formatCode="0"/>
      <fill>
        <patternFill patternType="solid">
          <fgColor indexed="64"/>
          <bgColor rgb="FF005257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Sakkal Majalla"/>
        <scheme val="none"/>
      </font>
      <numFmt numFmtId="13" formatCode="0%"/>
      <alignment horizontal="center" vertical="bottom" textRotation="0" wrapText="0" indent="0" justifyLastLine="0" shrinkToFit="0" readingOrder="0"/>
      <border diagonalUp="0" diagonalDown="0">
        <left/>
        <right/>
        <top style="thick">
          <color theme="0" tint="-0.14996795556505021"/>
        </top>
        <bottom style="thick">
          <color theme="0" tint="-0.14996795556505021"/>
        </bottom>
        <vertical/>
        <horizontal style="thick">
          <color theme="0" tint="-0.14996795556505021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Sakkal Majalla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>
        <left/>
        <right/>
        <top style="thick">
          <color theme="0" tint="-0.14996795556505021"/>
        </top>
        <bottom style="thick">
          <color theme="0" tint="-0.14996795556505021"/>
        </bottom>
        <vertical/>
        <horizontal style="thick">
          <color theme="0" tint="-0.14996795556505021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Sakkal Majalla"/>
        <scheme val="none"/>
      </font>
      <numFmt numFmtId="1" formatCode="0"/>
      <fill>
        <patternFill patternType="solid">
          <fgColor indexed="64"/>
          <bgColor theme="0" tint="-4.9989318521683403E-2"/>
        </patternFill>
      </fill>
      <alignment horizontal="center" vertical="center" textRotation="0" wrapText="1" indent="0" justifyLastLine="0" shrinkToFit="0" readingOrder="2"/>
      <border diagonalUp="0" diagonalDown="0">
        <left/>
        <right/>
        <top style="thick">
          <color theme="0" tint="-0.14996795556505021"/>
        </top>
        <bottom style="thick">
          <color theme="0" tint="-0.14996795556505021"/>
        </bottom>
        <vertical/>
        <horizontal style="thick">
          <color theme="0" tint="-0.14996795556505021"/>
        </horizontal>
      </border>
      <protection locked="0" hidden="0"/>
    </dxf>
    <dxf>
      <border>
        <top style="thick">
          <color theme="0" tint="-0.14996795556505021"/>
        </top>
      </border>
    </dxf>
    <dxf>
      <border diagonalUp="0" diagonalDown="0">
        <left style="thick">
          <color theme="0" tint="-0.14996795556505021"/>
        </left>
        <right style="thick">
          <color theme="0" tint="-0.14996795556505021"/>
        </right>
        <top style="thick">
          <color theme="0" tint="-0.14996795556505021"/>
        </top>
        <bottom style="thick">
          <color theme="0" tint="-0.14996795556505021"/>
        </bottom>
      </border>
    </dxf>
    <dxf>
      <font>
        <strike val="0"/>
        <outline val="0"/>
        <shadow val="0"/>
        <u val="none"/>
        <vertAlign val="baseline"/>
        <sz val="14"/>
        <name val="Sakkal Majalla"/>
        <scheme val="none"/>
      </font>
      <numFmt numFmtId="1" formatCode="0"/>
      <protection locked="0" hidden="0"/>
    </dxf>
    <dxf>
      <border>
        <bottom style="thick">
          <color theme="0" tint="-0.149967955565050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Sakkal Majalla"/>
        <scheme val="none"/>
      </font>
      <numFmt numFmtId="1" formatCode="0"/>
      <fill>
        <patternFill patternType="solid">
          <fgColor indexed="64"/>
          <bgColor rgb="FF005257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Sakkal Majalla"/>
        <scheme val="none"/>
      </font>
      <numFmt numFmtId="4" formatCode="#,##0.0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2"/>
      <border diagonalUp="0" diagonalDown="0">
        <left/>
        <right style="thick">
          <color theme="0" tint="-0.14993743705557422"/>
        </right>
        <top style="thick">
          <color theme="0" tint="-0.14993743705557422"/>
        </top>
        <bottom style="thick">
          <color theme="0" tint="-0.14993743705557422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Sakkal Majalla"/>
        <scheme val="none"/>
      </font>
      <numFmt numFmtId="166" formatCode="_-* #,##0.00\ [$ر.س.‏-401]_-;\-* #,##0.00\ [$ر.س.‏-401]_-;_-* &quot;-&quot;??\ [$ر.س.‏-401]_-;_-@_-"/>
      <alignment horizontal="center" vertical="center" textRotation="0" wrapText="1" indent="0" justifyLastLine="0" shrinkToFit="0" readingOrder="2"/>
      <border diagonalUp="0" diagonalDown="0">
        <left/>
        <right/>
        <top style="thick">
          <color theme="0" tint="-0.14996795556505021"/>
        </top>
        <bottom style="thick">
          <color theme="0" tint="-0.1499679555650502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Sakkal Majalla"/>
        <scheme val="none"/>
      </font>
      <numFmt numFmtId="166" formatCode="_-* #,##0.00\ [$ر.س.‏-401]_-;\-* #,##0.00\ [$ر.س.‏-401]_-;_-* &quot;-&quot;??\ [$ر.س.‏-401]_-;_-@_-"/>
      <alignment horizontal="center" vertical="center" textRotation="0" wrapText="1" indent="0" justifyLastLine="0" shrinkToFit="0" readingOrder="2"/>
      <border diagonalUp="0" diagonalDown="0">
        <left/>
        <right/>
        <top style="thick">
          <color theme="0" tint="-0.14996795556505021"/>
        </top>
        <bottom style="thick">
          <color theme="0" tint="-0.1499679555650502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Sakkal Majalla"/>
        <scheme val="none"/>
      </font>
      <numFmt numFmtId="13" formatCode="0%"/>
      <alignment horizontal="center" vertical="center" textRotation="0" wrapText="1" indent="0" justifyLastLine="0" shrinkToFit="0" readingOrder="2"/>
      <border diagonalUp="0" diagonalDown="0">
        <left/>
        <right/>
        <top style="thick">
          <color theme="0" tint="-0.14996795556505021"/>
        </top>
        <bottom style="thick">
          <color theme="0" tint="-0.1499679555650502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Sakkal Majalla"/>
        <scheme val="none"/>
      </font>
      <numFmt numFmtId="0" formatCode="General"/>
      <alignment horizontal="center" vertical="center" textRotation="0" wrapText="1" indent="0" justifyLastLine="0" shrinkToFit="0" readingOrder="2"/>
      <border diagonalUp="0" diagonalDown="0">
        <left/>
        <right/>
        <top style="thick">
          <color theme="0" tint="-0.14996795556505021"/>
        </top>
        <bottom style="thick">
          <color theme="0" tint="-0.1499679555650502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Sakkal Majalla"/>
        <scheme val="none"/>
      </font>
      <numFmt numFmtId="1" formatCode="0"/>
      <fill>
        <patternFill patternType="solid">
          <fgColor indexed="64"/>
          <bgColor theme="0" tint="-4.9989318521683403E-2"/>
        </patternFill>
      </fill>
      <alignment horizontal="center" vertical="center" textRotation="0" wrapText="1" indent="0" justifyLastLine="0" shrinkToFit="0" readingOrder="2"/>
      <border diagonalUp="0" diagonalDown="0">
        <left/>
        <right/>
        <top style="thick">
          <color theme="0" tint="-0.14996795556505021"/>
        </top>
        <bottom style="thick">
          <color theme="0" tint="-0.14996795556505021"/>
        </bottom>
      </border>
      <protection locked="0" hidden="0"/>
    </dxf>
    <dxf>
      <border>
        <top style="thick">
          <color theme="0" tint="-0.14996795556505021"/>
        </top>
      </border>
    </dxf>
    <dxf>
      <border diagonalUp="0" diagonalDown="0">
        <left style="thick">
          <color theme="0" tint="-0.14996795556505021"/>
        </left>
        <right style="thick">
          <color theme="0" tint="-0.14996795556505021"/>
        </right>
        <top style="thick">
          <color theme="0" tint="-0.14996795556505021"/>
        </top>
        <bottom style="thick">
          <color theme="0" tint="-0.149967955565050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Sakkal Majalla"/>
        <scheme val="none"/>
      </font>
      <numFmt numFmtId="1" formatCode="0"/>
      <alignment horizontal="center" vertical="center" textRotation="0" wrapText="1" indent="0" justifyLastLine="0" shrinkToFit="0" readingOrder="2"/>
      <protection locked="0" hidden="0"/>
    </dxf>
    <dxf>
      <border>
        <bottom style="thick">
          <color theme="0" tint="-0.149967955565050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Sakkal Majalla"/>
        <scheme val="none"/>
      </font>
      <numFmt numFmtId="1" formatCode="0"/>
      <fill>
        <patternFill patternType="solid">
          <fgColor indexed="64"/>
          <bgColor rgb="FF005257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Sakkal Majalla"/>
        <scheme val="none"/>
      </font>
      <numFmt numFmtId="4" formatCode="#,##0.0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2"/>
      <border diagonalUp="0" diagonalDown="0">
        <left/>
        <right style="thick">
          <color theme="0" tint="-0.14993743705557422"/>
        </right>
        <top style="thick">
          <color theme="0" tint="-0.14993743705557422"/>
        </top>
        <bottom style="thick">
          <color theme="0" tint="-0.14993743705557422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Sakkal Majalla"/>
        <scheme val="none"/>
      </font>
      <numFmt numFmtId="166" formatCode="_-* #,##0.00\ [$ر.س.‏-401]_-;\-* #,##0.00\ [$ر.س.‏-401]_-;_-* &quot;-&quot;??\ [$ر.س.‏-401]_-;_-@_-"/>
      <alignment horizontal="center" vertical="center" textRotation="0" wrapText="1" indent="0" justifyLastLine="0" shrinkToFit="0" readingOrder="2"/>
      <border diagonalUp="0" diagonalDown="0">
        <left/>
        <right/>
        <top style="thick">
          <color theme="0" tint="-0.14996795556505021"/>
        </top>
        <bottom style="thick">
          <color theme="0" tint="-0.1499679555650502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Sakkal Majalla"/>
        <scheme val="none"/>
      </font>
      <numFmt numFmtId="166" formatCode="_-* #,##0.00\ [$ر.س.‏-401]_-;\-* #,##0.00\ [$ر.س.‏-401]_-;_-* &quot;-&quot;??\ [$ر.س.‏-401]_-;_-@_-"/>
      <alignment horizontal="center" vertical="center" textRotation="0" wrapText="1" indent="0" justifyLastLine="0" shrinkToFit="0" readingOrder="2"/>
      <border diagonalUp="0" diagonalDown="0">
        <left/>
        <right/>
        <top style="thick">
          <color theme="0" tint="-0.14996795556505021"/>
        </top>
        <bottom style="thick">
          <color theme="0" tint="-0.1499679555650502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Sakkal Majalla"/>
        <scheme val="none"/>
      </font>
      <numFmt numFmtId="13" formatCode="0%"/>
      <alignment horizontal="center" vertical="center" textRotation="0" wrapText="1" indent="0" justifyLastLine="0" shrinkToFit="0" readingOrder="2"/>
      <border diagonalUp="0" diagonalDown="0">
        <left/>
        <right/>
        <top style="thick">
          <color theme="0" tint="-0.14996795556505021"/>
        </top>
        <bottom style="thick">
          <color theme="0" tint="-0.1499679555650502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Sakkal Majalla"/>
        <scheme val="none"/>
      </font>
      <numFmt numFmtId="0" formatCode="General"/>
      <alignment horizontal="center" vertical="center" textRotation="0" wrapText="1" indent="0" justifyLastLine="0" shrinkToFit="0" readingOrder="2"/>
      <border diagonalUp="0" diagonalDown="0">
        <left/>
        <right/>
        <top style="thick">
          <color theme="0" tint="-0.14996795556505021"/>
        </top>
        <bottom style="thick">
          <color theme="0" tint="-0.1499679555650502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Sakkal Majalla"/>
        <scheme val="none"/>
      </font>
      <numFmt numFmtId="1" formatCode="0"/>
      <fill>
        <patternFill patternType="solid">
          <fgColor indexed="64"/>
          <bgColor theme="0" tint="-4.9989318521683403E-2"/>
        </patternFill>
      </fill>
      <alignment horizontal="center" vertical="center" textRotation="0" wrapText="1" indent="0" justifyLastLine="0" shrinkToFit="0" readingOrder="2"/>
      <border diagonalUp="0" diagonalDown="0">
        <left/>
        <right/>
        <top style="thick">
          <color theme="0" tint="-0.14996795556505021"/>
        </top>
        <bottom style="thick">
          <color theme="0" tint="-0.14996795556505021"/>
        </bottom>
      </border>
      <protection locked="0" hidden="0"/>
    </dxf>
    <dxf>
      <border>
        <top style="thick">
          <color theme="0" tint="-0.14996795556505021"/>
        </top>
      </border>
    </dxf>
    <dxf>
      <border diagonalUp="0" diagonalDown="0">
        <left style="thick">
          <color theme="0" tint="-0.14996795556505021"/>
        </left>
        <right style="thick">
          <color theme="0" tint="-0.14996795556505021"/>
        </right>
        <top style="thick">
          <color theme="0" tint="-0.14996795556505021"/>
        </top>
        <bottom style="thick">
          <color theme="0" tint="-0.149967955565050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Sakkal Majalla"/>
        <scheme val="none"/>
      </font>
      <numFmt numFmtId="1" formatCode="0"/>
      <alignment horizontal="center" vertical="center" textRotation="0" wrapText="1" indent="0" justifyLastLine="0" shrinkToFit="0" readingOrder="2"/>
      <protection locked="0" hidden="0"/>
    </dxf>
    <dxf>
      <border>
        <bottom style="thick">
          <color theme="0" tint="-0.149967955565050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Sakkal Majalla"/>
        <scheme val="none"/>
      </font>
      <numFmt numFmtId="1" formatCode="0"/>
      <fill>
        <patternFill patternType="solid">
          <fgColor indexed="64"/>
          <bgColor rgb="FF005257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Sakkal Majalla"/>
        <scheme val="none"/>
      </font>
      <numFmt numFmtId="4" formatCode="#,##0.0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2"/>
      <border diagonalUp="0" diagonalDown="0">
        <left/>
        <right style="thick">
          <color theme="0" tint="-0.14993743705557422"/>
        </right>
        <top style="thick">
          <color theme="0" tint="-0.14993743705557422"/>
        </top>
        <bottom style="thick">
          <color theme="0" tint="-0.14993743705557422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Sakkal Majalla"/>
        <scheme val="none"/>
      </font>
      <numFmt numFmtId="166" formatCode="_-* #,##0.00\ [$ر.س.‏-401]_-;\-* #,##0.00\ [$ر.س.‏-401]_-;_-* &quot;-&quot;??\ [$ر.س.‏-401]_-;_-@_-"/>
      <alignment horizontal="center" vertical="center" textRotation="0" wrapText="1" indent="0" justifyLastLine="0" shrinkToFit="0" readingOrder="2"/>
      <border diagonalUp="0" diagonalDown="0">
        <left/>
        <right/>
        <top style="thick">
          <color theme="0" tint="-0.14996795556505021"/>
        </top>
        <bottom style="thick">
          <color theme="0" tint="-0.1499679555650502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Sakkal Majalla"/>
        <scheme val="none"/>
      </font>
      <numFmt numFmtId="166" formatCode="_-* #,##0.00\ [$ر.س.‏-401]_-;\-* #,##0.00\ [$ر.س.‏-401]_-;_-* &quot;-&quot;??\ [$ر.س.‏-401]_-;_-@_-"/>
      <alignment horizontal="center" vertical="center" textRotation="0" wrapText="1" indent="0" justifyLastLine="0" shrinkToFit="0" readingOrder="2"/>
      <border diagonalUp="0" diagonalDown="0">
        <left/>
        <right/>
        <top style="thick">
          <color theme="0" tint="-0.14996795556505021"/>
        </top>
        <bottom style="thick">
          <color theme="0" tint="-0.1499679555650502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Sakkal Majalla"/>
        <scheme val="none"/>
      </font>
      <numFmt numFmtId="13" formatCode="0%"/>
      <alignment horizontal="center" vertical="center" textRotation="0" wrapText="1" indent="0" justifyLastLine="0" shrinkToFit="0" readingOrder="2"/>
      <border diagonalUp="0" diagonalDown="0">
        <left/>
        <right/>
        <top style="thick">
          <color theme="0" tint="-0.14996795556505021"/>
        </top>
        <bottom style="thick">
          <color theme="0" tint="-0.1499679555650502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Sakkal Majalla"/>
        <scheme val="none"/>
      </font>
      <numFmt numFmtId="0" formatCode="General"/>
      <alignment horizontal="center" vertical="center" textRotation="0" wrapText="1" indent="0" justifyLastLine="0" shrinkToFit="0" readingOrder="2"/>
      <border diagonalUp="0" diagonalDown="0">
        <left/>
        <right/>
        <top style="thick">
          <color theme="0" tint="-0.14996795556505021"/>
        </top>
        <bottom style="thick">
          <color theme="0" tint="-0.1499679555650502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Sakkal Majalla"/>
        <scheme val="none"/>
      </font>
      <numFmt numFmtId="1" formatCode="0"/>
      <fill>
        <patternFill patternType="solid">
          <fgColor indexed="64"/>
          <bgColor theme="0" tint="-4.9989318521683403E-2"/>
        </patternFill>
      </fill>
      <alignment horizontal="center" vertical="center" textRotation="0" wrapText="1" indent="0" justifyLastLine="0" shrinkToFit="0" readingOrder="2"/>
      <border diagonalUp="0" diagonalDown="0">
        <left/>
        <right/>
        <top style="thick">
          <color theme="0" tint="-0.14996795556505021"/>
        </top>
        <bottom style="thick">
          <color theme="0" tint="-0.14996795556505021"/>
        </bottom>
      </border>
      <protection locked="0" hidden="0"/>
    </dxf>
    <dxf>
      <border>
        <top style="thick">
          <color theme="0" tint="-0.14996795556505021"/>
        </top>
      </border>
    </dxf>
    <dxf>
      <border diagonalUp="0" diagonalDown="0">
        <left style="thick">
          <color theme="0" tint="-0.14996795556505021"/>
        </left>
        <right style="thick">
          <color theme="0" tint="-0.14996795556505021"/>
        </right>
        <top style="thick">
          <color theme="0" tint="-0.14996795556505021"/>
        </top>
        <bottom style="thick">
          <color theme="0" tint="-0.149967955565050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Sakkal Majalla"/>
        <scheme val="none"/>
      </font>
      <numFmt numFmtId="1" formatCode="0"/>
      <alignment horizontal="center" vertical="center" textRotation="0" wrapText="1" indent="0" justifyLastLine="0" shrinkToFit="0" readingOrder="2"/>
      <protection locked="0" hidden="0"/>
    </dxf>
    <dxf>
      <border>
        <bottom style="thick">
          <color theme="0" tint="-0.149967955565050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Sakkal Majalla"/>
        <scheme val="none"/>
      </font>
      <numFmt numFmtId="1" formatCode="0"/>
      <fill>
        <patternFill patternType="solid">
          <fgColor indexed="64"/>
          <bgColor rgb="FF005257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Sakkal Majalla"/>
        <scheme val="none"/>
      </font>
      <numFmt numFmtId="4" formatCode="#,##0.0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2"/>
      <border diagonalUp="0" diagonalDown="0">
        <left/>
        <right style="thick">
          <color theme="0" tint="-0.14993743705557422"/>
        </right>
        <top style="thick">
          <color theme="0" tint="-0.14993743705557422"/>
        </top>
        <bottom style="thick">
          <color theme="0" tint="-0.14993743705557422"/>
        </bottom>
        <vertical/>
        <horizontal style="thick">
          <color theme="0" tint="-0.14993743705557422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Sakkal Majalla"/>
        <scheme val="none"/>
      </font>
      <numFmt numFmtId="166" formatCode="_-* #,##0.00\ [$ر.س.‏-401]_-;\-* #,##0.00\ [$ر.س.‏-401]_-;_-* &quot;-&quot;??\ [$ر.س.‏-401]_-;_-@_-"/>
      <alignment horizontal="center" vertical="center" textRotation="0" wrapText="1" indent="0" justifyLastLine="0" shrinkToFit="0" readingOrder="2"/>
      <border diagonalUp="0" diagonalDown="0">
        <left/>
        <right/>
        <top style="thick">
          <color theme="0" tint="-0.14993743705557422"/>
        </top>
        <bottom style="thick">
          <color theme="0" tint="-0.14993743705557422"/>
        </bottom>
        <vertical/>
        <horizontal style="thick">
          <color theme="0" tint="-0.14993743705557422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Sakkal Majalla"/>
        <scheme val="none"/>
      </font>
      <numFmt numFmtId="166" formatCode="_-* #,##0.00\ [$ر.س.‏-401]_-;\-* #,##0.00\ [$ر.س.‏-401]_-;_-* &quot;-&quot;??\ [$ر.س.‏-401]_-;_-@_-"/>
      <alignment horizontal="center" vertical="center" textRotation="0" wrapText="1" indent="0" justifyLastLine="0" shrinkToFit="0" readingOrder="2"/>
      <border diagonalUp="0" diagonalDown="0">
        <left/>
        <right/>
        <top style="thick">
          <color theme="0" tint="-0.14993743705557422"/>
        </top>
        <bottom style="thick">
          <color theme="0" tint="-0.14993743705557422"/>
        </bottom>
        <vertical/>
        <horizontal style="thick">
          <color theme="0" tint="-0.14993743705557422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Sakkal Majalla"/>
        <scheme val="none"/>
      </font>
      <numFmt numFmtId="13" formatCode="0%"/>
      <alignment horizontal="center" vertical="center" textRotation="0" wrapText="1" indent="0" justifyLastLine="0" shrinkToFit="0" readingOrder="2"/>
      <border diagonalUp="0" diagonalDown="0">
        <left/>
        <right/>
        <top style="thick">
          <color theme="0" tint="-0.14993743705557422"/>
        </top>
        <bottom style="thick">
          <color theme="0" tint="-0.14993743705557422"/>
        </bottom>
        <vertical/>
        <horizontal style="thick">
          <color theme="0" tint="-0.14993743705557422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Sakkal Majalla"/>
        <scheme val="none"/>
      </font>
      <numFmt numFmtId="0" formatCode="General"/>
      <alignment horizontal="center" vertical="center" textRotation="0" wrapText="1" indent="0" justifyLastLine="0" shrinkToFit="0" readingOrder="2"/>
      <border diagonalUp="0" diagonalDown="0">
        <left/>
        <right/>
        <top style="thick">
          <color theme="0" tint="-0.14993743705557422"/>
        </top>
        <bottom style="thick">
          <color theme="0" tint="-0.14993743705557422"/>
        </bottom>
        <vertical/>
        <horizontal style="thick">
          <color theme="0" tint="-0.14993743705557422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Sakkal Majalla"/>
        <scheme val="none"/>
      </font>
      <numFmt numFmtId="1" formatCode="0"/>
      <fill>
        <patternFill patternType="solid">
          <fgColor indexed="64"/>
          <bgColor theme="0" tint="-4.9989318521683403E-2"/>
        </patternFill>
      </fill>
      <alignment horizontal="center" vertical="center" textRotation="0" wrapText="1" indent="0" justifyLastLine="0" shrinkToFit="0" readingOrder="2"/>
      <border diagonalUp="0" diagonalDown="0">
        <left style="thick">
          <color theme="0" tint="-0.14993743705557422"/>
        </left>
        <right/>
        <top style="thick">
          <color theme="0" tint="-0.14993743705557422"/>
        </top>
        <bottom style="thick">
          <color theme="0" tint="-0.14993743705557422"/>
        </bottom>
        <vertical/>
        <horizontal style="thick">
          <color theme="0" tint="-0.14993743705557422"/>
        </horizontal>
      </border>
      <protection locked="0" hidden="0"/>
    </dxf>
    <dxf>
      <border>
        <top style="thick">
          <color theme="0" tint="-0.14996795556505021"/>
        </top>
      </border>
    </dxf>
    <dxf>
      <border diagonalUp="0" diagonalDown="0">
        <left style="thick">
          <color theme="0" tint="-0.14996795556505021"/>
        </left>
        <right style="thick">
          <color theme="0" tint="-0.14996795556505021"/>
        </right>
        <top style="thick">
          <color theme="0" tint="-0.14996795556505021"/>
        </top>
        <bottom style="thick">
          <color theme="0" tint="-0.149967955565050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Sakkal Majalla"/>
        <scheme val="none"/>
      </font>
      <numFmt numFmtId="1" formatCode="0"/>
      <alignment horizontal="center" vertical="center" textRotation="0" wrapText="1" indent="0" justifyLastLine="0" shrinkToFit="0" readingOrder="2"/>
      <protection locked="0" hidden="0"/>
    </dxf>
    <dxf>
      <border>
        <bottom style="thick">
          <color theme="0" tint="-0.149967955565050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Sakkal Majalla"/>
        <scheme val="none"/>
      </font>
      <numFmt numFmtId="1" formatCode="0"/>
      <fill>
        <patternFill patternType="solid">
          <fgColor indexed="64"/>
          <bgColor rgb="FF005257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ck">
          <color theme="0" tint="-0.14996795556505021"/>
        </top>
        <bottom style="thick">
          <color theme="0" tint="-0.14996795556505021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Sakkal Majalla"/>
        <scheme val="none"/>
      </font>
      <alignment horizontal="center" vertical="center" textRotation="0" wrapText="1" indent="0" justifyLastLine="0" shrinkToFit="0" readingOrder="2"/>
      <border diagonalUp="0" diagonalDown="0">
        <left/>
        <right/>
        <top style="thick">
          <color theme="0" tint="-0.14996795556505021"/>
        </top>
        <bottom style="thick">
          <color theme="0" tint="-0.14996795556505021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Sakkal Majalla"/>
        <scheme val="none"/>
      </font>
      <alignment horizontal="center" vertical="center" textRotation="0" wrapText="1" indent="0" justifyLastLine="0" shrinkToFit="0" readingOrder="2"/>
      <border diagonalUp="0" diagonalDown="0">
        <left/>
        <right/>
        <top style="thick">
          <color theme="0" tint="-0.14996795556505021"/>
        </top>
        <bottom style="thick">
          <color theme="0" tint="-0.14996795556505021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Sakkal Majalla"/>
        <scheme val="none"/>
      </font>
      <numFmt numFmtId="13" formatCode="0%"/>
      <alignment horizontal="center" vertical="center" textRotation="0" wrapText="1" indent="0" justifyLastLine="0" shrinkToFit="0" readingOrder="2"/>
      <border diagonalUp="0" diagonalDown="0">
        <left/>
        <right/>
        <top style="thick">
          <color theme="0" tint="-0.14996795556505021"/>
        </top>
        <bottom style="thick">
          <color theme="0" tint="-0.14996795556505021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Sakkal Majalla"/>
        <scheme val="none"/>
      </font>
      <alignment horizontal="center" vertical="center" textRotation="0" wrapText="1" indent="0" justifyLastLine="0" shrinkToFit="0" readingOrder="2"/>
      <border diagonalUp="0" diagonalDown="0">
        <left/>
        <right/>
        <top style="thick">
          <color theme="0" tint="-0.14996795556505021"/>
        </top>
        <bottom style="thick">
          <color theme="0" tint="-0.14996795556505021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Sakkal Majalla"/>
        <scheme val="none"/>
      </font>
      <numFmt numFmtId="1" formatCode="0"/>
      <fill>
        <patternFill patternType="solid">
          <fgColor indexed="64"/>
          <bgColor theme="0" tint="-4.9989318521683403E-2"/>
        </patternFill>
      </fill>
      <alignment horizontal="center" vertical="center" textRotation="0" wrapText="1" indent="0" justifyLastLine="0" shrinkToFit="0" readingOrder="2"/>
      <border diagonalUp="0" diagonalDown="0">
        <left/>
        <right/>
        <top style="thick">
          <color theme="0" tint="-0.14996795556505021"/>
        </top>
        <bottom style="thick">
          <color theme="0" tint="-0.14996795556505021"/>
        </bottom>
      </border>
      <protection locked="0" hidden="0"/>
    </dxf>
    <dxf>
      <border>
        <top style="thick">
          <color theme="0" tint="-0.14996795556505021"/>
        </top>
      </border>
    </dxf>
    <dxf>
      <border diagonalUp="0" diagonalDown="0">
        <left style="thick">
          <color theme="0" tint="-0.14996795556505021"/>
        </left>
        <right style="thick">
          <color theme="0" tint="-0.14996795556505021"/>
        </right>
        <top style="thick">
          <color theme="0" tint="-0.14996795556505021"/>
        </top>
        <bottom style="thick">
          <color theme="0" tint="-0.149967955565050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Sakkal Majalla"/>
        <scheme val="none"/>
      </font>
      <numFmt numFmtId="1" formatCode="0"/>
      <alignment horizontal="center" vertical="center" textRotation="0" wrapText="1" indent="0" justifyLastLine="0" shrinkToFit="0" readingOrder="2"/>
      <protection locked="0" hidden="0"/>
    </dxf>
    <dxf>
      <border>
        <bottom style="thick">
          <color theme="0" tint="-0.149967955565050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Sakkal Majalla"/>
        <scheme val="none"/>
      </font>
      <numFmt numFmtId="1" formatCode="0"/>
      <fill>
        <patternFill patternType="solid">
          <fgColor indexed="64"/>
          <bgColor rgb="FF005257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Sakkal Majalla"/>
        <scheme val="none"/>
      </font>
      <numFmt numFmtId="3" formatCode="#,##0"/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2"/>
      <border diagonalUp="0" diagonalDown="0">
        <left/>
        <right style="thick">
          <color theme="0" tint="-0.14996795556505021"/>
        </right>
        <top style="thick">
          <color theme="0" tint="-0.14996795556505021"/>
        </top>
        <bottom style="thick">
          <color theme="0" tint="-0.1499679555650502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Sakkal Majalla"/>
        <scheme val="none"/>
      </font>
      <border diagonalUp="0" diagonalDown="0">
        <left/>
        <right/>
        <top style="thick">
          <color theme="0" tint="-0.14996795556505021"/>
        </top>
        <bottom style="thick">
          <color theme="0" tint="-0.14996795556505021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Sakkal Majalla"/>
        <scheme val="none"/>
      </font>
      <border diagonalUp="0" diagonalDown="0">
        <left/>
        <right/>
        <top style="thick">
          <color theme="0" tint="-0.14996795556505021"/>
        </top>
        <bottom style="thick">
          <color theme="0" tint="-0.14996795556505021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Sakkal Majalla"/>
        <scheme val="none"/>
      </font>
      <alignment horizontal="right" vertical="center" textRotation="0" wrapText="1" indent="0" justifyLastLine="0" shrinkToFit="0" readingOrder="0"/>
      <border diagonalUp="0" diagonalDown="0">
        <left style="thick">
          <color theme="0" tint="-0.14993743705557422"/>
        </left>
        <right style="thick">
          <color theme="0" tint="-0.14993743705557422"/>
        </right>
        <top style="thick">
          <color theme="0" tint="-0.14996795556505021"/>
        </top>
        <bottom style="thick">
          <color theme="0" tint="-0.14993743705557422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Sakkal Majalla"/>
        <scheme val="none"/>
      </font>
      <alignment horizontal="right" vertical="center" textRotation="0" wrapText="0" indent="0" justifyLastLine="0" shrinkToFit="0" readingOrder="0"/>
      <border diagonalUp="0" diagonalDown="0">
        <left/>
        <right/>
        <top style="thick">
          <color theme="0" tint="-0.14996795556505021"/>
        </top>
        <bottom style="thick">
          <color theme="0" tint="-0.14996795556505021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Sakkal Majalla"/>
        <scheme val="none"/>
      </font>
      <alignment horizontal="center" vertical="center" textRotation="0" wrapText="0" indent="0" justifyLastLine="0" shrinkToFit="0" readingOrder="0"/>
      <border diagonalUp="0" diagonalDown="0">
        <left/>
        <right/>
        <top style="thick">
          <color theme="0" tint="-0.14996795556505021"/>
        </top>
        <bottom style="thick">
          <color theme="0" tint="-0.14996795556505021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Sakkal Majalla"/>
        <scheme val="none"/>
      </font>
      <border diagonalUp="0" diagonalDown="0">
        <left/>
        <right/>
        <top style="thick">
          <color theme="0" tint="-0.14996795556505021"/>
        </top>
        <bottom style="thick">
          <color theme="0" tint="-0.14996795556505021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Sakkal Majalla"/>
        <scheme val="none"/>
      </font>
      <border diagonalUp="0" diagonalDown="0">
        <left/>
        <right/>
        <top style="thick">
          <color theme="0" tint="-0.14996795556505021"/>
        </top>
        <bottom style="thick">
          <color theme="0" tint="-0.14996795556505021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Sakkal Majalla"/>
        <scheme val="none"/>
      </font>
      <border diagonalUp="0" diagonalDown="0">
        <left/>
        <right/>
        <top style="thick">
          <color theme="0" tint="-0.14996795556505021"/>
        </top>
        <bottom style="thick">
          <color theme="0" tint="-0.14996795556505021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Sakkal Majalla"/>
        <scheme val="none"/>
      </font>
      <alignment horizontal="center" vertical="center" textRotation="0" wrapText="0" indent="0" justifyLastLine="0" shrinkToFit="0" readingOrder="0"/>
      <border diagonalUp="0" diagonalDown="0">
        <left/>
        <right/>
        <top style="thick">
          <color theme="0" tint="-0.14996795556505021"/>
        </top>
        <bottom style="thick">
          <color theme="0" tint="-0.14996795556505021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Sakkal Majalla"/>
        <scheme val="none"/>
      </font>
      <alignment horizontal="center" vertical="center" textRotation="0" wrapText="0" indent="0" justifyLastLine="0" shrinkToFit="0" readingOrder="0"/>
      <border diagonalUp="0" diagonalDown="0">
        <left style="thick">
          <color theme="0" tint="-0.14993743705557422"/>
        </left>
        <right style="thick">
          <color theme="0" tint="-0.14993743705557422"/>
        </right>
        <top style="thick">
          <color theme="0" tint="-0.14996795556505021"/>
        </top>
        <bottom style="thick">
          <color theme="0" tint="-0.14993743705557422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Sakkal Majalla"/>
        <scheme val="none"/>
      </font>
      <alignment horizontal="center" vertical="center" textRotation="0" wrapText="0" indent="0" justifyLastLine="0" shrinkToFit="0" readingOrder="0"/>
      <border diagonalUp="0" diagonalDown="0">
        <left/>
        <right/>
        <top style="thick">
          <color theme="0" tint="-0.14996795556505021"/>
        </top>
        <bottom style="thick">
          <color theme="0" tint="-0.14996795556505021"/>
        </bottom>
        <vertical/>
        <horizontal/>
      </border>
      <protection locked="0" hidden="0"/>
    </dxf>
    <dxf>
      <border outline="0">
        <top style="thick">
          <color theme="0" tint="-0.14996795556505021"/>
        </top>
      </border>
    </dxf>
    <dxf>
      <border outline="0">
        <left style="thick">
          <color theme="0" tint="-0.14996795556505021"/>
        </left>
        <right style="thick">
          <color theme="0" tint="-0.14996795556505021"/>
        </right>
        <bottom style="thick">
          <color theme="0" tint="-0.14996795556505021"/>
        </bottom>
      </border>
    </dxf>
    <dxf>
      <numFmt numFmtId="1" formatCode="0"/>
      <protection locked="0" hidden="0"/>
    </dxf>
    <dxf>
      <border outline="0">
        <bottom style="thick">
          <color theme="0" tint="-0.149967955565050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Sakkal Majalla"/>
        <scheme val="none"/>
      </font>
      <numFmt numFmtId="1" formatCode="0"/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2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Sakkal Majalla"/>
        <scheme val="none"/>
      </font>
      <numFmt numFmtId="4" formatCode="#,##0.00"/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 tint="-0.14993743705557422"/>
        </left>
        <right style="thick">
          <color theme="0" tint="-0.14993743705557422"/>
        </right>
        <top style="thick">
          <color theme="0" tint="-0.14993743705557422"/>
        </top>
        <bottom style="thick">
          <color theme="0" tint="-0.14996795556505021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Sakkal Majalla"/>
        <scheme val="none"/>
      </font>
      <numFmt numFmtId="1" formatCode="0"/>
      <fill>
        <patternFill patternType="solid">
          <fgColor indexed="64"/>
          <bgColor theme="0" tint="-4.9989318521683403E-2"/>
        </patternFill>
      </fill>
      <alignment horizontal="center" vertical="center" textRotation="0" wrapText="1" indent="0" justifyLastLine="0" shrinkToFit="0" readingOrder="2"/>
      <border diagonalUp="0" diagonalDown="0">
        <left style="thick">
          <color theme="0" tint="-0.14996795556505021"/>
        </left>
        <right/>
        <top style="thick">
          <color theme="0" tint="-0.14996795556505021"/>
        </top>
        <bottom style="thick">
          <color theme="0" tint="-0.14996795556505021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Sakkal Majalla"/>
        <scheme val="none"/>
      </font>
      <numFmt numFmtId="166" formatCode="_-* #,##0.00\ [$ر.س.‏-401]_-;\-* #,##0.00\ [$ر.س.‏-401]_-;_-* &quot;-&quot;??\ [$ر.س.‏-401]_-;_-@_-"/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2"/>
      <border diagonalUp="0" diagonalDown="0">
        <left/>
        <right/>
        <top style="thick">
          <color theme="0" tint="-0.14996795556505021"/>
        </top>
        <bottom style="thick">
          <color theme="0" tint="-0.14996795556505021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Sakkal Majalla"/>
        <scheme val="none"/>
      </font>
      <numFmt numFmtId="1" formatCode="0"/>
      <fill>
        <patternFill patternType="solid">
          <fgColor indexed="64"/>
          <bgColor theme="0" tint="-4.9989318521683403E-2"/>
        </patternFill>
      </fill>
      <alignment horizontal="center" vertical="center" textRotation="0" wrapText="1" indent="0" justifyLastLine="0" shrinkToFit="0" readingOrder="2"/>
      <border diagonalUp="0" diagonalDown="0">
        <left/>
        <right/>
        <top style="thick">
          <color theme="0" tint="-0.14996795556505021"/>
        </top>
        <bottom style="thick">
          <color theme="0" tint="-0.14996795556505021"/>
        </bottom>
        <vertical/>
        <horizontal/>
      </border>
      <protection locked="0" hidden="0"/>
    </dxf>
    <dxf>
      <border outline="0">
        <top style="thick">
          <color theme="0" tint="-0.14996795556505021"/>
        </top>
      </border>
    </dxf>
    <dxf>
      <border outline="0">
        <left style="thick">
          <color theme="0" tint="-0.14996795556505021"/>
        </left>
        <right style="thick">
          <color theme="0" tint="-0.14996795556505021"/>
        </right>
        <bottom style="thick">
          <color theme="0" tint="-0.14996795556505021"/>
        </bottom>
      </border>
    </dxf>
    <dxf>
      <numFmt numFmtId="1" formatCode="0"/>
      <protection locked="0" hidden="0"/>
    </dxf>
    <dxf>
      <border outline="0">
        <bottom style="thick">
          <color theme="0" tint="-0.149967955565050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Sakkal Majalla"/>
        <scheme val="none"/>
      </font>
      <numFmt numFmtId="1" formatCode="0"/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2"/>
      <protection locked="0" hidden="0"/>
    </dxf>
    <dxf>
      <font>
        <strike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indexed="64"/>
          <bgColor theme="0"/>
        </patternFill>
      </fill>
      <border diagonalUp="0" diagonalDown="0">
        <left/>
        <right/>
        <top style="thick">
          <color theme="0" tint="-0.14996795556505021"/>
        </top>
        <bottom style="thick">
          <color theme="0" tint="-0.1499679555650502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Sakkal Majalla"/>
        <scheme val="none"/>
      </font>
      <numFmt numFmtId="1" formatCode="0"/>
      <fill>
        <patternFill patternType="solid">
          <fgColor indexed="64"/>
          <bgColor rgb="FF005257"/>
        </patternFill>
      </fill>
      <alignment horizontal="right" vertical="center" textRotation="0" wrapText="1" indent="0" justifyLastLine="0" shrinkToFit="0" readingOrder="2"/>
      <border diagonalUp="0" diagonalDown="0">
        <left style="thick">
          <color theme="0" tint="-0.24994659260841701"/>
        </left>
        <right/>
        <top style="thick">
          <color theme="0" tint="-0.14996795556505021"/>
        </top>
        <bottom style="thick">
          <color theme="0" tint="-0.14996795556505021"/>
        </bottom>
      </border>
      <protection locked="0" hidden="0"/>
    </dxf>
    <dxf>
      <border>
        <top style="thick">
          <color theme="0" tint="-0.14996795556505021"/>
        </top>
      </border>
    </dxf>
    <dxf>
      <border diagonalUp="0" diagonalDown="0">
        <left style="thick">
          <color theme="0" tint="-0.14996795556505021"/>
        </left>
        <right style="thick">
          <color theme="0" tint="-0.14996795556505021"/>
        </right>
        <top style="thick">
          <color theme="0" tint="-0.14996795556505021"/>
        </top>
        <bottom style="thick">
          <color theme="0" tint="-0.14996795556505021"/>
        </bottom>
      </border>
    </dxf>
    <dxf>
      <font>
        <strike val="0"/>
        <outline val="0"/>
        <shadow val="0"/>
        <u val="none"/>
        <vertAlign val="baseline"/>
        <sz val="14"/>
        <color theme="1"/>
        <family val="1"/>
      </font>
      <numFmt numFmtId="1" formatCode="0"/>
      <protection locked="0" hidden="0"/>
    </dxf>
    <dxf>
      <border>
        <bottom style="thick">
          <color theme="0" tint="-0.149967955565050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Sakkal Majalla"/>
        <family val="1"/>
        <scheme val="none"/>
      </font>
      <numFmt numFmtId="1" formatCode="0"/>
      <fill>
        <patternFill patternType="solid">
          <fgColor indexed="64"/>
          <bgColor rgb="FF005257"/>
        </patternFill>
      </fill>
      <alignment horizontal="center" vertical="center" textRotation="0" wrapText="1" indent="0" justifyLastLine="0" shrinkToFit="0" readingOrder="2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Sakkal Majalla"/>
        <scheme val="none"/>
      </font>
      <numFmt numFmtId="166" formatCode="_-* #,##0.00\ [$ر.س.‏-401]_-;\-* #,##0.00\ [$ر.س.‏-401]_-;_-* &quot;-&quot;??\ [$ر.س.‏-401]_-;_-@_-"/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2"/>
      <border diagonalUp="0" diagonalDown="0">
        <left/>
        <right/>
        <top style="thick">
          <color theme="0" tint="-0.14996795556505021"/>
        </top>
        <bottom style="thick">
          <color theme="0" tint="-0.14996795556505021"/>
        </bottom>
        <vertical/>
        <horizontal style="thick">
          <color theme="0" tint="-0.14996795556505021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Sakkal Majalla"/>
        <scheme val="none"/>
      </font>
      <numFmt numFmtId="1" formatCode="0"/>
      <fill>
        <patternFill patternType="solid">
          <fgColor indexed="64"/>
          <bgColor theme="0" tint="-4.9989318521683403E-2"/>
        </patternFill>
      </fill>
      <alignment horizontal="center" vertical="center" textRotation="0" wrapText="1" indent="0" justifyLastLine="0" shrinkToFit="0" readingOrder="2"/>
      <border diagonalUp="0" diagonalDown="0">
        <left/>
        <right/>
        <top style="thick">
          <color theme="0" tint="-0.14996795556505021"/>
        </top>
        <bottom style="thick">
          <color theme="0" tint="-0.14996795556505021"/>
        </bottom>
        <vertical/>
        <horizontal style="thick">
          <color theme="0" tint="-0.14996795556505021"/>
        </horizontal>
      </border>
      <protection locked="0" hidden="0"/>
    </dxf>
    <dxf>
      <border>
        <top style="thick">
          <color theme="0" tint="-0.14996795556505021"/>
        </top>
      </border>
    </dxf>
    <dxf>
      <border diagonalUp="0" diagonalDown="0">
        <left style="thick">
          <color theme="0" tint="-0.14993743705557422"/>
        </left>
        <right style="thick">
          <color theme="0" tint="-0.14993743705557422"/>
        </right>
        <top style="thick">
          <color theme="0" tint="-0.14993743705557422"/>
        </top>
        <bottom style="thick">
          <color theme="0" tint="-0.14996795556505021"/>
        </bottom>
      </border>
    </dxf>
    <dxf>
      <numFmt numFmtId="1" formatCode="0"/>
      <protection locked="0" hidden="0"/>
    </dxf>
    <dxf>
      <border>
        <bottom style="thick">
          <color theme="0" tint="-0.149967955565050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Sakkal Majalla"/>
        <scheme val="none"/>
      </font>
      <numFmt numFmtId="1" formatCode="0"/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2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Sakkal Majalla"/>
        <scheme val="none"/>
      </font>
      <numFmt numFmtId="4" formatCode="#,##0.00"/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2"/>
      <border diagonalUp="0" diagonalDown="0">
        <left/>
        <right/>
        <top style="thick">
          <color theme="0" tint="-0.14996795556505021"/>
        </top>
        <bottom style="thick">
          <color theme="0" tint="-0.14996795556505021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Sakkal Majalla"/>
        <scheme val="none"/>
      </font>
      <numFmt numFmtId="1" formatCode="0"/>
      <fill>
        <patternFill patternType="solid">
          <fgColor indexed="64"/>
          <bgColor theme="0" tint="-4.9989318521683403E-2"/>
        </patternFill>
      </fill>
      <alignment horizontal="center" vertical="center" textRotation="0" wrapText="1" indent="0" justifyLastLine="0" shrinkToFit="0" readingOrder="2"/>
      <border diagonalUp="0" diagonalDown="0">
        <left style="thick">
          <color theme="0" tint="-0.14996795556505021"/>
        </left>
        <right/>
        <top style="thick">
          <color theme="0" tint="-0.14996795556505021"/>
        </top>
        <bottom style="thick">
          <color theme="0" tint="-0.14996795556505021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Sakkal Majalla"/>
        <scheme val="none"/>
      </font>
      <numFmt numFmtId="166" formatCode="_-* #,##0.00\ [$ر.س.‏-401]_-;\-* #,##0.00\ [$ر.س.‏-401]_-;_-* &quot;-&quot;??\ [$ر.س.‏-401]_-;_-@_-"/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2"/>
      <border diagonalUp="0" diagonalDown="0">
        <left/>
        <right/>
        <top style="thick">
          <color theme="0" tint="-0.14996795556505021"/>
        </top>
        <bottom style="thick">
          <color theme="0" tint="-0.14996795556505021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Sakkal Majalla"/>
        <scheme val="none"/>
      </font>
      <numFmt numFmtId="1" formatCode="0"/>
      <fill>
        <patternFill patternType="solid">
          <fgColor indexed="64"/>
          <bgColor theme="0" tint="-4.9989318521683403E-2"/>
        </patternFill>
      </fill>
      <alignment horizontal="center" vertical="center" textRotation="0" wrapText="1" indent="0" justifyLastLine="0" shrinkToFit="0" readingOrder="2"/>
      <border diagonalUp="0" diagonalDown="0">
        <left/>
        <right/>
        <top style="thick">
          <color theme="0" tint="-0.14996795556505021"/>
        </top>
        <bottom style="thick">
          <color theme="0" tint="-0.14996795556505021"/>
        </bottom>
        <vertical/>
        <horizontal/>
      </border>
      <protection locked="0" hidden="0"/>
    </dxf>
    <dxf>
      <border outline="0">
        <top style="thick">
          <color theme="0" tint="-0.14996795556505021"/>
        </top>
      </border>
    </dxf>
    <dxf>
      <border outline="0">
        <left style="thick">
          <color theme="0" tint="-0.14996795556505021"/>
        </left>
        <right style="thick">
          <color theme="0" tint="-0.14996795556505021"/>
        </right>
        <bottom style="thick">
          <color theme="0" tint="-0.14996795556505021"/>
        </bottom>
      </border>
    </dxf>
    <dxf>
      <numFmt numFmtId="1" formatCode="0"/>
      <protection locked="0" hidden="0"/>
    </dxf>
    <dxf>
      <border outline="0">
        <bottom style="thick">
          <color theme="0" tint="-0.149967955565050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Sakkal Majalla"/>
        <scheme val="none"/>
      </font>
      <numFmt numFmtId="1" formatCode="0"/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2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Sakkal Majalla"/>
        <scheme val="none"/>
      </font>
      <numFmt numFmtId="4" formatCode="#,##0.0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 tint="-0.14990691854609822"/>
        </left>
        <right/>
        <top/>
        <bottom/>
        <vertical style="thick">
          <color theme="0" tint="-0.14990691854609822"/>
        </vertical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Sakkal Majalla"/>
        <scheme val="none"/>
      </font>
      <numFmt numFmtId="166" formatCode="_-* #,##0.00\ [$ر.س.‏-401]_-;\-* #,##0.00\ [$ر.س.‏-401]_-;_-* &quot;-&quot;??\ [$ر.س.‏-401]_-;_-@_-"/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2"/>
      <border diagonalUp="0" diagonalDown="0" outline="0">
        <left/>
        <right/>
        <top/>
        <bottom style="thick">
          <color theme="0" tint="-0.149937437055574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Sakkal Majalla"/>
        <scheme val="none"/>
      </font>
      <numFmt numFmtId="1" formatCode="0"/>
      <fill>
        <patternFill patternType="solid">
          <fgColor indexed="64"/>
          <bgColor theme="0" tint="-4.9989318521683403E-2"/>
        </patternFill>
      </fill>
      <alignment horizontal="center" vertical="center" textRotation="0" wrapText="1" indent="0" justifyLastLine="0" shrinkToFit="0" readingOrder="2"/>
      <border diagonalUp="0" diagonalDown="0">
        <left style="thick">
          <color theme="0" tint="-0.14990691854609822"/>
        </left>
        <right style="thick">
          <color theme="0" tint="-0.14990691854609822"/>
        </right>
        <top/>
        <bottom/>
        <vertical style="thick">
          <color theme="0" tint="-0.14990691854609822"/>
        </vertical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Sakkal Majalla"/>
        <scheme val="none"/>
      </font>
      <numFmt numFmtId="1" formatCode="0"/>
      <fill>
        <patternFill patternType="solid">
          <fgColor indexed="64"/>
          <bgColor theme="0" tint="-4.9989318521683403E-2"/>
        </patternFill>
      </fill>
      <alignment horizontal="center" vertical="center" textRotation="0" wrapText="1" indent="0" justifyLastLine="0" shrinkToFit="0" readingOrder="2"/>
      <border diagonalUp="0" diagonalDown="0" outline="0">
        <left/>
        <right/>
        <top/>
        <bottom style="thick">
          <color theme="0" tint="-0.149937437055574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Sakkal Majalla"/>
        <scheme val="none"/>
      </font>
      <numFmt numFmtId="4" formatCode="#,##0.0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 tint="-0.14990691854609822"/>
        </left>
        <right style="thick">
          <color theme="0" tint="-0.14990691854609822"/>
        </right>
        <top/>
        <bottom/>
        <vertical style="thick">
          <color theme="0" tint="-0.14990691854609822"/>
        </vertical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Sakkal Majalla"/>
        <scheme val="none"/>
      </font>
      <numFmt numFmtId="166" formatCode="_-* #,##0.00\ [$ر.س.‏-401]_-;\-* #,##0.00\ [$ر.س.‏-401]_-;_-* &quot;-&quot;??\ [$ر.س.‏-401]_-;_-@_-"/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2"/>
      <border diagonalUp="0" diagonalDown="0" outline="0">
        <left/>
        <right/>
        <top/>
        <bottom style="thick">
          <color theme="0" tint="-0.149937437055574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Sakkal Majalla"/>
        <scheme val="none"/>
      </font>
      <numFmt numFmtId="1" formatCode="0"/>
      <fill>
        <patternFill patternType="solid">
          <fgColor indexed="64"/>
          <bgColor theme="0" tint="-4.9989318521683403E-2"/>
        </patternFill>
      </fill>
      <alignment horizontal="center" vertical="center" textRotation="0" wrapText="1" indent="0" justifyLastLine="0" shrinkToFit="0" readingOrder="2"/>
      <border diagonalUp="0" diagonalDown="0">
        <left/>
        <right style="thick">
          <color theme="0" tint="-0.14990691854609822"/>
        </right>
        <top/>
        <bottom/>
        <vertical style="thick">
          <color theme="0" tint="-0.14990691854609822"/>
        </vertical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Sakkal Majalla"/>
        <scheme val="none"/>
      </font>
      <numFmt numFmtId="1" formatCode="0"/>
      <fill>
        <patternFill patternType="solid">
          <fgColor indexed="64"/>
          <bgColor theme="0" tint="-4.9989318521683403E-2"/>
        </patternFill>
      </fill>
      <alignment horizontal="center" vertical="center" textRotation="0" wrapText="1" indent="0" justifyLastLine="0" shrinkToFit="0" readingOrder="2"/>
      <border diagonalUp="0" diagonalDown="0" outline="0">
        <left/>
        <right/>
        <top/>
        <bottom style="thick">
          <color theme="0" tint="-0.14993743705557422"/>
        </bottom>
      </border>
    </dxf>
    <dxf>
      <border diagonalUp="0" diagonalDown="0">
        <left style="thick">
          <color theme="0" tint="-0.14990691854609822"/>
        </left>
        <right style="thick">
          <color theme="0" tint="-0.14990691854609822"/>
        </right>
        <top style="thick">
          <color theme="0" tint="-0.14990691854609822"/>
        </top>
        <bottom style="thick">
          <color theme="0" tint="-0.14990691854609822"/>
        </bottom>
      </border>
    </dxf>
    <dxf>
      <protection locked="0" hidden="0"/>
    </dxf>
    <dxf>
      <border outline="0">
        <bottom style="thick">
          <color theme="0" tint="-0.14993743705557422"/>
        </bottom>
      </border>
    </dxf>
    <dxf>
      <border diagonalUp="0" diagonalDown="0">
        <left style="thick">
          <color theme="0" tint="-0.14990691854609822"/>
        </left>
        <right style="thick">
          <color theme="0" tint="-0.14990691854609822"/>
        </right>
        <top/>
        <bottom/>
        <vertical style="thick">
          <color theme="0" tint="-0.14990691854609822"/>
        </vertical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Sakkal Majalla"/>
        <scheme val="none"/>
      </font>
      <numFmt numFmtId="4" formatCode="#,##0.00"/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 tint="-0.14993743705557422"/>
        </left>
        <right style="thick">
          <color theme="0" tint="-0.14993743705557422"/>
        </right>
        <top style="thick">
          <color theme="0" tint="-0.14993743705557422"/>
        </top>
        <bottom style="thick">
          <color theme="0" tint="-0.14996795556505021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Sakkal Majalla"/>
        <scheme val="none"/>
      </font>
      <numFmt numFmtId="1" formatCode="0"/>
      <fill>
        <patternFill patternType="solid">
          <fgColor indexed="64"/>
          <bgColor theme="0" tint="-4.9989318521683403E-2"/>
        </patternFill>
      </fill>
      <alignment horizontal="center" vertical="center" textRotation="0" wrapText="1" indent="0" justifyLastLine="0" shrinkToFit="0" readingOrder="2"/>
      <border diagonalUp="0" diagonalDown="0">
        <left style="thick">
          <color theme="0" tint="-0.14996795556505021"/>
        </left>
        <right/>
        <top style="thick">
          <color theme="0" tint="-0.14996795556505021"/>
        </top>
        <bottom style="thick">
          <color theme="0" tint="-0.14996795556505021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Sakkal Majalla"/>
        <scheme val="none"/>
      </font>
      <numFmt numFmtId="166" formatCode="_-* #,##0.00\ [$ر.س.‏-401]_-;\-* #,##0.00\ [$ر.س.‏-401]_-;_-* &quot;-&quot;??\ [$ر.س.‏-401]_-;_-@_-"/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2"/>
      <border diagonalUp="0" diagonalDown="0">
        <left/>
        <right/>
        <top style="thick">
          <color theme="0" tint="-0.14996795556505021"/>
        </top>
        <bottom style="thick">
          <color theme="0" tint="-0.14996795556505021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Sakkal Majalla"/>
        <scheme val="none"/>
      </font>
      <numFmt numFmtId="1" formatCode="0"/>
      <fill>
        <patternFill patternType="solid">
          <fgColor indexed="64"/>
          <bgColor theme="0" tint="-4.9989318521683403E-2"/>
        </patternFill>
      </fill>
      <alignment horizontal="center" vertical="center" textRotation="0" wrapText="1" indent="0" justifyLastLine="0" shrinkToFit="0" readingOrder="2"/>
      <border diagonalUp="0" diagonalDown="0">
        <left/>
        <right/>
        <top style="thick">
          <color theme="0" tint="-0.14996795556505021"/>
        </top>
        <bottom style="thick">
          <color theme="0" tint="-0.14996795556505021"/>
        </bottom>
        <vertical/>
        <horizontal/>
      </border>
      <protection locked="0" hidden="0"/>
    </dxf>
    <dxf>
      <border outline="0">
        <top style="thick">
          <color theme="0" tint="-0.14996795556505021"/>
        </top>
      </border>
    </dxf>
    <dxf>
      <border outline="0">
        <left style="thick">
          <color theme="0" tint="-0.14996795556505021"/>
        </left>
        <right style="thick">
          <color theme="0" tint="-0.14996795556505021"/>
        </right>
        <bottom style="thick">
          <color theme="0" tint="-0.14996795556505021"/>
        </bottom>
      </border>
    </dxf>
    <dxf>
      <numFmt numFmtId="1" formatCode="0"/>
      <protection locked="0" hidden="0"/>
    </dxf>
    <dxf>
      <border outline="0">
        <bottom style="thick">
          <color theme="0" tint="-0.149967955565050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Sakkal Majalla"/>
        <scheme val="none"/>
      </font>
      <numFmt numFmtId="1" formatCode="0"/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2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Sakkal Majalla"/>
        <scheme val="none"/>
      </font>
      <numFmt numFmtId="4" formatCode="#,##0.00"/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 tint="-0.14993743705557422"/>
        </left>
        <right style="thick">
          <color theme="0" tint="-0.14993743705557422"/>
        </right>
        <top style="thick">
          <color theme="0" tint="-0.14993743705557422"/>
        </top>
        <bottom style="thick">
          <color theme="0" tint="-0.14996795556505021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Sakkal Majalla"/>
        <scheme val="none"/>
      </font>
      <numFmt numFmtId="1" formatCode="0"/>
      <fill>
        <patternFill patternType="solid">
          <fgColor indexed="64"/>
          <bgColor theme="0" tint="-4.9989318521683403E-2"/>
        </patternFill>
      </fill>
      <alignment horizontal="center" vertical="center" textRotation="0" wrapText="1" indent="0" justifyLastLine="0" shrinkToFit="0" readingOrder="2"/>
      <border diagonalUp="0" diagonalDown="0">
        <left style="thick">
          <color theme="0" tint="-0.14996795556505021"/>
        </left>
        <right/>
        <top style="thick">
          <color theme="0" tint="-0.14996795556505021"/>
        </top>
        <bottom style="thick">
          <color theme="0" tint="-0.14996795556505021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Sakkal Majalla"/>
        <scheme val="none"/>
      </font>
      <numFmt numFmtId="4" formatCode="#,##0.00"/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 tint="-0.14993743705557422"/>
        </left>
        <right style="thick">
          <color theme="0" tint="-0.14993743705557422"/>
        </right>
        <top style="thick">
          <color theme="0" tint="-0.14993743705557422"/>
        </top>
        <bottom style="thick">
          <color theme="0" tint="-0.14996795556505021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Sakkal Majalla"/>
        <scheme val="none"/>
      </font>
      <numFmt numFmtId="1" formatCode="0"/>
      <fill>
        <patternFill patternType="solid">
          <fgColor indexed="64"/>
          <bgColor theme="0" tint="-4.9989318521683403E-2"/>
        </patternFill>
      </fill>
      <alignment horizontal="center" vertical="center" textRotation="0" wrapText="1" indent="0" justifyLastLine="0" shrinkToFit="0" readingOrder="2"/>
      <border diagonalUp="0" diagonalDown="0">
        <left/>
        <right/>
        <top style="thick">
          <color theme="0" tint="-0.14996795556505021"/>
        </top>
        <bottom style="thick">
          <color theme="0" tint="-0.14996795556505021"/>
        </bottom>
        <vertical/>
        <horizontal/>
      </border>
      <protection locked="0" hidden="0"/>
    </dxf>
    <dxf>
      <border outline="0">
        <top style="thick">
          <color theme="0" tint="-0.14996795556505021"/>
        </top>
      </border>
    </dxf>
    <dxf>
      <border outline="0">
        <left style="thick">
          <color theme="0" tint="-0.14996795556505021"/>
        </left>
        <right style="thick">
          <color theme="0" tint="-0.14996795556505021"/>
        </right>
        <bottom style="thick">
          <color theme="0" tint="-0.14996795556505021"/>
        </bottom>
      </border>
    </dxf>
    <dxf>
      <numFmt numFmtId="1" formatCode="0"/>
      <protection locked="0" hidden="0"/>
    </dxf>
    <dxf>
      <border outline="0">
        <bottom style="thick">
          <color theme="0" tint="-0.149967955565050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Sakkal Majalla"/>
        <scheme val="none"/>
      </font>
      <numFmt numFmtId="1" formatCode="0"/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2"/>
      <protection locked="0" hidden="0"/>
    </dxf>
  </dxfs>
  <tableStyles count="0" defaultTableStyle="TableStyleMedium2" defaultPivotStyle="PivotStyleLight16"/>
  <colors>
    <mruColors>
      <color rgb="FFCC9900"/>
      <color rgb="FF00525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4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5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6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7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8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746211</xdr:colOff>
      <xdr:row>0</xdr:row>
      <xdr:rowOff>34483</xdr:rowOff>
    </xdr:from>
    <xdr:to>
      <xdr:col>6</xdr:col>
      <xdr:colOff>1213186</xdr:colOff>
      <xdr:row>4</xdr:row>
      <xdr:rowOff>126224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E02173DC-CA8D-48CD-A5B9-2AA95520EE17}"/>
            </a:ext>
          </a:extLst>
        </xdr:cNvPr>
        <xdr:cNvSpPr/>
      </xdr:nvSpPr>
      <xdr:spPr>
        <a:xfrm flipH="1">
          <a:off x="9986508139" y="34483"/>
          <a:ext cx="1873500" cy="856916"/>
        </a:xfrm>
        <a:prstGeom prst="rect">
          <a:avLst/>
        </a:prstGeom>
        <a:noFill/>
        <a:ln w="6350"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1"/>
          <a:r>
            <a:rPr lang="ar-SA" sz="1800">
              <a:solidFill>
                <a:schemeClr val="bg1">
                  <a:lumMod val="50000"/>
                </a:schemeClr>
              </a:solidFill>
              <a:latin typeface="Sakkal Majalla" panose="02000000000000000000" pitchFamily="2" charset="-78"/>
              <a:cs typeface="Sakkal Majalla" panose="02000000000000000000" pitchFamily="2" charset="-78"/>
            </a:rPr>
            <a:t>يتم تعبئة</a:t>
          </a:r>
          <a:r>
            <a:rPr lang="ar-SA" sz="1800" baseline="0">
              <a:solidFill>
                <a:schemeClr val="bg1">
                  <a:lumMod val="50000"/>
                </a:schemeClr>
              </a:solidFill>
              <a:latin typeface="Sakkal Majalla" panose="02000000000000000000" pitchFamily="2" charset="-78"/>
              <a:cs typeface="Sakkal Majalla" panose="02000000000000000000" pitchFamily="2" charset="-78"/>
            </a:rPr>
            <a:t> الحقول البيضاء فقط</a:t>
          </a:r>
          <a:endParaRPr lang="en-US" sz="1800">
            <a:solidFill>
              <a:schemeClr val="bg1">
                <a:lumMod val="50000"/>
              </a:schemeClr>
            </a:solidFill>
            <a:latin typeface="Sakkal Majalla" panose="02000000000000000000" pitchFamily="2" charset="-78"/>
            <a:cs typeface="Sakkal Majalla" panose="02000000000000000000" pitchFamily="2" charset="-78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455706</xdr:colOff>
      <xdr:row>0</xdr:row>
      <xdr:rowOff>37353</xdr:rowOff>
    </xdr:from>
    <xdr:to>
      <xdr:col>11</xdr:col>
      <xdr:colOff>167591</xdr:colOff>
      <xdr:row>3</xdr:row>
      <xdr:rowOff>28615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36A63CA8-08B8-4C31-A75F-51385ACCB44F}"/>
            </a:ext>
          </a:extLst>
        </xdr:cNvPr>
        <xdr:cNvSpPr/>
      </xdr:nvSpPr>
      <xdr:spPr>
        <a:xfrm flipH="1">
          <a:off x="10029739585" y="37353"/>
          <a:ext cx="2311650" cy="872791"/>
        </a:xfrm>
        <a:prstGeom prst="rect">
          <a:avLst/>
        </a:prstGeom>
        <a:noFill/>
        <a:ln w="6350"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1"/>
          <a:r>
            <a:rPr lang="ar-SA" sz="1800">
              <a:solidFill>
                <a:schemeClr val="bg1">
                  <a:lumMod val="50000"/>
                </a:schemeClr>
              </a:solidFill>
              <a:latin typeface="Sakkal Majalla" panose="02000000000000000000" pitchFamily="2" charset="-78"/>
              <a:cs typeface="Sakkal Majalla" panose="02000000000000000000" pitchFamily="2" charset="-78"/>
            </a:rPr>
            <a:t>يتم تعبئة</a:t>
          </a:r>
          <a:r>
            <a:rPr lang="ar-SA" sz="1800" baseline="0">
              <a:solidFill>
                <a:schemeClr val="bg1">
                  <a:lumMod val="50000"/>
                </a:schemeClr>
              </a:solidFill>
              <a:latin typeface="Sakkal Majalla" panose="02000000000000000000" pitchFamily="2" charset="-78"/>
              <a:cs typeface="Sakkal Majalla" panose="02000000000000000000" pitchFamily="2" charset="-78"/>
            </a:rPr>
            <a:t> الحقول البيضاء فقط</a:t>
          </a:r>
          <a:endParaRPr lang="en-US" sz="1800">
            <a:solidFill>
              <a:schemeClr val="bg1">
                <a:lumMod val="50000"/>
              </a:schemeClr>
            </a:solidFill>
            <a:latin typeface="Sakkal Majalla" panose="02000000000000000000" pitchFamily="2" charset="-78"/>
            <a:cs typeface="Sakkal Majalla" panose="02000000000000000000" pitchFamily="2" charset="-78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1086386</xdr:colOff>
      <xdr:row>0</xdr:row>
      <xdr:rowOff>114760</xdr:rowOff>
    </xdr:from>
    <xdr:to>
      <xdr:col>4</xdr:col>
      <xdr:colOff>777054</xdr:colOff>
      <xdr:row>3</xdr:row>
      <xdr:rowOff>84780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228916EF-D5C0-404C-9BF9-6A0C8C290230}"/>
            </a:ext>
          </a:extLst>
        </xdr:cNvPr>
        <xdr:cNvSpPr/>
      </xdr:nvSpPr>
      <xdr:spPr>
        <a:xfrm flipH="1">
          <a:off x="10028856681" y="114760"/>
          <a:ext cx="2314825" cy="872791"/>
        </a:xfrm>
        <a:prstGeom prst="rect">
          <a:avLst/>
        </a:prstGeom>
        <a:noFill/>
        <a:ln w="6350"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1"/>
          <a:r>
            <a:rPr lang="ar-SA" sz="1800">
              <a:solidFill>
                <a:schemeClr val="bg1">
                  <a:lumMod val="50000"/>
                </a:schemeClr>
              </a:solidFill>
              <a:latin typeface="Sakkal Majalla" panose="02000000000000000000" pitchFamily="2" charset="-78"/>
              <a:cs typeface="Sakkal Majalla" panose="02000000000000000000" pitchFamily="2" charset="-78"/>
            </a:rPr>
            <a:t>يتم تعبئة</a:t>
          </a:r>
          <a:r>
            <a:rPr lang="ar-SA" sz="1800" baseline="0">
              <a:solidFill>
                <a:schemeClr val="bg1">
                  <a:lumMod val="50000"/>
                </a:schemeClr>
              </a:solidFill>
              <a:latin typeface="Sakkal Majalla" panose="02000000000000000000" pitchFamily="2" charset="-78"/>
              <a:cs typeface="Sakkal Majalla" panose="02000000000000000000" pitchFamily="2" charset="-78"/>
            </a:rPr>
            <a:t> الحقول البيضاء فقط</a:t>
          </a:r>
          <a:endParaRPr lang="en-US" sz="1800">
            <a:solidFill>
              <a:schemeClr val="bg1">
                <a:lumMod val="50000"/>
              </a:schemeClr>
            </a:solidFill>
            <a:latin typeface="Sakkal Majalla" panose="02000000000000000000" pitchFamily="2" charset="-78"/>
            <a:cs typeface="Sakkal Majalla" panose="02000000000000000000" pitchFamily="2" charset="-78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457201</xdr:colOff>
      <xdr:row>3</xdr:row>
      <xdr:rowOff>76200</xdr:rowOff>
    </xdr:from>
    <xdr:to>
      <xdr:col>6</xdr:col>
      <xdr:colOff>132523</xdr:colOff>
      <xdr:row>5</xdr:row>
      <xdr:rowOff>168275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44BA60AF-B09D-4D86-A162-E2ACFCCF4C19}"/>
            </a:ext>
          </a:extLst>
        </xdr:cNvPr>
        <xdr:cNvSpPr/>
      </xdr:nvSpPr>
      <xdr:spPr>
        <a:xfrm flipH="1">
          <a:off x="11259585325" y="622852"/>
          <a:ext cx="5340626" cy="456510"/>
        </a:xfrm>
        <a:prstGeom prst="rect">
          <a:avLst/>
        </a:prstGeom>
        <a:noFill/>
        <a:ln w="6350"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1"/>
          <a:r>
            <a:rPr lang="ar-SA" sz="1800" baseline="0">
              <a:solidFill>
                <a:schemeClr val="bg1">
                  <a:lumMod val="50000"/>
                </a:schemeClr>
              </a:solidFill>
              <a:latin typeface="Sakkal Majalla" panose="02000000000000000000" pitchFamily="2" charset="-78"/>
              <a:cs typeface="Sakkal Majalla" panose="02000000000000000000" pitchFamily="2" charset="-78"/>
            </a:rPr>
            <a:t> </a:t>
          </a:r>
          <a:r>
            <a:rPr lang="ar-SA" sz="1800">
              <a:solidFill>
                <a:schemeClr val="bg1">
                  <a:lumMod val="50000"/>
                </a:schemeClr>
              </a:solidFill>
              <a:latin typeface="Sakkal Majalla" panose="02000000000000000000" pitchFamily="2" charset="-78"/>
              <a:cs typeface="Sakkal Majalla" panose="02000000000000000000" pitchFamily="2" charset="-78"/>
            </a:rPr>
            <a:t>ارفاق</a:t>
          </a:r>
          <a:r>
            <a:rPr lang="ar-SA" sz="1800" baseline="0">
              <a:solidFill>
                <a:schemeClr val="bg1">
                  <a:lumMod val="50000"/>
                </a:schemeClr>
              </a:solidFill>
              <a:latin typeface="Sakkal Majalla" panose="02000000000000000000" pitchFamily="2" charset="-78"/>
              <a:cs typeface="Sakkal Majalla" panose="02000000000000000000" pitchFamily="2" charset="-78"/>
            </a:rPr>
            <a:t> قائمة المركز المالي هنا موقعة و مختومة</a:t>
          </a:r>
          <a:r>
            <a:rPr lang="en-US" sz="1800" baseline="0">
              <a:solidFill>
                <a:schemeClr val="bg1">
                  <a:lumMod val="50000"/>
                </a:schemeClr>
              </a:solidFill>
              <a:latin typeface="Sakkal Majalla" panose="02000000000000000000" pitchFamily="2" charset="-78"/>
              <a:cs typeface="Sakkal Majalla" panose="02000000000000000000" pitchFamily="2" charset="-78"/>
            </a:rPr>
            <a:t> </a:t>
          </a:r>
          <a:r>
            <a:rPr lang="ar-SA" sz="1800" baseline="0">
              <a:solidFill>
                <a:schemeClr val="bg1">
                  <a:lumMod val="50000"/>
                </a:schemeClr>
              </a:solidFill>
              <a:latin typeface="Sakkal Majalla" panose="02000000000000000000" pitchFamily="2" charset="-78"/>
              <a:cs typeface="Sakkal Majalla" panose="02000000000000000000" pitchFamily="2" charset="-78"/>
            </a:rPr>
            <a:t>(اختياري)</a:t>
          </a:r>
          <a:endParaRPr lang="en-US" sz="1800">
            <a:solidFill>
              <a:schemeClr val="bg1">
                <a:lumMod val="50000"/>
              </a:schemeClr>
            </a:solidFill>
            <a:latin typeface="Sakkal Majalla" panose="02000000000000000000" pitchFamily="2" charset="-78"/>
            <a:cs typeface="Sakkal Majalla" panose="02000000000000000000" pitchFamily="2" charset="-78"/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AA2F8EA-FDEB-49D6-8B04-B7D3B71201EB}" name="Table3" displayName="Table3" ref="A2:L196" totalsRowShown="0" headerRowDxfId="116" dataDxfId="114" headerRowBorderDxfId="115" tableBorderDxfId="113" totalsRowBorderDxfId="112">
  <autoFilter ref="A2:L196" xr:uid="{6AA2F8EA-FDEB-49D6-8B04-B7D3B71201EB}"/>
  <tableColumns count="12">
    <tableColumn id="1" xr3:uid="{CE9BA210-F7FB-4CDD-B5E7-976252CF7333}" name="#" dataDxfId="111"/>
    <tableColumn id="12" xr3:uid="{B13E6054-B737-425B-90C5-DDBA5BB6C046}" name="نوع حساب الضمان " dataDxfId="110"/>
    <tableColumn id="2" xr3:uid="{EA2F0DD5-F0A9-4F25-BC9B-0491F6206643}" name="البند" dataDxfId="109"/>
    <tableColumn id="3" xr3:uid="{3C5D8334-389C-46BF-89A0-0CAB26CC789D}" name="رقم وثيقة الصرف" dataDxfId="108"/>
    <tableColumn id="4" xr3:uid="{35B914F7-0723-40A9-AFA6-1749CB23C7DB}" name="تاريخ الوثيقة" dataDxfId="107"/>
    <tableColumn id="5" xr3:uid="{BAB8026F-CE7E-43E2-9130-BD679EC9912B}" name="اسم المستفيد" dataDxfId="106"/>
    <tableColumn id="6" xr3:uid="{0DF7A11B-89AA-4D96-BA61-6BAD2B8C13F1}" name="صفة المستفيد" dataDxfId="105"/>
    <tableColumn id="7" xr3:uid="{39D413DC-B15E-4C4B-9118-BDC30213D857}" name="بيان الصرف" dataDxfId="104"/>
    <tableColumn id="11" xr3:uid="{92AA1F7A-F076-4EEC-9FB1-94304240FD41}" name="حالة الوثيقة" dataDxfId="103"/>
    <tableColumn id="8" xr3:uid="{42D2777D-F2AF-4FFF-B4B2-C52DFE173774}" name="تاريخ اعتماد الوثيقة" dataDxfId="102"/>
    <tableColumn id="9" xr3:uid="{172B535D-6BF6-4362-8173-6EA781283AA6}" name="تاريخ الدفع" dataDxfId="101"/>
    <tableColumn id="10" xr3:uid="{A2D4A809-B534-4D2E-9C46-41966E547A34}" name="المبلغ" dataDxfId="100" dataCellStyle="Comma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9D5FB7C-28EB-4FA0-A872-81724FB1646A}" name="Table7" displayName="Table7" ref="A8:D15" totalsRowShown="0" headerRowDxfId="178" dataDxfId="176" headerRowBorderDxfId="177" tableBorderDxfId="175" totalsRowBorderDxfId="174">
  <autoFilter ref="A8:D15" xr:uid="{49D5FB7C-28EB-4FA0-A872-81724FB1646A}">
    <filterColumn colId="0" hiddenButton="1"/>
    <filterColumn colId="1" hiddenButton="1"/>
    <filterColumn colId="2" hiddenButton="1"/>
    <filterColumn colId="3" hiddenButton="1"/>
  </autoFilter>
  <tableColumns count="4">
    <tableColumn id="1" xr3:uid="{C6801FD4-C103-48D8-B3FB-BF099F1B1C12}" name="العمليات المدينة" dataDxfId="173"/>
    <tableColumn id="2" xr3:uid="{870F1463-DBE4-4072-8DFD-65474A448CBC}" name="المبلغ" dataDxfId="172" dataCellStyle="Comma"/>
    <tableColumn id="3" xr3:uid="{F9479554-E5C7-436C-BF15-6A33B6DB8725}" name="العمليات الدائنة" dataDxfId="171"/>
    <tableColumn id="4" xr3:uid="{9B9A5CC5-00B0-4DA2-9A72-B024C2B22131}" name="المبلغ2" dataDxfId="170" dataCellStyle="Comma">
      <calculatedColumnFormula>SUM(D3:D8)</calculatedColumnFormula>
    </tableColumn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89A0A24A-CC0A-4629-9F5B-588518285958}" name="Table8" displayName="Table8" ref="F8:I15" totalsRowShown="0" headerRowDxfId="169" dataDxfId="167" headerRowBorderDxfId="168" tableBorderDxfId="166" totalsRowBorderDxfId="165">
  <autoFilter ref="F8:I15" xr:uid="{89A0A24A-CC0A-4629-9F5B-588518285958}">
    <filterColumn colId="0" hiddenButton="1"/>
    <filterColumn colId="1" hiddenButton="1"/>
    <filterColumn colId="2" hiddenButton="1"/>
    <filterColumn colId="3" hiddenButton="1"/>
  </autoFilter>
  <tableColumns count="4">
    <tableColumn id="1" xr3:uid="{103A289A-4B3C-431D-94B7-B0922D58B9D2}" name="العمليات المدينة" dataDxfId="164"/>
    <tableColumn id="2" xr3:uid="{36CFE59B-2949-47C5-92EE-7CB4EBED5911}" name="المبلغ" dataDxfId="163" dataCellStyle="Comma"/>
    <tableColumn id="3" xr3:uid="{8CFEA1D7-2BCC-4909-AC7D-1DE3D984509C}" name="العمليات الدائنة" dataDxfId="162"/>
    <tableColumn id="4" xr3:uid="{A78BA9FB-628A-4E19-9338-4DC54B13E54C}" name="المبلغ2" dataDxfId="161" dataCellStyle="Comma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2BDC43FF-447B-4B59-A989-68D2D89050B7}" name="Table10" displayName="Table10" ref="A18:D18" headerRowCount="0" totalsRowShown="0" headerRowDxfId="160" dataDxfId="158" headerRowBorderDxfId="159" tableBorderDxfId="157">
  <tableColumns count="4">
    <tableColumn id="1" xr3:uid="{5FE693ED-6F71-40F8-8E85-E2B0E56AFB17}" name="Column1" headerRowDxfId="156" dataDxfId="155"/>
    <tableColumn id="2" xr3:uid="{F69173B6-C5B5-4FF7-956F-8D253B2BE9FF}" name="Column2" headerRowDxfId="154" dataDxfId="153" headerRowCellStyle="Comma" dataCellStyle="Comma">
      <calculatedColumnFormula>C5</calculatedColumnFormula>
    </tableColumn>
    <tableColumn id="3" xr3:uid="{A89562CE-0EEC-486F-8D09-B4D9A46C3E4B}" name="Column3" headerRowDxfId="152" dataDxfId="151"/>
    <tableColumn id="4" xr3:uid="{D3CF6CC2-2D4E-4F8D-B3FF-38831855612B}" name="Column4" headerRowDxfId="150" dataDxfId="149" headerRowCellStyle="Comma" dataCellStyle="Comma">
      <calculatedColumnFormula>B18+I15-G15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5835B6A8-B3EC-4B4F-898A-3FB4C4907C3F}" name="Table11" displayName="Table11" ref="F18:I24" totalsRowShown="0" headerRowDxfId="148" dataDxfId="146" headerRowBorderDxfId="147" tableBorderDxfId="145" totalsRowBorderDxfId="144">
  <autoFilter ref="F18:I24" xr:uid="{5835B6A8-B3EC-4B4F-898A-3FB4C4907C3F}">
    <filterColumn colId="0" hiddenButton="1"/>
    <filterColumn colId="1" hiddenButton="1"/>
    <filterColumn colId="2" hiddenButton="1"/>
    <filterColumn colId="3" hiddenButton="1"/>
  </autoFilter>
  <tableColumns count="4">
    <tableColumn id="1" xr3:uid="{4E5C52F1-7B5E-41E4-8D36-C37F27B3CC22}" name="العمليات المدينة" dataDxfId="143"/>
    <tableColumn id="2" xr3:uid="{AEB19A5E-3D4A-421C-8299-243F3FB6BAC3}" name="المبلغ" dataDxfId="142" dataCellStyle="Comma"/>
    <tableColumn id="3" xr3:uid="{0F81213E-C2BD-4FE7-A3CA-4F3A65E3E2E2}" name="العمليات الدائنة" dataDxfId="141"/>
    <tableColumn id="4" xr3:uid="{B7794FBA-42F0-4D13-9007-12BEF31D7667}" name="المبلغ2" dataDxfId="140" dataCellStyle="Comma">
      <calculatedColumnFormula>SUM(I14:I18)</calculatedColumnFormula>
    </tableColumn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385F679-1162-4195-9C38-64A15917B599}" name="Table12" displayName="Table12" ref="A27:B32" totalsRowShown="0" headerRowDxfId="139" dataDxfId="137" headerRowBorderDxfId="138" tableBorderDxfId="136" totalsRowBorderDxfId="135">
  <autoFilter ref="A27:B32" xr:uid="{0385F679-1162-4195-9C38-64A15917B599}">
    <filterColumn colId="0" hiddenButton="1"/>
    <filterColumn colId="1" hiddenButton="1"/>
  </autoFilter>
  <tableColumns count="2">
    <tableColumn id="1" xr3:uid="{FA255FDA-FC93-416B-8E5D-59FAB91A4AA8}" name=" المصاريف الإدارية التسويقي - الغير انشائية : 20% " dataDxfId="134"/>
    <tableColumn id="2" xr3:uid="{E5F29695-D8A7-4CCD-AB4D-B0BE27799FC9}" name="المبلغ" dataDxfId="133" dataCellStyle="Comma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3C48B217-7D23-42FD-81E6-BA69BCEB35D6}" name="Table13" displayName="Table13" ref="C27:D30" totalsRowShown="0" headerRowDxfId="132" dataDxfId="130" headerRowBorderDxfId="131" tableBorderDxfId="129" totalsRowBorderDxfId="128">
  <autoFilter ref="C27:D30" xr:uid="{3C48B217-7D23-42FD-81E6-BA69BCEB35D6}">
    <filterColumn colId="0" hiddenButton="1"/>
    <filterColumn colId="1" hiddenButton="1"/>
  </autoFilter>
  <tableColumns count="2">
    <tableColumn id="1" xr3:uid="{6A781E42-E769-4024-86C2-F4180E3E990E}" name="  حساب الحفظ: 5%" dataDxfId="127"/>
    <tableColumn id="2" xr3:uid="{D51FD64D-4F5C-49ED-8CB0-369246633795}" name="المبلغ" dataDxfId="126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6909D00-C5FC-4113-BF15-87AF80C4C6E7}" name="Table82" displayName="Table82" ref="F27:I34" totalsRowShown="0" headerRowDxfId="125" dataDxfId="123" headerRowBorderDxfId="124" tableBorderDxfId="122" totalsRowBorderDxfId="121">
  <autoFilter ref="F27:I34" xr:uid="{46909D00-C5FC-4113-BF15-87AF80C4C6E7}">
    <filterColumn colId="0" hiddenButton="1"/>
    <filterColumn colId="1" hiddenButton="1"/>
    <filterColumn colId="2" hiddenButton="1"/>
    <filterColumn colId="3" hiddenButton="1"/>
  </autoFilter>
  <tableColumns count="4">
    <tableColumn id="1" xr3:uid="{40285A5C-61C7-4132-BB2F-58183753DFB0}" name="العمليات المدينة" dataDxfId="120"/>
    <tableColumn id="2" xr3:uid="{87A68A60-577B-44A4-A441-E29FEC7928AD}" name="المبلغ" dataDxfId="119" dataCellStyle="Comma"/>
    <tableColumn id="3" xr3:uid="{C4AA399A-B718-47F2-BE51-10223E0F5313}" name="العمليات الدائنة" dataDxfId="118"/>
    <tableColumn id="4" xr3:uid="{145427A1-4DC0-40F8-B7C7-6C9C4EE2F8FE}" name="المبلغ2" dataDxfId="117" dataCellStyle="Comma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62C5148E-05FF-4919-81BB-755DC302875F}" name="Table19" displayName="Table19" ref="B1:G17" totalsRowShown="0" headerRowDxfId="99" dataDxfId="97" headerRowBorderDxfId="98" tableBorderDxfId="96" totalsRowBorderDxfId="95">
  <autoFilter ref="B1:G17" xr:uid="{62C5148E-05FF-4919-81BB-755DC302875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14C64B1D-0131-498D-A1A4-56FBFD319F8C}" name="بيان نوع الوحدات" dataDxfId="94"/>
    <tableColumn id="2" xr3:uid="{DC5BCD34-5684-41AA-A880-86140DFE1E26}" name="عدد" dataDxfId="93"/>
    <tableColumn id="3" xr3:uid="{835A628F-359E-4083-98B8-F1D915D82A8C}" name="نسبة" dataDxfId="92">
      <calculatedColumnFormula>C2/$C$17</calculatedColumnFormula>
    </tableColumn>
    <tableColumn id="4" xr3:uid="{6F913408-3F2A-4DA5-ABEA-FB1C67AB96D7}" name="قيمة الوحدات" dataDxfId="91"/>
    <tableColumn id="5" xr3:uid="{B9BAF22E-F7D2-4C02-BE88-1882930A8CEF}" name="قيمة المحصل من الوحدات المباعة" dataDxfId="90"/>
    <tableColumn id="6" xr3:uid="{E45428E8-37B6-4875-93FC-49752E7E24D4}" name="المتبقي" dataDxfId="89"/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9FF8BE01-5F81-4063-B6A0-EBF0B4D71EAD}" name="Table1921" displayName="Table1921" ref="B18:G34" totalsRowShown="0" headerRowDxfId="88" dataDxfId="86" headerRowBorderDxfId="87" tableBorderDxfId="85" totalsRowBorderDxfId="84">
  <autoFilter ref="B18:G34" xr:uid="{9FF8BE01-5F81-4063-B6A0-EBF0B4D71EA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1C248470-ED7A-4E53-BC72-A4A3F8A92E17}" name="بيان نوع الوحدات" dataDxfId="83"/>
    <tableColumn id="2" xr3:uid="{B967060E-06AB-4A42-9482-AFBD1ACF58F5}" name="عدد" dataDxfId="82">
      <calculatedColumnFormula>SUM(C4:C18)</calculatedColumnFormula>
    </tableColumn>
    <tableColumn id="3" xr3:uid="{E7D8917D-1A07-4415-ABC1-8665D9AAC059}" name="نسبة" dataDxfId="81">
      <calculatedColumnFormula>Table1921[[#This Row],[عدد]]/$C$34</calculatedColumnFormula>
    </tableColumn>
    <tableColumn id="4" xr3:uid="{6E65F4DC-4A2D-4B9B-A090-CD2EDD1CDD20}" name="قيمة الوحدات" dataDxfId="80">
      <calculatedColumnFormula>SUBTOTAL(109,E4:E18)</calculatedColumnFormula>
    </tableColumn>
    <tableColumn id="5" xr3:uid="{0A099C3C-8833-4746-AEE7-C310E7B365FC}" name="قيمة المحصل من الوحدات المباعة" dataDxfId="79">
      <calculatedColumnFormula>SUBTOTAL(109,F4:F18)</calculatedColumnFormula>
    </tableColumn>
    <tableColumn id="6" xr3:uid="{160DF552-2905-47B8-AF4B-558C4D776171}" name="المتبقي" dataDxfId="78" dataCellStyle="Comma"/>
  </tableColumns>
  <tableStyleInfo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4EEC88F5-0E35-48B2-83C5-F7C5022E8D5D}" name="Table192122" displayName="Table192122" ref="B35:G51" totalsRowShown="0" headerRowDxfId="77" dataDxfId="75" headerRowBorderDxfId="76" tableBorderDxfId="74" totalsRowBorderDxfId="73">
  <autoFilter ref="B35:G51" xr:uid="{4EEC88F5-0E35-48B2-83C5-F7C5022E8D5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A704C6F3-CAAC-40EB-95A3-FAF7910BC8B1}" name="بيان نوع الوحدات" dataDxfId="72"/>
    <tableColumn id="2" xr3:uid="{FEA9411B-DF7A-4342-9F75-C3CF1BC6B1CA}" name="عدد" dataDxfId="71">
      <calculatedColumnFormula>SUM(C21:C35)</calculatedColumnFormula>
    </tableColumn>
    <tableColumn id="3" xr3:uid="{EE719376-4E78-4925-B1F4-CECBBACDDED4}" name="نسبة" dataDxfId="70">
      <calculatedColumnFormula>Table192122[[#This Row],[عدد]]/$C$51</calculatedColumnFormula>
    </tableColumn>
    <tableColumn id="4" xr3:uid="{52D7990F-6882-492F-8870-1DE85B59F262}" name="قيمة الوحدات" dataDxfId="69">
      <calculatedColumnFormula>SUBTOTAL(109,E21:E35)</calculatedColumnFormula>
    </tableColumn>
    <tableColumn id="5" xr3:uid="{CB4DDE54-42EC-4F25-A9A5-49E9F24B4EA9}" name="قيمة المحصل من الوحدات المباعة" dataDxfId="68">
      <calculatedColumnFormula>SUBTOTAL(109,F21:F35)</calculatedColumnFormula>
    </tableColumn>
    <tableColumn id="6" xr3:uid="{C31E24EC-4349-4B2E-B77A-8B3D38E7A87F}" name="المتبقي" dataDxfId="67" dataCellStyle="Comma"/>
  </tableColumns>
  <tableStyleInfo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97089B44-9470-4E75-8242-58B69F4B57CE}" name="Table19212223" displayName="Table19212223" ref="B52:G68" totalsRowShown="0" headerRowDxfId="66" dataDxfId="64" headerRowBorderDxfId="65" tableBorderDxfId="63" totalsRowBorderDxfId="62">
  <autoFilter ref="B52:G68" xr:uid="{97089B44-9470-4E75-8242-58B69F4B57C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F4295205-446F-49E7-878A-BBDACA2B8E1D}" name="بيان نوع الوحدات" dataDxfId="61"/>
    <tableColumn id="2" xr3:uid="{FF26A2B1-428A-4A32-A3A3-2F623F323EF9}" name="عدد" dataDxfId="60">
      <calculatedColumnFormula>SUM(C38:C52)</calculatedColumnFormula>
    </tableColumn>
    <tableColumn id="3" xr3:uid="{1D715E73-E47E-4CA6-82ED-CB30A4C9B318}" name="نسبة" dataDxfId="59">
      <calculatedColumnFormula>SUM(109,D38:D52)</calculatedColumnFormula>
    </tableColumn>
    <tableColumn id="4" xr3:uid="{A02A4AF3-4842-4FD3-BCA7-0F27E52D841B}" name="قيمة الوحدات" dataDxfId="58">
      <calculatedColumnFormula>SUBTOTAL(109,E38:E52)</calculatedColumnFormula>
    </tableColumn>
    <tableColumn id="5" xr3:uid="{4A874491-5219-4953-967E-0BDBBA4612E8}" name="قيمة المحصل من الوحدات المباعة" dataDxfId="57">
      <calculatedColumnFormula>SUBTOTAL(109,F38:F52)</calculatedColumnFormula>
    </tableColumn>
    <tableColumn id="6" xr3:uid="{AF652139-998B-43FF-A799-3DEE3F1432A1}" name="المتبقي" dataDxfId="56" dataCellStyle="Comma"/>
  </tableColumns>
  <tableStyleInfo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D259510A-2421-4F07-8EA3-56652E54DCF4}" name="Table1921222324" displayName="Table1921222324" ref="B69:G85" totalsRowShown="0" headerRowDxfId="55" dataDxfId="53" headerRowBorderDxfId="54" tableBorderDxfId="52" totalsRowBorderDxfId="51">
  <autoFilter ref="B69:G85" xr:uid="{D259510A-2421-4F07-8EA3-56652E54DCF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51C9ADC7-6F6A-4E13-8C5F-B2457569A063}" name="بيان نوع الوحدات" dataDxfId="50"/>
    <tableColumn id="2" xr3:uid="{166C94D2-842C-46BD-9D7B-D8E76B16C6C8}" name="عدد" dataDxfId="49">
      <calculatedColumnFormula>SUM(C55:C69)</calculatedColumnFormula>
    </tableColumn>
    <tableColumn id="3" xr3:uid="{D956495E-C3F9-4738-A5D6-8A608CDCFA39}" name="نسبة" dataDxfId="48">
      <calculatedColumnFormula>Table1921222324[[#This Row],[عدد]]/$C$85</calculatedColumnFormula>
    </tableColumn>
    <tableColumn id="4" xr3:uid="{6BC376E6-17D0-40F8-BD91-652A9F130022}" name="قيمة الوحدات" dataDxfId="47">
      <calculatedColumnFormula>SUBTOTAL(109,E55:E69)</calculatedColumnFormula>
    </tableColumn>
    <tableColumn id="5" xr3:uid="{1869EE1E-A8DE-4EAA-917C-3D7E662A006D}" name="قيمة المحصل من الوحدات المباعة" dataDxfId="46">
      <calculatedColumnFormula>SUBTOTAL(109,F55:F69)</calculatedColumnFormula>
    </tableColumn>
    <tableColumn id="6" xr3:uid="{E7298941-94A9-479B-B2A1-F8452EEE48DF}" name="المتبقي" dataDxfId="45" dataCellStyle="Comma"/>
  </tableColumns>
  <tableStyleInfo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6C49EB88-0CDC-4A9F-934B-957A17DA3785}" name="Table24" displayName="Table24" ref="B103:D119" totalsRowShown="0" headerRowDxfId="44" dataDxfId="42" headerRowBorderDxfId="43" tableBorderDxfId="41" totalsRowBorderDxfId="40">
  <autoFilter ref="B103:D119" xr:uid="{6C49EB88-0CDC-4A9F-934B-957A17DA3785}">
    <filterColumn colId="0" hiddenButton="1"/>
    <filterColumn colId="1" hiddenButton="1"/>
    <filterColumn colId="2" hiddenButton="1"/>
  </autoFilter>
  <tableColumns count="3">
    <tableColumn id="1" xr3:uid="{C2726997-004A-49C6-8BA9-F06575D39C0B}" name="بيان نوع الوحدات" dataDxfId="39"/>
    <tableColumn id="2" xr3:uid="{DDDA7C20-BF7A-42DA-9F92-888DAED0323C}" name="عدد" dataDxfId="38">
      <calculatedColumnFormula>SUM(C72:C85)</calculatedColumnFormula>
    </tableColumn>
    <tableColumn id="3" xr3:uid="{C76B8E4F-78C4-4808-B869-70F961893460}" name="نسبة (من الوحدات المرخصة)" dataDxfId="37" dataCellStyle="Percent">
      <calculatedColumnFormula>SUM(D72:D85)</calculatedColumnFormula>
    </tableColumn>
  </tableColumns>
  <tableStyleInfo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9E46A4E-8336-4E57-9116-B722D454FEE2}" name="Table19212223246" displayName="Table19212223246" ref="B86:G102" totalsRowShown="0" headerRowDxfId="36" dataDxfId="34" headerRowBorderDxfId="35" tableBorderDxfId="33" totalsRowBorderDxfId="32">
  <autoFilter ref="B86:G102" xr:uid="{A9E46A4E-8336-4E57-9116-B722D454FEE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CBB73BDA-0014-4EF3-BB20-8ADF4AF0D2F4}" name="بيان نوع الوحدات" dataDxfId="31"/>
    <tableColumn id="2" xr3:uid="{756169EA-99C2-480B-98E2-413CD6EE9A2C}" name="عدد" dataDxfId="30">
      <calculatedColumnFormula>SUM(C86:C102)</calculatedColumnFormula>
    </tableColumn>
    <tableColumn id="3" xr3:uid="{CD5B8F81-3435-49FD-871A-D00D7D5DD606}" name="نسبة" dataDxfId="29">
      <calculatedColumnFormula>Table19212223246[[#This Row],[عدد]]/$C$85</calculatedColumnFormula>
    </tableColumn>
    <tableColumn id="4" xr3:uid="{ACC52526-F384-41C3-89C6-50BA887AA0E4}" name="قيمة الوحدات" dataDxfId="28">
      <calculatedColumnFormula>SUBTOTAL(109,E86:E102)</calculatedColumnFormula>
    </tableColumn>
    <tableColumn id="5" xr3:uid="{B847932B-27B3-429C-B6CB-CCE382F19080}" name="قيمة المحصل من الوحدات المباعة (متوقع)" dataDxfId="27">
      <calculatedColumnFormula>SUBTOTAL(109,F72:F86)</calculatedColumnFormula>
    </tableColumn>
    <tableColumn id="6" xr3:uid="{64B35A5F-6417-4AE0-B2BC-5B91DBEF3F87}" name="المتبقي" dataDxfId="26" dataCellStyle="Comma"/>
  </tableColumns>
  <tableStyleInfo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66A2BD51-FFAA-4A3C-98E0-6CBF6E3DEAD0}" name="Table25" displayName="Table25" ref="A2:B13" headerRowCount="0" totalsRowShown="0" headerRowDxfId="25" dataDxfId="23" headerRowBorderDxfId="24" tableBorderDxfId="22" totalsRowBorderDxfId="21">
  <tableColumns count="2">
    <tableColumn id="1" xr3:uid="{331AE8B1-9643-499D-9883-4F1BA60EEB20}" name="Column1" headerRowDxfId="20" dataDxfId="19"/>
    <tableColumn id="2" xr3:uid="{CAC15DF5-9D31-48F5-8D96-2851A1B2A457}" name="Column2" headerRowDxfId="18" dataDxfId="17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table" Target="../tables/table6.xml"/><Relationship Id="rId3" Type="http://schemas.openxmlformats.org/officeDocument/2006/relationships/vmlDrawing" Target="../drawings/vmlDrawing4.vml"/><Relationship Id="rId7" Type="http://schemas.openxmlformats.org/officeDocument/2006/relationships/table" Target="../tables/table5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4.xml"/><Relationship Id="rId5" Type="http://schemas.openxmlformats.org/officeDocument/2006/relationships/table" Target="../tables/table3.xml"/><Relationship Id="rId10" Type="http://schemas.openxmlformats.org/officeDocument/2006/relationships/table" Target="../tables/table8.xml"/><Relationship Id="rId4" Type="http://schemas.openxmlformats.org/officeDocument/2006/relationships/table" Target="../tables/table2.xml"/><Relationship Id="rId9" Type="http://schemas.openxmlformats.org/officeDocument/2006/relationships/table" Target="../tables/table7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3.xml"/><Relationship Id="rId3" Type="http://schemas.openxmlformats.org/officeDocument/2006/relationships/vmlDrawing" Target="../drawings/vmlDrawing5.vml"/><Relationship Id="rId7" Type="http://schemas.openxmlformats.org/officeDocument/2006/relationships/table" Target="../tables/table1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Relationship Id="rId6" Type="http://schemas.openxmlformats.org/officeDocument/2006/relationships/table" Target="../tables/table11.xml"/><Relationship Id="rId5" Type="http://schemas.openxmlformats.org/officeDocument/2006/relationships/table" Target="../tables/table10.xml"/><Relationship Id="rId10" Type="http://schemas.openxmlformats.org/officeDocument/2006/relationships/table" Target="../tables/table15.xml"/><Relationship Id="rId4" Type="http://schemas.openxmlformats.org/officeDocument/2006/relationships/table" Target="../tables/table9.xml"/><Relationship Id="rId9" Type="http://schemas.openxmlformats.org/officeDocument/2006/relationships/table" Target="../tables/table1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Relationship Id="rId4" Type="http://schemas.openxmlformats.org/officeDocument/2006/relationships/table" Target="../tables/table1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G47"/>
  <sheetViews>
    <sheetView showGridLines="0" rightToLeft="1" view="pageLayout" zoomScale="70" zoomScaleNormal="63" zoomScaleSheetLayoutView="70" zoomScalePageLayoutView="70" workbookViewId="0">
      <selection activeCell="C21" sqref="C21:D21"/>
    </sheetView>
  </sheetViews>
  <sheetFormatPr defaultColWidth="9.140625" defaultRowHeight="15.75"/>
  <cols>
    <col min="1" max="1" width="24" style="46" bestFit="1" customWidth="1"/>
    <col min="2" max="2" width="49.7109375" style="46" customWidth="1"/>
    <col min="3" max="3" width="29.28515625" style="47" customWidth="1"/>
    <col min="4" max="4" width="53" style="47" customWidth="1"/>
    <col min="5" max="5" width="16.85546875" style="33" customWidth="1"/>
    <col min="6" max="6" width="12.140625" style="33" customWidth="1"/>
    <col min="7" max="7" width="11.5703125" style="35" customWidth="1"/>
    <col min="8" max="10" width="9.140625" style="33"/>
    <col min="11" max="11" width="6.28515625" style="33" bestFit="1" customWidth="1"/>
    <col min="12" max="16384" width="9.140625" style="33"/>
  </cols>
  <sheetData>
    <row r="1" spans="1:6" ht="23.25" thickTop="1" thickBot="1">
      <c r="A1" s="178" t="s">
        <v>21</v>
      </c>
      <c r="B1" s="179"/>
      <c r="C1" s="179"/>
      <c r="D1" s="180"/>
      <c r="F1" s="34"/>
    </row>
    <row r="2" spans="1:6" ht="23.25" thickTop="1" thickBot="1">
      <c r="A2" s="36" t="s">
        <v>5</v>
      </c>
      <c r="B2" s="40" t="s">
        <v>212</v>
      </c>
      <c r="C2" s="36" t="s">
        <v>1</v>
      </c>
      <c r="D2" s="38">
        <v>46215</v>
      </c>
      <c r="F2" s="34"/>
    </row>
    <row r="3" spans="1:6" ht="23.25" thickTop="1" thickBot="1">
      <c r="A3" s="36" t="s">
        <v>9</v>
      </c>
      <c r="B3" s="123">
        <v>596988800</v>
      </c>
      <c r="C3" s="36" t="s">
        <v>147</v>
      </c>
      <c r="D3" s="39" t="s">
        <v>150</v>
      </c>
      <c r="F3" s="34"/>
    </row>
    <row r="4" spans="1:6" ht="23.25" thickTop="1" thickBot="1">
      <c r="A4" s="36" t="s">
        <v>18</v>
      </c>
      <c r="B4" s="75" t="s">
        <v>213</v>
      </c>
      <c r="C4" s="33"/>
      <c r="D4" s="33"/>
      <c r="F4" s="34"/>
    </row>
    <row r="5" spans="1:6" ht="20.25" thickTop="1" thickBot="1">
      <c r="A5" s="181"/>
      <c r="B5" s="181"/>
      <c r="C5" s="181"/>
      <c r="D5" s="181"/>
    </row>
    <row r="6" spans="1:6" ht="23.25" thickTop="1" thickBot="1">
      <c r="A6" s="178" t="s">
        <v>19</v>
      </c>
      <c r="B6" s="179"/>
      <c r="C6" s="179"/>
      <c r="D6" s="180"/>
    </row>
    <row r="7" spans="1:6" ht="23.25" thickTop="1" thickBot="1">
      <c r="A7" s="36" t="s">
        <v>3</v>
      </c>
      <c r="B7" s="37" t="s">
        <v>214</v>
      </c>
      <c r="C7" s="36" t="s">
        <v>12</v>
      </c>
      <c r="D7" s="118">
        <v>82894783</v>
      </c>
      <c r="F7" s="34"/>
    </row>
    <row r="8" spans="1:6" ht="23.25" thickTop="1" thickBot="1">
      <c r="A8" s="36" t="s">
        <v>4</v>
      </c>
      <c r="B8" s="71" t="s">
        <v>215</v>
      </c>
      <c r="C8" s="36" t="s">
        <v>13</v>
      </c>
      <c r="D8" s="74">
        <f>D35</f>
        <v>316100316.74000001</v>
      </c>
      <c r="F8" s="34"/>
    </row>
    <row r="9" spans="1:6" ht="23.25" thickTop="1" thickBot="1">
      <c r="A9" s="36" t="s">
        <v>2</v>
      </c>
      <c r="B9" s="40" t="s">
        <v>216</v>
      </c>
      <c r="C9" s="36" t="s">
        <v>92</v>
      </c>
      <c r="D9" s="118">
        <v>181157708</v>
      </c>
      <c r="F9" s="34"/>
    </row>
    <row r="10" spans="1:6" ht="45" thickTop="1" thickBot="1">
      <c r="A10" s="36" t="s">
        <v>0</v>
      </c>
      <c r="B10" s="40" t="s">
        <v>217</v>
      </c>
      <c r="C10" s="36" t="s">
        <v>93</v>
      </c>
      <c r="D10" s="118">
        <v>40849315</v>
      </c>
      <c r="F10" s="34"/>
    </row>
    <row r="11" spans="1:6" ht="23.25" thickTop="1" thickBot="1">
      <c r="A11" s="36" t="s">
        <v>17</v>
      </c>
      <c r="B11" s="40" t="s">
        <v>163</v>
      </c>
      <c r="C11" s="36" t="s">
        <v>91</v>
      </c>
      <c r="D11" s="74">
        <f>D9+D10</f>
        <v>222007023</v>
      </c>
      <c r="F11" s="34"/>
    </row>
    <row r="12" spans="1:6" ht="23.25" thickTop="1" thickBot="1">
      <c r="A12" s="36" t="s">
        <v>90</v>
      </c>
      <c r="B12" s="40">
        <v>2189923619940</v>
      </c>
      <c r="C12" s="36" t="s">
        <v>175</v>
      </c>
      <c r="D12" s="73">
        <f>(D8-(D9+D10+D7))/D8</f>
        <v>3.5427078515745523E-2</v>
      </c>
      <c r="F12" s="34"/>
    </row>
    <row r="13" spans="1:6" ht="23.25" thickTop="1" thickBot="1">
      <c r="A13" s="36" t="s">
        <v>139</v>
      </c>
      <c r="B13" s="70" t="s">
        <v>218</v>
      </c>
      <c r="C13" s="36" t="s">
        <v>143</v>
      </c>
      <c r="D13" s="72">
        <v>229797325.55249998</v>
      </c>
      <c r="F13" s="34"/>
    </row>
    <row r="14" spans="1:6" ht="23.25" thickTop="1" thickBot="1">
      <c r="A14" s="36" t="s">
        <v>140</v>
      </c>
      <c r="B14" s="70"/>
      <c r="C14" s="36" t="s">
        <v>144</v>
      </c>
      <c r="D14" s="72"/>
      <c r="F14" s="34"/>
    </row>
    <row r="15" spans="1:6" ht="23.25" thickTop="1" thickBot="1">
      <c r="A15" s="36" t="s">
        <v>141</v>
      </c>
      <c r="B15" s="70"/>
      <c r="C15" s="36" t="s">
        <v>145</v>
      </c>
      <c r="D15" s="72"/>
      <c r="F15" s="34"/>
    </row>
    <row r="16" spans="1:6" ht="23.25" thickTop="1" thickBot="1">
      <c r="A16" s="36" t="s">
        <v>142</v>
      </c>
      <c r="B16" s="70"/>
      <c r="C16" s="36" t="s">
        <v>146</v>
      </c>
      <c r="D16" s="72"/>
      <c r="F16" s="34"/>
    </row>
    <row r="17" spans="1:6" ht="20.25" thickTop="1" thickBot="1">
      <c r="A17" s="181"/>
      <c r="B17" s="181"/>
      <c r="C17" s="181"/>
      <c r="D17" s="181"/>
      <c r="F17" s="34"/>
    </row>
    <row r="18" spans="1:6" ht="23.25" thickTop="1" thickBot="1">
      <c r="A18" s="164" t="s">
        <v>20</v>
      </c>
      <c r="B18" s="165"/>
      <c r="C18" s="165"/>
      <c r="D18" s="166"/>
      <c r="F18" s="34"/>
    </row>
    <row r="19" spans="1:6" ht="23.25" thickTop="1" thickBot="1">
      <c r="A19" s="182" t="s">
        <v>6</v>
      </c>
      <c r="B19" s="183"/>
      <c r="C19" s="16" t="s">
        <v>8</v>
      </c>
      <c r="D19" s="122" t="s">
        <v>166</v>
      </c>
      <c r="F19" s="42"/>
    </row>
    <row r="20" spans="1:6" ht="23.25" thickTop="1" thickBot="1">
      <c r="A20" s="176" t="s">
        <v>10</v>
      </c>
      <c r="B20" s="177"/>
      <c r="C20" s="17"/>
      <c r="D20" s="116"/>
      <c r="E20" s="34"/>
      <c r="F20" s="34"/>
    </row>
    <row r="21" spans="1:6" ht="23.25" thickTop="1" thickBot="1">
      <c r="A21" s="176" t="s">
        <v>11</v>
      </c>
      <c r="B21" s="177"/>
      <c r="C21" s="17">
        <v>455</v>
      </c>
      <c r="D21" s="116">
        <v>316100316.74000001</v>
      </c>
    </row>
    <row r="22" spans="1:6" ht="23.25" thickTop="1" thickBot="1">
      <c r="A22" s="176" t="s">
        <v>115</v>
      </c>
      <c r="B22" s="177"/>
      <c r="C22" s="17"/>
      <c r="D22" s="116"/>
    </row>
    <row r="23" spans="1:6" ht="23.25" thickTop="1" thickBot="1">
      <c r="A23" s="176" t="s">
        <v>116</v>
      </c>
      <c r="B23" s="177"/>
      <c r="C23" s="17"/>
      <c r="D23" s="116"/>
    </row>
    <row r="24" spans="1:6" ht="23.25" thickTop="1" thickBot="1">
      <c r="A24" s="176" t="s">
        <v>117</v>
      </c>
      <c r="B24" s="177"/>
      <c r="C24" s="17"/>
      <c r="D24" s="116"/>
    </row>
    <row r="25" spans="1:6" ht="23.25" thickTop="1" thickBot="1">
      <c r="A25" s="176" t="s">
        <v>15</v>
      </c>
      <c r="B25" s="177"/>
      <c r="C25" s="17"/>
      <c r="D25" s="116"/>
    </row>
    <row r="26" spans="1:6" ht="23.25" thickTop="1" thickBot="1">
      <c r="A26" s="176" t="s">
        <v>118</v>
      </c>
      <c r="B26" s="177"/>
      <c r="C26" s="17"/>
      <c r="D26" s="116"/>
    </row>
    <row r="27" spans="1:6" ht="23.25" thickTop="1" thickBot="1">
      <c r="A27" s="176" t="s">
        <v>119</v>
      </c>
      <c r="B27" s="177"/>
      <c r="C27" s="17"/>
      <c r="D27" s="116"/>
    </row>
    <row r="28" spans="1:6" ht="23.25" thickTop="1" thickBot="1">
      <c r="A28" s="176" t="s">
        <v>120</v>
      </c>
      <c r="B28" s="177"/>
      <c r="C28" s="17"/>
      <c r="D28" s="116"/>
    </row>
    <row r="29" spans="1:6" ht="23.25" thickTop="1" thickBot="1">
      <c r="A29" s="176" t="s">
        <v>14</v>
      </c>
      <c r="B29" s="177"/>
      <c r="C29" s="17"/>
      <c r="D29" s="116"/>
    </row>
    <row r="30" spans="1:6" ht="23.25" thickTop="1" thickBot="1">
      <c r="A30" s="176" t="s">
        <v>121</v>
      </c>
      <c r="B30" s="177"/>
      <c r="C30" s="17"/>
      <c r="D30" s="116"/>
    </row>
    <row r="31" spans="1:6" ht="23.25" thickTop="1" thickBot="1">
      <c r="A31" s="176" t="s">
        <v>14</v>
      </c>
      <c r="B31" s="177"/>
      <c r="C31" s="17"/>
      <c r="D31" s="116"/>
    </row>
    <row r="32" spans="1:6" ht="23.25" thickTop="1" thickBot="1">
      <c r="A32" s="176" t="s">
        <v>122</v>
      </c>
      <c r="B32" s="177"/>
      <c r="C32" s="17"/>
      <c r="D32" s="116"/>
    </row>
    <row r="33" spans="1:7" ht="23.25" thickTop="1" thickBot="1">
      <c r="A33" s="176" t="s">
        <v>123</v>
      </c>
      <c r="B33" s="177"/>
      <c r="C33" s="17"/>
      <c r="D33" s="116"/>
    </row>
    <row r="34" spans="1:7" ht="23.25" thickTop="1" thickBot="1">
      <c r="A34" s="176" t="s">
        <v>124</v>
      </c>
      <c r="B34" s="177"/>
      <c r="C34" s="17"/>
      <c r="D34" s="116"/>
    </row>
    <row r="35" spans="1:7" ht="23.25" thickTop="1" thickBot="1">
      <c r="A35" s="174" t="s">
        <v>16</v>
      </c>
      <c r="B35" s="175"/>
      <c r="C35" s="120">
        <f>SUM(C20:C34)</f>
        <v>455</v>
      </c>
      <c r="D35" s="121">
        <f>SUM(D20:D34)</f>
        <v>316100316.74000001</v>
      </c>
    </row>
    <row r="36" spans="1:7" ht="19.5" thickTop="1">
      <c r="A36" s="33"/>
      <c r="B36" s="33"/>
      <c r="C36" s="33"/>
      <c r="D36" s="45"/>
    </row>
    <row r="37" spans="1:7" ht="15">
      <c r="A37" s="33"/>
      <c r="B37" s="33"/>
      <c r="C37" s="33"/>
      <c r="D37" s="33"/>
      <c r="G37" s="33"/>
    </row>
    <row r="38" spans="1:7" ht="15">
      <c r="A38" s="33"/>
      <c r="B38" s="33"/>
      <c r="C38" s="33"/>
      <c r="D38" s="33"/>
      <c r="G38" s="33"/>
    </row>
    <row r="39" spans="1:7" ht="15">
      <c r="A39" s="33"/>
      <c r="B39" s="33"/>
      <c r="C39" s="33"/>
      <c r="D39" s="33"/>
      <c r="G39" s="33"/>
    </row>
    <row r="40" spans="1:7" ht="15">
      <c r="A40" s="33"/>
      <c r="B40" s="33"/>
      <c r="C40" s="33"/>
      <c r="D40" s="33"/>
      <c r="G40" s="33"/>
    </row>
    <row r="41" spans="1:7" ht="15">
      <c r="A41" s="33"/>
      <c r="B41" s="33"/>
      <c r="C41" s="33"/>
      <c r="D41" s="33"/>
      <c r="G41" s="33"/>
    </row>
    <row r="42" spans="1:7" ht="15">
      <c r="A42" s="33"/>
      <c r="B42" s="33"/>
      <c r="C42" s="33"/>
      <c r="D42" s="33"/>
      <c r="G42" s="33"/>
    </row>
    <row r="43" spans="1:7" ht="15">
      <c r="A43" s="33"/>
      <c r="B43" s="33"/>
      <c r="C43" s="33"/>
      <c r="D43" s="33"/>
      <c r="G43" s="33"/>
    </row>
    <row r="44" spans="1:7" ht="15">
      <c r="A44" s="33"/>
      <c r="B44" s="33"/>
      <c r="C44" s="33"/>
      <c r="D44" s="33"/>
      <c r="G44" s="33"/>
    </row>
    <row r="45" spans="1:7" ht="15">
      <c r="A45" s="33"/>
      <c r="B45" s="33"/>
      <c r="C45" s="33"/>
      <c r="D45" s="33"/>
      <c r="G45" s="33"/>
    </row>
    <row r="46" spans="1:7" ht="15">
      <c r="A46" s="33"/>
      <c r="B46" s="33"/>
      <c r="C46" s="33"/>
      <c r="D46" s="33"/>
      <c r="G46" s="33"/>
    </row>
    <row r="47" spans="1:7" ht="15">
      <c r="A47" s="33"/>
      <c r="B47" s="33"/>
      <c r="C47" s="33"/>
      <c r="D47" s="33"/>
      <c r="G47" s="33"/>
    </row>
  </sheetData>
  <sheetProtection algorithmName="SHA-512" hashValue="NzGuZo/ikdkSCQql9HMrKutvv3FuFZc36C//LbjPDGAOpWda7kZk0mzwfTAWSb22cEQ0vg+G5T1TCoxgS8AOhg==" saltValue="yPDJGpCz3DorSbkHii9nYA==" spinCount="100000" sheet="1" objects="1" scenarios="1"/>
  <mergeCells count="22">
    <mergeCell ref="A29:B29"/>
    <mergeCell ref="A1:D1"/>
    <mergeCell ref="A6:D6"/>
    <mergeCell ref="A5:D5"/>
    <mergeCell ref="A18:D18"/>
    <mergeCell ref="A17:D17"/>
    <mergeCell ref="A24:B24"/>
    <mergeCell ref="A25:B25"/>
    <mergeCell ref="A26:B26"/>
    <mergeCell ref="A27:B27"/>
    <mergeCell ref="A28:B28"/>
    <mergeCell ref="A19:B19"/>
    <mergeCell ref="A20:B20"/>
    <mergeCell ref="A21:B21"/>
    <mergeCell ref="A22:B22"/>
    <mergeCell ref="A23:B23"/>
    <mergeCell ref="A35:B35"/>
    <mergeCell ref="A30:B30"/>
    <mergeCell ref="A31:B31"/>
    <mergeCell ref="A32:B32"/>
    <mergeCell ref="A33:B33"/>
    <mergeCell ref="A34:B34"/>
  </mergeCells>
  <phoneticPr fontId="19" type="noConversion"/>
  <dataValidations count="7">
    <dataValidation type="date" allowBlank="1" showInputMessage="1" showErrorMessage="1" prompt="يجب كتابة الشهر ثم اليوم ثم السنة._x000a_مثال: 06/21/2026" sqref="D4" xr:uid="{23F455D2-6019-4FD7-9F32-494ADCFB6365}">
      <formula1>46163</formula1>
      <formula2>51471</formula2>
    </dataValidation>
    <dataValidation operator="greaterThan" allowBlank="1" showInputMessage="1" showErrorMessage="1" sqref="B8" xr:uid="{28DC33F5-5409-40C6-86EE-421347F1B22B}"/>
    <dataValidation type="date" operator="notEqual" allowBlank="1" showInputMessage="1" showErrorMessage="1" prompt="ملاحظة: الادخال بالتاريخ _x000a_mm/dd/yyyy" sqref="D2" xr:uid="{BA5451F1-98DB-4459-8EEB-FF624EC00C13}">
      <formula1>46023</formula1>
    </dataValidation>
    <dataValidation type="custom" operator="notEqual" allowBlank="1" showInputMessage="1" showErrorMessage="1" errorTitle="خطأ" error="_x000a_ الخلية لا تقبل ارقام " prompt="ملاحظة: الادخال نص" sqref="B9:B10 B2" xr:uid="{CFBA7FBC-6B1D-4967-A7ED-13C0157A4B5D}">
      <formula1>ISTEXT(B2)</formula1>
    </dataValidation>
    <dataValidation type="textLength" operator="greaterThan" allowBlank="1" showInputMessage="1" showErrorMessage="1" error=" الخلية لا تقبل ارقام " prompt="ملاحظة: الادخال نص" sqref="B13:B16" xr:uid="{7425D17A-553B-4AB6-A804-182283D37050}">
      <formula1>3</formula1>
    </dataValidation>
    <dataValidation type="custom" operator="notEqual" allowBlank="1" showInputMessage="1" showErrorMessage="1" error=" الخلية لا تقبل نص " prompt="ملاحظة: الادخال ارقام" sqref="D7:D10" xr:uid="{E21B0A56-E0A4-4222-98EE-67AE87FD5A51}">
      <formula1>ISNUMBER(D7)</formula1>
    </dataValidation>
    <dataValidation type="custom" operator="notEqual" allowBlank="1" showInputMessage="1" showErrorMessage="1" error=" الخلية لا تقبل نص " prompt="ملاحظة: ادخال ارقام" sqref="D13:D16 C20:D34" xr:uid="{C19E91F8-67BC-400F-9B91-AE1196B19F1C}">
      <formula1>ISNUMBER(C13)</formula1>
    </dataValidation>
  </dataValidations>
  <pageMargins left="0.23622047244094491" right="0.23622047244094491" top="1.1417322834645669" bottom="0.94488188976377963" header="0.31496062992125984" footer="0.31496062992125984"/>
  <pageSetup paperSize="9" scale="84" fitToHeight="0" orientation="landscape" r:id="rId1"/>
  <headerFooter>
    <oddHeader>&amp;C&amp;G</oddHeader>
    <oddFooter>&amp;C&amp;G</oddFooter>
  </headerFooter>
  <rowBreaks count="1" manualBreakCount="1">
    <brk id="17" max="3" man="1"/>
  </rowBreaks>
  <legacyDrawingHF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F5CA256D-F1CC-4830-BECD-3E618D0394AE}">
          <x14:formula1>
            <xm:f>Sheet1!$A$7:$A$10</xm:f>
          </x14:formula1>
          <xm:sqref>D3</xm:sqref>
        </x14:dataValidation>
        <x14:dataValidation type="list" allowBlank="1" showInputMessage="1" showErrorMessage="1" xr:uid="{45E7B612-61FD-4B06-9293-61B2DDA40A61}">
          <x14:formula1>
            <xm:f>Sheet1!$O$8:$O$19</xm:f>
          </x14:formula1>
          <xm:sqref>B11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L206"/>
  <sheetViews>
    <sheetView showGridLines="0" rightToLeft="1" view="pageBreakPreview" topLeftCell="A3" zoomScale="40" zoomScaleNormal="70" zoomScaleSheetLayoutView="40" workbookViewId="0">
      <selection activeCell="A3" sqref="A3:L106"/>
    </sheetView>
  </sheetViews>
  <sheetFormatPr defaultColWidth="9.140625" defaultRowHeight="15"/>
  <cols>
    <col min="1" max="1" width="6.7109375" style="33" bestFit="1" customWidth="1"/>
    <col min="2" max="2" width="12.140625" style="33" customWidth="1"/>
    <col min="3" max="3" width="17.140625" style="33" customWidth="1"/>
    <col min="4" max="4" width="17.28515625" style="33" customWidth="1"/>
    <col min="5" max="5" width="25" style="33" customWidth="1"/>
    <col min="6" max="6" width="30" style="33" customWidth="1"/>
    <col min="7" max="7" width="47" style="33" customWidth="1"/>
    <col min="8" max="8" width="51.85546875" style="33" customWidth="1"/>
    <col min="9" max="9" width="16.7109375" style="33" customWidth="1"/>
    <col min="10" max="10" width="27" style="33" customWidth="1"/>
    <col min="11" max="11" width="28.85546875" style="33" customWidth="1"/>
    <col min="12" max="12" width="44.140625" style="33" customWidth="1"/>
    <col min="13" max="16384" width="9.140625" style="33"/>
  </cols>
  <sheetData>
    <row r="1" spans="1:12" ht="25.5" customHeight="1" thickTop="1" thickBot="1">
      <c r="A1" s="164" t="s">
        <v>89</v>
      </c>
      <c r="B1" s="165"/>
      <c r="C1" s="165"/>
      <c r="D1" s="165"/>
      <c r="E1" s="165"/>
      <c r="F1" s="165"/>
      <c r="G1" s="165"/>
      <c r="H1" s="165"/>
      <c r="I1" s="165"/>
      <c r="J1" s="165"/>
      <c r="K1" s="165"/>
      <c r="L1" s="166"/>
    </row>
    <row r="2" spans="1:12" ht="45" thickTop="1" thickBot="1">
      <c r="A2" s="18" t="s">
        <v>96</v>
      </c>
      <c r="B2" s="19" t="s">
        <v>181</v>
      </c>
      <c r="C2" s="19" t="s">
        <v>99</v>
      </c>
      <c r="D2" s="19" t="s">
        <v>22</v>
      </c>
      <c r="E2" s="19" t="s">
        <v>94</v>
      </c>
      <c r="F2" s="19" t="s">
        <v>100</v>
      </c>
      <c r="G2" s="19" t="s">
        <v>101</v>
      </c>
      <c r="H2" s="19" t="s">
        <v>105</v>
      </c>
      <c r="I2" s="19" t="s">
        <v>167</v>
      </c>
      <c r="J2" s="19" t="s">
        <v>95</v>
      </c>
      <c r="K2" s="19" t="s">
        <v>23</v>
      </c>
      <c r="L2" s="19" t="s">
        <v>24</v>
      </c>
    </row>
    <row r="3" spans="1:12" ht="23.25" thickTop="1" thickBot="1">
      <c r="A3" s="20">
        <v>1</v>
      </c>
      <c r="B3" s="20" t="s">
        <v>185</v>
      </c>
      <c r="C3" s="20" t="s">
        <v>126</v>
      </c>
      <c r="D3" s="21" t="s">
        <v>219</v>
      </c>
      <c r="E3" s="22">
        <v>45649</v>
      </c>
      <c r="F3" s="23" t="s">
        <v>218</v>
      </c>
      <c r="G3" s="24" t="s">
        <v>102</v>
      </c>
      <c r="H3" s="25" t="s">
        <v>220</v>
      </c>
      <c r="I3" s="25" t="s">
        <v>169</v>
      </c>
      <c r="J3" s="22">
        <v>45649</v>
      </c>
      <c r="K3" s="22">
        <v>45649</v>
      </c>
      <c r="L3" s="136">
        <v>16198413.48</v>
      </c>
    </row>
    <row r="4" spans="1:12" ht="23.25" thickTop="1" thickBot="1">
      <c r="A4" s="20">
        <v>2</v>
      </c>
      <c r="B4" s="20" t="s">
        <v>185</v>
      </c>
      <c r="C4" s="20" t="s">
        <v>126</v>
      </c>
      <c r="D4" s="21" t="s">
        <v>221</v>
      </c>
      <c r="E4" s="22">
        <v>45672</v>
      </c>
      <c r="F4" s="23" t="s">
        <v>218</v>
      </c>
      <c r="G4" s="24" t="s">
        <v>102</v>
      </c>
      <c r="H4" s="25" t="s">
        <v>222</v>
      </c>
      <c r="I4" s="25" t="s">
        <v>169</v>
      </c>
      <c r="J4" s="22">
        <v>45672</v>
      </c>
      <c r="K4" s="22">
        <v>45672</v>
      </c>
      <c r="L4" s="136">
        <v>8410582.1199999992</v>
      </c>
    </row>
    <row r="5" spans="1:12" ht="23.25" thickTop="1" thickBot="1">
      <c r="A5" s="20">
        <v>3</v>
      </c>
      <c r="B5" s="20" t="s">
        <v>185</v>
      </c>
      <c r="C5" s="20" t="s">
        <v>126</v>
      </c>
      <c r="D5" s="21" t="s">
        <v>223</v>
      </c>
      <c r="E5" s="22">
        <v>45718</v>
      </c>
      <c r="F5" s="23" t="s">
        <v>218</v>
      </c>
      <c r="G5" s="24" t="s">
        <v>102</v>
      </c>
      <c r="H5" s="25" t="s">
        <v>224</v>
      </c>
      <c r="I5" s="25" t="s">
        <v>169</v>
      </c>
      <c r="J5" s="22">
        <v>45718</v>
      </c>
      <c r="K5" s="22">
        <v>45749</v>
      </c>
      <c r="L5" s="136">
        <v>11893160.58</v>
      </c>
    </row>
    <row r="6" spans="1:12" ht="23.25" thickTop="1" thickBot="1">
      <c r="A6" s="20">
        <v>4</v>
      </c>
      <c r="B6" s="20" t="s">
        <v>185</v>
      </c>
      <c r="C6" s="20" t="s">
        <v>126</v>
      </c>
      <c r="D6" s="21" t="s">
        <v>225</v>
      </c>
      <c r="E6" s="22">
        <v>45780</v>
      </c>
      <c r="F6" s="23" t="s">
        <v>218</v>
      </c>
      <c r="G6" s="24" t="s">
        <v>102</v>
      </c>
      <c r="H6" s="25" t="s">
        <v>226</v>
      </c>
      <c r="I6" s="25" t="s">
        <v>169</v>
      </c>
      <c r="J6" s="22">
        <v>45780</v>
      </c>
      <c r="K6" s="22">
        <v>45780</v>
      </c>
      <c r="L6" s="136">
        <v>6000000</v>
      </c>
    </row>
    <row r="7" spans="1:12" ht="23.25" thickTop="1" thickBot="1">
      <c r="A7" s="20">
        <v>5</v>
      </c>
      <c r="B7" s="20" t="s">
        <v>185</v>
      </c>
      <c r="C7" s="20" t="s">
        <v>126</v>
      </c>
      <c r="D7" s="21" t="s">
        <v>227</v>
      </c>
      <c r="E7" s="22">
        <v>45763</v>
      </c>
      <c r="F7" s="23" t="s">
        <v>218</v>
      </c>
      <c r="G7" s="24" t="s">
        <v>102</v>
      </c>
      <c r="H7" s="25" t="s">
        <v>226</v>
      </c>
      <c r="I7" s="25" t="s">
        <v>169</v>
      </c>
      <c r="J7" s="22">
        <v>45763</v>
      </c>
      <c r="K7" s="22">
        <v>45764</v>
      </c>
      <c r="L7" s="136">
        <v>828427.53</v>
      </c>
    </row>
    <row r="8" spans="1:12" ht="23.25" thickTop="1" thickBot="1">
      <c r="A8" s="20">
        <v>6</v>
      </c>
      <c r="B8" s="20" t="s">
        <v>185</v>
      </c>
      <c r="C8" s="20" t="s">
        <v>126</v>
      </c>
      <c r="D8" s="21" t="s">
        <v>228</v>
      </c>
      <c r="E8" s="22">
        <v>45763</v>
      </c>
      <c r="F8" s="23" t="s">
        <v>218</v>
      </c>
      <c r="G8" s="24" t="s">
        <v>102</v>
      </c>
      <c r="H8" s="25" t="s">
        <v>229</v>
      </c>
      <c r="I8" s="25" t="s">
        <v>169</v>
      </c>
      <c r="J8" s="22">
        <v>45763</v>
      </c>
      <c r="K8" s="22">
        <v>45764</v>
      </c>
      <c r="L8" s="136">
        <v>1475000</v>
      </c>
    </row>
    <row r="9" spans="1:12" ht="23.25" thickTop="1" thickBot="1">
      <c r="A9" s="20">
        <v>7</v>
      </c>
      <c r="B9" s="20" t="s">
        <v>185</v>
      </c>
      <c r="C9" s="20" t="s">
        <v>126</v>
      </c>
      <c r="D9" s="21" t="s">
        <v>230</v>
      </c>
      <c r="E9" s="22">
        <v>45790</v>
      </c>
      <c r="F9" s="23" t="s">
        <v>218</v>
      </c>
      <c r="G9" s="24" t="s">
        <v>102</v>
      </c>
      <c r="H9" s="25" t="s">
        <v>229</v>
      </c>
      <c r="I9" s="25" t="s">
        <v>169</v>
      </c>
      <c r="J9" s="22">
        <v>45790</v>
      </c>
      <c r="K9" s="22">
        <v>45790</v>
      </c>
      <c r="L9" s="136">
        <v>4096809.74</v>
      </c>
    </row>
    <row r="10" spans="1:12" ht="23.25" thickTop="1" thickBot="1">
      <c r="A10" s="20">
        <v>8</v>
      </c>
      <c r="B10" s="20" t="s">
        <v>185</v>
      </c>
      <c r="C10" s="20" t="s">
        <v>126</v>
      </c>
      <c r="D10" s="21" t="s">
        <v>231</v>
      </c>
      <c r="E10" s="22">
        <v>45790</v>
      </c>
      <c r="F10" s="23" t="s">
        <v>218</v>
      </c>
      <c r="G10" s="24" t="s">
        <v>102</v>
      </c>
      <c r="H10" s="25" t="s">
        <v>229</v>
      </c>
      <c r="I10" s="25" t="s">
        <v>169</v>
      </c>
      <c r="J10" s="22">
        <v>45790</v>
      </c>
      <c r="K10" s="22">
        <v>45722</v>
      </c>
      <c r="L10" s="136">
        <v>7150000</v>
      </c>
    </row>
    <row r="11" spans="1:12" ht="23.25" thickTop="1" thickBot="1">
      <c r="A11" s="20">
        <v>9</v>
      </c>
      <c r="B11" s="20" t="s">
        <v>185</v>
      </c>
      <c r="C11" s="20" t="s">
        <v>126</v>
      </c>
      <c r="D11" s="21" t="s">
        <v>232</v>
      </c>
      <c r="E11" s="22">
        <v>45790</v>
      </c>
      <c r="F11" s="23" t="s">
        <v>218</v>
      </c>
      <c r="G11" s="24" t="s">
        <v>102</v>
      </c>
      <c r="H11" s="25" t="s">
        <v>233</v>
      </c>
      <c r="I11" s="25" t="s">
        <v>169</v>
      </c>
      <c r="J11" s="22">
        <v>45790</v>
      </c>
      <c r="K11" s="22">
        <v>45826</v>
      </c>
      <c r="L11" s="136">
        <v>12073551.48</v>
      </c>
    </row>
    <row r="12" spans="1:12" ht="23.25" thickTop="1" thickBot="1">
      <c r="A12" s="20">
        <v>10</v>
      </c>
      <c r="B12" s="20" t="s">
        <v>185</v>
      </c>
      <c r="C12" s="20" t="s">
        <v>126</v>
      </c>
      <c r="D12" s="21" t="s">
        <v>234</v>
      </c>
      <c r="E12" s="22">
        <v>45722</v>
      </c>
      <c r="F12" s="23" t="s">
        <v>218</v>
      </c>
      <c r="G12" s="24" t="s">
        <v>102</v>
      </c>
      <c r="H12" s="25" t="s">
        <v>235</v>
      </c>
      <c r="I12" s="25" t="s">
        <v>169</v>
      </c>
      <c r="J12" s="22">
        <v>45722</v>
      </c>
      <c r="K12" s="22">
        <v>45832</v>
      </c>
      <c r="L12" s="136">
        <v>13600000</v>
      </c>
    </row>
    <row r="13" spans="1:12" ht="23.25" thickTop="1" thickBot="1">
      <c r="A13" s="150">
        <v>11</v>
      </c>
      <c r="B13" s="151" t="s">
        <v>185</v>
      </c>
      <c r="C13" s="150" t="s">
        <v>126</v>
      </c>
      <c r="D13" s="153" t="s">
        <v>236</v>
      </c>
      <c r="E13" s="154">
        <v>45858</v>
      </c>
      <c r="F13" s="155" t="s">
        <v>218</v>
      </c>
      <c r="G13" s="150" t="s">
        <v>102</v>
      </c>
      <c r="H13" s="156" t="s">
        <v>237</v>
      </c>
      <c r="I13" s="157" t="s">
        <v>169</v>
      </c>
      <c r="J13" s="154">
        <v>45858</v>
      </c>
      <c r="K13" s="154">
        <v>45858</v>
      </c>
      <c r="L13" s="159">
        <v>6880131.9299999997</v>
      </c>
    </row>
    <row r="14" spans="1:12" ht="23.25" thickTop="1" thickBot="1">
      <c r="A14" s="150">
        <v>12</v>
      </c>
      <c r="B14" s="151" t="s">
        <v>185</v>
      </c>
      <c r="C14" s="150" t="s">
        <v>126</v>
      </c>
      <c r="D14" s="153" t="s">
        <v>238</v>
      </c>
      <c r="E14" s="154">
        <v>45858</v>
      </c>
      <c r="F14" s="155" t="s">
        <v>239</v>
      </c>
      <c r="G14" s="150" t="s">
        <v>102</v>
      </c>
      <c r="H14" s="156" t="s">
        <v>240</v>
      </c>
      <c r="I14" s="157" t="s">
        <v>169</v>
      </c>
      <c r="J14" s="154">
        <v>45858</v>
      </c>
      <c r="K14" s="154">
        <v>45858</v>
      </c>
      <c r="L14" s="159">
        <v>11248208.16</v>
      </c>
    </row>
    <row r="15" spans="1:12" ht="23.25" thickTop="1" thickBot="1">
      <c r="A15" s="150">
        <v>13</v>
      </c>
      <c r="B15" s="151" t="s">
        <v>185</v>
      </c>
      <c r="C15" s="150" t="s">
        <v>126</v>
      </c>
      <c r="D15" s="153" t="s">
        <v>241</v>
      </c>
      <c r="E15" s="154">
        <v>45846</v>
      </c>
      <c r="F15" s="155" t="s">
        <v>239</v>
      </c>
      <c r="G15" s="150" t="s">
        <v>102</v>
      </c>
      <c r="H15" s="156" t="s">
        <v>240</v>
      </c>
      <c r="I15" s="157" t="s">
        <v>169</v>
      </c>
      <c r="J15" s="154">
        <v>45846</v>
      </c>
      <c r="K15" s="154">
        <v>45846</v>
      </c>
      <c r="L15" s="159">
        <v>2862052.04</v>
      </c>
    </row>
    <row r="16" spans="1:12" ht="23.25" thickTop="1" thickBot="1">
      <c r="A16" s="150">
        <v>14</v>
      </c>
      <c r="B16" s="151" t="s">
        <v>185</v>
      </c>
      <c r="C16" s="150" t="s">
        <v>126</v>
      </c>
      <c r="D16" s="153" t="s">
        <v>242</v>
      </c>
      <c r="E16" s="154">
        <v>45846</v>
      </c>
      <c r="F16" s="155" t="s">
        <v>218</v>
      </c>
      <c r="G16" s="150" t="s">
        <v>102</v>
      </c>
      <c r="H16" s="156" t="s">
        <v>243</v>
      </c>
      <c r="I16" s="157" t="s">
        <v>169</v>
      </c>
      <c r="J16" s="154">
        <v>45846</v>
      </c>
      <c r="K16" s="154">
        <v>45846</v>
      </c>
      <c r="L16" s="159">
        <v>9463053.8499999996</v>
      </c>
    </row>
    <row r="17" spans="1:12" ht="23.25" thickTop="1" thickBot="1">
      <c r="A17" s="150">
        <v>15</v>
      </c>
      <c r="B17" s="151" t="s">
        <v>185</v>
      </c>
      <c r="C17" s="150" t="s">
        <v>126</v>
      </c>
      <c r="D17" s="153" t="s">
        <v>244</v>
      </c>
      <c r="E17" s="154">
        <v>45894</v>
      </c>
      <c r="F17" s="155" t="s">
        <v>239</v>
      </c>
      <c r="G17" s="150" t="s">
        <v>102</v>
      </c>
      <c r="H17" s="156" t="s">
        <v>240</v>
      </c>
      <c r="I17" s="157" t="s">
        <v>169</v>
      </c>
      <c r="J17" s="154">
        <v>45894</v>
      </c>
      <c r="K17" s="154">
        <v>45894</v>
      </c>
      <c r="L17" s="159">
        <v>2862052.04</v>
      </c>
    </row>
    <row r="18" spans="1:12" ht="23.25" thickTop="1" thickBot="1">
      <c r="A18" s="150">
        <v>16</v>
      </c>
      <c r="B18" s="151" t="s">
        <v>185</v>
      </c>
      <c r="C18" s="150" t="s">
        <v>126</v>
      </c>
      <c r="D18" s="153" t="s">
        <v>245</v>
      </c>
      <c r="E18" s="154">
        <v>45847</v>
      </c>
      <c r="F18" s="155" t="s">
        <v>218</v>
      </c>
      <c r="G18" s="150" t="s">
        <v>102</v>
      </c>
      <c r="H18" s="156" t="s">
        <v>246</v>
      </c>
      <c r="I18" s="157" t="s">
        <v>169</v>
      </c>
      <c r="J18" s="154">
        <v>45847</v>
      </c>
      <c r="K18" s="154">
        <v>45847</v>
      </c>
      <c r="L18" s="159">
        <v>6981242.75</v>
      </c>
    </row>
    <row r="19" spans="1:12" ht="23.25" thickTop="1" thickBot="1">
      <c r="A19" s="150">
        <v>17</v>
      </c>
      <c r="B19" s="151" t="s">
        <v>185</v>
      </c>
      <c r="C19" s="150" t="s">
        <v>126</v>
      </c>
      <c r="D19" s="153" t="s">
        <v>247</v>
      </c>
      <c r="E19" s="154">
        <v>45939</v>
      </c>
      <c r="F19" s="155" t="s">
        <v>239</v>
      </c>
      <c r="G19" s="150" t="s">
        <v>102</v>
      </c>
      <c r="H19" s="156" t="s">
        <v>240</v>
      </c>
      <c r="I19" s="157" t="s">
        <v>169</v>
      </c>
      <c r="J19" s="154">
        <v>45939</v>
      </c>
      <c r="K19" s="154">
        <v>45939</v>
      </c>
      <c r="L19" s="159">
        <v>2862052.04</v>
      </c>
    </row>
    <row r="20" spans="1:12" ht="23.25" thickTop="1" thickBot="1">
      <c r="A20" s="150">
        <v>18</v>
      </c>
      <c r="B20" s="151" t="s">
        <v>185</v>
      </c>
      <c r="C20" s="150" t="s">
        <v>126</v>
      </c>
      <c r="D20" s="153" t="s">
        <v>248</v>
      </c>
      <c r="E20" s="154">
        <v>45832</v>
      </c>
      <c r="F20" s="155" t="s">
        <v>218</v>
      </c>
      <c r="G20" s="150" t="s">
        <v>102</v>
      </c>
      <c r="H20" s="156" t="s">
        <v>235</v>
      </c>
      <c r="I20" s="157" t="s">
        <v>169</v>
      </c>
      <c r="J20" s="154">
        <v>45832</v>
      </c>
      <c r="K20" s="154">
        <v>45832</v>
      </c>
      <c r="L20" s="159">
        <v>1693471.61</v>
      </c>
    </row>
    <row r="21" spans="1:12" ht="23.25" thickTop="1" thickBot="1">
      <c r="A21" s="150">
        <v>19</v>
      </c>
      <c r="B21" s="151" t="s">
        <v>185</v>
      </c>
      <c r="C21" s="150" t="s">
        <v>126</v>
      </c>
      <c r="D21" s="153" t="s">
        <v>249</v>
      </c>
      <c r="E21" s="154">
        <v>45825</v>
      </c>
      <c r="F21" s="155" t="s">
        <v>239</v>
      </c>
      <c r="G21" s="150" t="s">
        <v>102</v>
      </c>
      <c r="H21" s="156" t="s">
        <v>250</v>
      </c>
      <c r="I21" s="157" t="s">
        <v>169</v>
      </c>
      <c r="J21" s="154">
        <v>45825</v>
      </c>
      <c r="K21" s="154">
        <v>45826</v>
      </c>
      <c r="L21" s="159">
        <v>200000</v>
      </c>
    </row>
    <row r="22" spans="1:12" ht="23.25" thickTop="1" thickBot="1">
      <c r="A22" s="150">
        <v>20</v>
      </c>
      <c r="B22" s="151" t="s">
        <v>185</v>
      </c>
      <c r="C22" s="150" t="s">
        <v>126</v>
      </c>
      <c r="D22" s="153" t="s">
        <v>251</v>
      </c>
      <c r="E22" s="154">
        <v>45928</v>
      </c>
      <c r="F22" s="155" t="s">
        <v>218</v>
      </c>
      <c r="G22" s="150" t="s">
        <v>102</v>
      </c>
      <c r="H22" s="156" t="s">
        <v>252</v>
      </c>
      <c r="I22" s="157" t="s">
        <v>169</v>
      </c>
      <c r="J22" s="154">
        <v>45928</v>
      </c>
      <c r="K22" s="154">
        <v>45932</v>
      </c>
      <c r="L22" s="159">
        <v>8086567.8899999997</v>
      </c>
    </row>
    <row r="23" spans="1:12" ht="23.25" thickTop="1" thickBot="1">
      <c r="A23" s="150">
        <v>21</v>
      </c>
      <c r="B23" s="151" t="s">
        <v>185</v>
      </c>
      <c r="C23" s="150" t="s">
        <v>126</v>
      </c>
      <c r="D23" s="153" t="s">
        <v>253</v>
      </c>
      <c r="E23" s="154">
        <v>45957</v>
      </c>
      <c r="F23" s="155" t="s">
        <v>239</v>
      </c>
      <c r="G23" s="150" t="s">
        <v>102</v>
      </c>
      <c r="H23" s="156" t="s">
        <v>254</v>
      </c>
      <c r="I23" s="157" t="s">
        <v>169</v>
      </c>
      <c r="J23" s="154">
        <v>45957</v>
      </c>
      <c r="K23" s="154">
        <v>45957</v>
      </c>
      <c r="L23" s="159">
        <v>2862052.04</v>
      </c>
    </row>
    <row r="24" spans="1:12" ht="23.25" thickTop="1" thickBot="1">
      <c r="A24" s="150">
        <v>22</v>
      </c>
      <c r="B24" s="151" t="s">
        <v>185</v>
      </c>
      <c r="C24" s="150" t="s">
        <v>126</v>
      </c>
      <c r="D24" s="153" t="s">
        <v>255</v>
      </c>
      <c r="E24" s="154">
        <v>45957</v>
      </c>
      <c r="F24" s="155" t="s">
        <v>239</v>
      </c>
      <c r="G24" s="150" t="s">
        <v>102</v>
      </c>
      <c r="H24" s="156" t="s">
        <v>256</v>
      </c>
      <c r="I24" s="157" t="s">
        <v>169</v>
      </c>
      <c r="J24" s="154">
        <v>45957</v>
      </c>
      <c r="K24" s="154">
        <v>45971</v>
      </c>
      <c r="L24" s="159">
        <v>2862052.04</v>
      </c>
    </row>
    <row r="25" spans="1:12" ht="23.25" thickTop="1" thickBot="1">
      <c r="A25" s="150">
        <v>23</v>
      </c>
      <c r="B25" s="151" t="s">
        <v>185</v>
      </c>
      <c r="C25" s="150" t="s">
        <v>126</v>
      </c>
      <c r="D25" s="153" t="s">
        <v>257</v>
      </c>
      <c r="E25" s="154">
        <v>45965</v>
      </c>
      <c r="F25" s="155" t="s">
        <v>218</v>
      </c>
      <c r="G25" s="150" t="s">
        <v>102</v>
      </c>
      <c r="H25" s="156" t="s">
        <v>258</v>
      </c>
      <c r="I25" s="157" t="s">
        <v>169</v>
      </c>
      <c r="J25" s="154">
        <v>45965</v>
      </c>
      <c r="K25" s="154">
        <v>45980</v>
      </c>
      <c r="L25" s="159">
        <v>6304259.8300000001</v>
      </c>
    </row>
    <row r="26" spans="1:12" ht="23.25" thickTop="1" thickBot="1">
      <c r="A26" s="150">
        <v>24</v>
      </c>
      <c r="B26" s="151" t="s">
        <v>185</v>
      </c>
      <c r="C26" s="150" t="s">
        <v>126</v>
      </c>
      <c r="D26" s="153" t="s">
        <v>259</v>
      </c>
      <c r="E26" s="154">
        <v>46007</v>
      </c>
      <c r="F26" s="155" t="s">
        <v>218</v>
      </c>
      <c r="G26" s="150" t="s">
        <v>102</v>
      </c>
      <c r="H26" s="156" t="s">
        <v>260</v>
      </c>
      <c r="I26" s="157" t="s">
        <v>169</v>
      </c>
      <c r="J26" s="154">
        <v>46007</v>
      </c>
      <c r="K26" s="154">
        <v>46007</v>
      </c>
      <c r="L26" s="159">
        <v>5000000</v>
      </c>
    </row>
    <row r="27" spans="1:12" ht="23.25" thickTop="1" thickBot="1">
      <c r="A27" s="150">
        <v>25</v>
      </c>
      <c r="B27" s="151" t="s">
        <v>185</v>
      </c>
      <c r="C27" s="150" t="s">
        <v>126</v>
      </c>
      <c r="D27" s="153" t="s">
        <v>261</v>
      </c>
      <c r="E27" s="154">
        <v>46006</v>
      </c>
      <c r="F27" s="155" t="s">
        <v>218</v>
      </c>
      <c r="G27" s="150" t="s">
        <v>102</v>
      </c>
      <c r="H27" s="156" t="s">
        <v>260</v>
      </c>
      <c r="I27" s="157" t="s">
        <v>169</v>
      </c>
      <c r="J27" s="154">
        <v>46006</v>
      </c>
      <c r="K27" s="154">
        <v>46014</v>
      </c>
      <c r="L27" s="159">
        <v>3460218.3364999997</v>
      </c>
    </row>
    <row r="28" spans="1:12" ht="23.25" thickTop="1" thickBot="1">
      <c r="A28" s="150">
        <v>26</v>
      </c>
      <c r="B28" s="151" t="s">
        <v>185</v>
      </c>
      <c r="C28" s="150" t="s">
        <v>126</v>
      </c>
      <c r="D28" s="153" t="s">
        <v>262</v>
      </c>
      <c r="E28" s="154">
        <v>46027</v>
      </c>
      <c r="F28" s="155" t="s">
        <v>218</v>
      </c>
      <c r="G28" s="150" t="s">
        <v>102</v>
      </c>
      <c r="H28" s="156" t="s">
        <v>263</v>
      </c>
      <c r="I28" s="157" t="s">
        <v>169</v>
      </c>
      <c r="J28" s="154">
        <v>46027</v>
      </c>
      <c r="K28" s="154">
        <v>46029</v>
      </c>
      <c r="L28" s="159">
        <v>7148994.7999999998</v>
      </c>
    </row>
    <row r="29" spans="1:12" ht="23.25" thickTop="1" thickBot="1">
      <c r="A29" s="150">
        <v>27</v>
      </c>
      <c r="B29" s="151" t="s">
        <v>185</v>
      </c>
      <c r="C29" s="150" t="s">
        <v>126</v>
      </c>
      <c r="D29" s="153" t="s">
        <v>264</v>
      </c>
      <c r="E29" s="154">
        <v>46047</v>
      </c>
      <c r="F29" s="155" t="s">
        <v>218</v>
      </c>
      <c r="G29" s="150" t="s">
        <v>102</v>
      </c>
      <c r="H29" s="156" t="s">
        <v>265</v>
      </c>
      <c r="I29" s="157" t="s">
        <v>169</v>
      </c>
      <c r="J29" s="154">
        <v>46047</v>
      </c>
      <c r="K29" s="154">
        <v>46051</v>
      </c>
      <c r="L29" s="159">
        <v>10003077.579500001</v>
      </c>
    </row>
    <row r="30" spans="1:12" ht="23.25" thickTop="1" thickBot="1">
      <c r="A30" s="150">
        <v>28</v>
      </c>
      <c r="B30" s="151" t="s">
        <v>185</v>
      </c>
      <c r="C30" s="150" t="s">
        <v>126</v>
      </c>
      <c r="D30" s="153" t="s">
        <v>266</v>
      </c>
      <c r="E30" s="154">
        <v>46078</v>
      </c>
      <c r="F30" s="155" t="s">
        <v>239</v>
      </c>
      <c r="G30" s="150" t="s">
        <v>102</v>
      </c>
      <c r="H30" s="156" t="s">
        <v>267</v>
      </c>
      <c r="I30" s="157" t="s">
        <v>169</v>
      </c>
      <c r="J30" s="154">
        <v>46078</v>
      </c>
      <c r="K30" s="154">
        <v>46084</v>
      </c>
      <c r="L30" s="159">
        <v>2862052.0349999997</v>
      </c>
    </row>
    <row r="31" spans="1:12" ht="23.25" thickTop="1" thickBot="1">
      <c r="A31" s="150">
        <v>29</v>
      </c>
      <c r="B31" s="151" t="s">
        <v>185</v>
      </c>
      <c r="C31" s="150" t="s">
        <v>126</v>
      </c>
      <c r="D31" s="153" t="s">
        <v>268</v>
      </c>
      <c r="E31" s="154">
        <v>46082</v>
      </c>
      <c r="F31" s="155" t="s">
        <v>218</v>
      </c>
      <c r="G31" s="150" t="s">
        <v>102</v>
      </c>
      <c r="H31" s="156" t="s">
        <v>269</v>
      </c>
      <c r="I31" s="157" t="s">
        <v>169</v>
      </c>
      <c r="J31" s="154">
        <v>46082</v>
      </c>
      <c r="K31" s="154">
        <v>46084</v>
      </c>
      <c r="L31" s="159">
        <v>10122572.189999999</v>
      </c>
    </row>
    <row r="32" spans="1:12" ht="23.25" thickTop="1" thickBot="1">
      <c r="A32" s="150">
        <v>30</v>
      </c>
      <c r="B32" s="151" t="s">
        <v>185</v>
      </c>
      <c r="C32" s="150" t="s">
        <v>126</v>
      </c>
      <c r="D32" s="153" t="s">
        <v>270</v>
      </c>
      <c r="E32" s="154">
        <v>46119</v>
      </c>
      <c r="F32" s="155" t="s">
        <v>218</v>
      </c>
      <c r="G32" s="150" t="s">
        <v>102</v>
      </c>
      <c r="H32" s="156" t="s">
        <v>271</v>
      </c>
      <c r="I32" s="157" t="s">
        <v>169</v>
      </c>
      <c r="J32" s="154">
        <v>46119</v>
      </c>
      <c r="K32" s="154">
        <v>46124</v>
      </c>
      <c r="L32" s="159">
        <v>9391816.6999999993</v>
      </c>
    </row>
    <row r="33" spans="1:12" ht="23.25" thickTop="1" thickBot="1">
      <c r="A33" s="150">
        <v>31</v>
      </c>
      <c r="B33" s="151" t="s">
        <v>185</v>
      </c>
      <c r="C33" s="150" t="s">
        <v>126</v>
      </c>
      <c r="D33" s="153" t="s">
        <v>272</v>
      </c>
      <c r="E33" s="154">
        <v>46127</v>
      </c>
      <c r="F33" s="155" t="s">
        <v>239</v>
      </c>
      <c r="G33" s="150" t="s">
        <v>102</v>
      </c>
      <c r="H33" s="156" t="s">
        <v>273</v>
      </c>
      <c r="I33" s="157" t="s">
        <v>169</v>
      </c>
      <c r="J33" s="154">
        <v>46127</v>
      </c>
      <c r="K33" s="154">
        <v>46131</v>
      </c>
      <c r="L33" s="159">
        <v>2862052.0349999997</v>
      </c>
    </row>
    <row r="34" spans="1:12" ht="23.25" thickTop="1" thickBot="1">
      <c r="A34" s="150">
        <v>32</v>
      </c>
      <c r="B34" s="151" t="s">
        <v>185</v>
      </c>
      <c r="C34" s="150" t="s">
        <v>126</v>
      </c>
      <c r="D34" s="153" t="s">
        <v>274</v>
      </c>
      <c r="E34" s="154">
        <v>46142</v>
      </c>
      <c r="F34" s="155" t="s">
        <v>218</v>
      </c>
      <c r="G34" s="150" t="s">
        <v>102</v>
      </c>
      <c r="H34" s="156" t="s">
        <v>275</v>
      </c>
      <c r="I34" s="157" t="s">
        <v>169</v>
      </c>
      <c r="J34" s="154">
        <v>46142</v>
      </c>
      <c r="K34" s="154">
        <v>46148</v>
      </c>
      <c r="L34" s="159">
        <v>5500000</v>
      </c>
    </row>
    <row r="35" spans="1:12" ht="23.25" thickTop="1" thickBot="1">
      <c r="A35" s="150">
        <v>33</v>
      </c>
      <c r="B35" s="151" t="s">
        <v>185</v>
      </c>
      <c r="C35" s="150" t="s">
        <v>126</v>
      </c>
      <c r="D35" s="153" t="s">
        <v>276</v>
      </c>
      <c r="E35" s="154">
        <v>46155</v>
      </c>
      <c r="F35" s="155" t="s">
        <v>218</v>
      </c>
      <c r="G35" s="150" t="s">
        <v>102</v>
      </c>
      <c r="H35" s="156" t="s">
        <v>277</v>
      </c>
      <c r="I35" s="157" t="s">
        <v>169</v>
      </c>
      <c r="J35" s="154">
        <v>46155</v>
      </c>
      <c r="K35" s="154">
        <v>46163</v>
      </c>
      <c r="L35" s="159">
        <v>3000000</v>
      </c>
    </row>
    <row r="36" spans="1:12" ht="23.25" thickTop="1" thickBot="1">
      <c r="A36" s="150">
        <v>34</v>
      </c>
      <c r="B36" s="151" t="s">
        <v>185</v>
      </c>
      <c r="C36" s="150" t="s">
        <v>126</v>
      </c>
      <c r="D36" s="153" t="s">
        <v>278</v>
      </c>
      <c r="E36" s="154">
        <v>46155</v>
      </c>
      <c r="F36" s="155" t="s">
        <v>218</v>
      </c>
      <c r="G36" s="150" t="s">
        <v>102</v>
      </c>
      <c r="H36" s="156" t="s">
        <v>279</v>
      </c>
      <c r="I36" s="157" t="s">
        <v>169</v>
      </c>
      <c r="J36" s="154">
        <v>46155</v>
      </c>
      <c r="K36" s="154">
        <v>46161</v>
      </c>
      <c r="L36" s="159">
        <v>252980.13050000038</v>
      </c>
    </row>
    <row r="37" spans="1:12" ht="23.25" thickTop="1" thickBot="1">
      <c r="A37" s="150">
        <v>35</v>
      </c>
      <c r="B37" s="151" t="s">
        <v>185</v>
      </c>
      <c r="C37" s="150" t="s">
        <v>126</v>
      </c>
      <c r="D37" s="153" t="s">
        <v>280</v>
      </c>
      <c r="E37" s="154">
        <v>46155</v>
      </c>
      <c r="F37" s="155" t="s">
        <v>218</v>
      </c>
      <c r="G37" s="150" t="s">
        <v>102</v>
      </c>
      <c r="H37" s="156" t="s">
        <v>281</v>
      </c>
      <c r="I37" s="157" t="s">
        <v>169</v>
      </c>
      <c r="J37" s="154">
        <v>46155</v>
      </c>
      <c r="K37" s="154">
        <v>46180</v>
      </c>
      <c r="L37" s="159">
        <v>2000000.0000000002</v>
      </c>
    </row>
    <row r="38" spans="1:12" ht="23.25" thickTop="1" thickBot="1">
      <c r="A38" s="150">
        <v>36</v>
      </c>
      <c r="B38" s="151" t="s">
        <v>185</v>
      </c>
      <c r="C38" s="150" t="s">
        <v>126</v>
      </c>
      <c r="D38" s="153" t="s">
        <v>282</v>
      </c>
      <c r="E38" s="154">
        <v>46155</v>
      </c>
      <c r="F38" s="155" t="s">
        <v>218</v>
      </c>
      <c r="G38" s="150" t="s">
        <v>102</v>
      </c>
      <c r="H38" s="156" t="s">
        <v>283</v>
      </c>
      <c r="I38" s="157" t="s">
        <v>169</v>
      </c>
      <c r="J38" s="154">
        <v>46155</v>
      </c>
      <c r="K38" s="154">
        <v>46180</v>
      </c>
      <c r="L38" s="159">
        <v>5558034.0364999995</v>
      </c>
    </row>
    <row r="39" spans="1:12" ht="23.25" thickTop="1" thickBot="1">
      <c r="A39" s="150">
        <v>37</v>
      </c>
      <c r="B39" s="151" t="s">
        <v>185</v>
      </c>
      <c r="C39" s="150" t="s">
        <v>126</v>
      </c>
      <c r="D39" s="153" t="s">
        <v>284</v>
      </c>
      <c r="E39" s="154">
        <v>46196</v>
      </c>
      <c r="F39" s="155" t="s">
        <v>218</v>
      </c>
      <c r="G39" s="150" t="s">
        <v>102</v>
      </c>
      <c r="H39" s="156" t="s">
        <v>285</v>
      </c>
      <c r="I39" s="157" t="s">
        <v>169</v>
      </c>
      <c r="J39" s="154">
        <v>46196</v>
      </c>
      <c r="K39" s="154">
        <v>46198</v>
      </c>
      <c r="L39" s="159">
        <v>2600000.0000000005</v>
      </c>
    </row>
    <row r="40" spans="1:12" ht="23.25" thickTop="1" thickBot="1">
      <c r="A40" s="150">
        <v>38</v>
      </c>
      <c r="B40" s="151" t="s">
        <v>185</v>
      </c>
      <c r="C40" s="150" t="s">
        <v>126</v>
      </c>
      <c r="D40" s="153" t="s">
        <v>286</v>
      </c>
      <c r="E40" s="154">
        <v>46197</v>
      </c>
      <c r="F40" s="155" t="s">
        <v>218</v>
      </c>
      <c r="G40" s="150" t="s">
        <v>102</v>
      </c>
      <c r="H40" s="156" t="s">
        <v>287</v>
      </c>
      <c r="I40" s="157" t="s">
        <v>169</v>
      </c>
      <c r="J40" s="154">
        <v>46197</v>
      </c>
      <c r="K40" s="154">
        <v>46201</v>
      </c>
      <c r="L40" s="159">
        <v>4700000</v>
      </c>
    </row>
    <row r="41" spans="1:12" ht="45" thickTop="1" thickBot="1">
      <c r="A41" s="150">
        <v>39</v>
      </c>
      <c r="B41" s="151" t="s">
        <v>186</v>
      </c>
      <c r="C41" s="150" t="s">
        <v>127</v>
      </c>
      <c r="D41" s="153" t="s">
        <v>288</v>
      </c>
      <c r="E41" s="154">
        <v>45608</v>
      </c>
      <c r="F41" s="155" t="s">
        <v>289</v>
      </c>
      <c r="G41" s="150" t="s">
        <v>131</v>
      </c>
      <c r="H41" s="156" t="s">
        <v>290</v>
      </c>
      <c r="I41" s="157" t="s">
        <v>169</v>
      </c>
      <c r="J41" s="154">
        <v>45608</v>
      </c>
      <c r="K41" s="154">
        <v>45608</v>
      </c>
      <c r="L41" s="159">
        <v>202456.35</v>
      </c>
    </row>
    <row r="42" spans="1:12" ht="45" thickTop="1" thickBot="1">
      <c r="A42" s="150">
        <v>40</v>
      </c>
      <c r="B42" s="151" t="s">
        <v>186</v>
      </c>
      <c r="C42" s="150" t="s">
        <v>127</v>
      </c>
      <c r="D42" s="153" t="s">
        <v>291</v>
      </c>
      <c r="E42" s="154" t="s">
        <v>292</v>
      </c>
      <c r="F42" s="155" t="s">
        <v>293</v>
      </c>
      <c r="G42" s="150" t="s">
        <v>76</v>
      </c>
      <c r="H42" s="156" t="s">
        <v>294</v>
      </c>
      <c r="I42" s="157" t="s">
        <v>169</v>
      </c>
      <c r="J42" s="154" t="s">
        <v>292</v>
      </c>
      <c r="K42" s="154" t="s">
        <v>292</v>
      </c>
      <c r="L42" s="159">
        <v>109787.05</v>
      </c>
    </row>
    <row r="43" spans="1:12" ht="23.25" thickTop="1" thickBot="1">
      <c r="A43" s="150">
        <v>41</v>
      </c>
      <c r="B43" s="151" t="s">
        <v>186</v>
      </c>
      <c r="C43" s="150" t="s">
        <v>127</v>
      </c>
      <c r="D43" s="153" t="s">
        <v>295</v>
      </c>
      <c r="E43" s="154" t="s">
        <v>292</v>
      </c>
      <c r="F43" s="155" t="s">
        <v>296</v>
      </c>
      <c r="G43" s="150" t="s">
        <v>131</v>
      </c>
      <c r="H43" s="156" t="s">
        <v>297</v>
      </c>
      <c r="I43" s="157" t="s">
        <v>169</v>
      </c>
      <c r="J43" s="154" t="s">
        <v>292</v>
      </c>
      <c r="K43" s="154" t="s">
        <v>292</v>
      </c>
      <c r="L43" s="159">
        <v>1351829.36</v>
      </c>
    </row>
    <row r="44" spans="1:12" ht="23.25" thickTop="1" thickBot="1">
      <c r="A44" s="150">
        <v>42</v>
      </c>
      <c r="B44" s="151" t="s">
        <v>186</v>
      </c>
      <c r="C44" s="150" t="s">
        <v>128</v>
      </c>
      <c r="D44" s="153" t="s">
        <v>298</v>
      </c>
      <c r="E44" s="154" t="s">
        <v>292</v>
      </c>
      <c r="F44" s="155" t="s">
        <v>299</v>
      </c>
      <c r="G44" s="150" t="s">
        <v>107</v>
      </c>
      <c r="H44" s="156" t="s">
        <v>300</v>
      </c>
      <c r="I44" s="157" t="s">
        <v>169</v>
      </c>
      <c r="J44" s="154" t="s">
        <v>292</v>
      </c>
      <c r="K44" s="154" t="s">
        <v>292</v>
      </c>
      <c r="L44" s="159">
        <v>3798594.26</v>
      </c>
    </row>
    <row r="45" spans="1:12" ht="45" thickTop="1" thickBot="1">
      <c r="A45" s="150">
        <v>43</v>
      </c>
      <c r="B45" s="151" t="s">
        <v>186</v>
      </c>
      <c r="C45" s="150" t="s">
        <v>127</v>
      </c>
      <c r="D45" s="153" t="s">
        <v>301</v>
      </c>
      <c r="E45" s="154" t="s">
        <v>292</v>
      </c>
      <c r="F45" s="155" t="s">
        <v>293</v>
      </c>
      <c r="G45" s="150" t="s">
        <v>76</v>
      </c>
      <c r="H45" s="156" t="s">
        <v>302</v>
      </c>
      <c r="I45" s="157" t="s">
        <v>169</v>
      </c>
      <c r="J45" s="154" t="s">
        <v>292</v>
      </c>
      <c r="K45" s="154" t="s">
        <v>292</v>
      </c>
      <c r="L45" s="159">
        <v>119600</v>
      </c>
    </row>
    <row r="46" spans="1:12" ht="23.25" thickTop="1" thickBot="1">
      <c r="A46" s="150">
        <v>44</v>
      </c>
      <c r="B46" s="151" t="s">
        <v>186</v>
      </c>
      <c r="C46" s="150" t="s">
        <v>127</v>
      </c>
      <c r="D46" s="153" t="s">
        <v>303</v>
      </c>
      <c r="E46" s="154">
        <v>45992</v>
      </c>
      <c r="F46" s="155" t="s">
        <v>304</v>
      </c>
      <c r="G46" s="150" t="s">
        <v>68</v>
      </c>
      <c r="H46" s="156" t="s">
        <v>305</v>
      </c>
      <c r="I46" s="157" t="s">
        <v>169</v>
      </c>
      <c r="J46" s="154">
        <v>45992</v>
      </c>
      <c r="K46" s="154">
        <v>45992</v>
      </c>
      <c r="L46" s="159">
        <v>11500</v>
      </c>
    </row>
    <row r="47" spans="1:12" ht="23.25" thickTop="1" thickBot="1">
      <c r="A47" s="150">
        <v>45</v>
      </c>
      <c r="B47" s="151" t="s">
        <v>186</v>
      </c>
      <c r="C47" s="150" t="s">
        <v>127</v>
      </c>
      <c r="D47" s="153" t="s">
        <v>306</v>
      </c>
      <c r="E47" s="154" t="s">
        <v>307</v>
      </c>
      <c r="F47" s="155" t="s">
        <v>296</v>
      </c>
      <c r="G47" s="150" t="s">
        <v>131</v>
      </c>
      <c r="H47" s="156" t="s">
        <v>308</v>
      </c>
      <c r="I47" s="157" t="s">
        <v>169</v>
      </c>
      <c r="J47" s="154" t="s">
        <v>307</v>
      </c>
      <c r="K47" s="154" t="s">
        <v>307</v>
      </c>
      <c r="L47" s="159">
        <v>2650297.0499999998</v>
      </c>
    </row>
    <row r="48" spans="1:12" ht="45" thickTop="1" thickBot="1">
      <c r="A48" s="150">
        <v>46</v>
      </c>
      <c r="B48" s="151" t="s">
        <v>186</v>
      </c>
      <c r="C48" s="150" t="s">
        <v>127</v>
      </c>
      <c r="D48" s="153" t="s">
        <v>309</v>
      </c>
      <c r="E48" s="154">
        <v>45718</v>
      </c>
      <c r="F48" s="155" t="s">
        <v>293</v>
      </c>
      <c r="G48" s="150" t="s">
        <v>76</v>
      </c>
      <c r="H48" s="156" t="s">
        <v>310</v>
      </c>
      <c r="I48" s="157" t="s">
        <v>169</v>
      </c>
      <c r="J48" s="154">
        <v>45718</v>
      </c>
      <c r="K48" s="154">
        <v>45749</v>
      </c>
      <c r="L48" s="159">
        <v>127288.3</v>
      </c>
    </row>
    <row r="49" spans="1:12" ht="23.25" thickTop="1" thickBot="1">
      <c r="A49" s="150">
        <v>47</v>
      </c>
      <c r="B49" s="151" t="s">
        <v>186</v>
      </c>
      <c r="C49" s="150" t="s">
        <v>128</v>
      </c>
      <c r="D49" s="153" t="s">
        <v>311</v>
      </c>
      <c r="E49" s="154">
        <v>45718</v>
      </c>
      <c r="F49" s="155" t="s">
        <v>299</v>
      </c>
      <c r="G49" s="150" t="s">
        <v>107</v>
      </c>
      <c r="H49" s="156" t="s">
        <v>312</v>
      </c>
      <c r="I49" s="157" t="s">
        <v>169</v>
      </c>
      <c r="J49" s="154">
        <v>45718</v>
      </c>
      <c r="K49" s="154">
        <v>45749</v>
      </c>
      <c r="L49" s="159">
        <v>1500000</v>
      </c>
    </row>
    <row r="50" spans="1:12" ht="23.25" thickTop="1" thickBot="1">
      <c r="A50" s="150">
        <v>48</v>
      </c>
      <c r="B50" s="151" t="s">
        <v>186</v>
      </c>
      <c r="C50" s="150" t="s">
        <v>127</v>
      </c>
      <c r="D50" s="153" t="s">
        <v>313</v>
      </c>
      <c r="E50" s="154" t="s">
        <v>314</v>
      </c>
      <c r="F50" s="155" t="s">
        <v>296</v>
      </c>
      <c r="G50" s="150" t="s">
        <v>131</v>
      </c>
      <c r="H50" s="156" t="s">
        <v>315</v>
      </c>
      <c r="I50" s="157" t="s">
        <v>169</v>
      </c>
      <c r="J50" s="154" t="s">
        <v>314</v>
      </c>
      <c r="K50" s="154" t="s">
        <v>314</v>
      </c>
      <c r="L50" s="159">
        <v>266808.43</v>
      </c>
    </row>
    <row r="51" spans="1:12" ht="45" thickTop="1" thickBot="1">
      <c r="A51" s="150">
        <v>49</v>
      </c>
      <c r="B51" s="151" t="s">
        <v>186</v>
      </c>
      <c r="C51" s="150" t="s">
        <v>127</v>
      </c>
      <c r="D51" s="153" t="s">
        <v>316</v>
      </c>
      <c r="E51" s="154">
        <v>45780</v>
      </c>
      <c r="F51" s="155" t="s">
        <v>293</v>
      </c>
      <c r="G51" s="150" t="s">
        <v>76</v>
      </c>
      <c r="H51" s="156" t="s">
        <v>317</v>
      </c>
      <c r="I51" s="157" t="s">
        <v>169</v>
      </c>
      <c r="J51" s="154">
        <v>45780</v>
      </c>
      <c r="K51" s="154">
        <v>45780</v>
      </c>
      <c r="L51" s="159">
        <v>167219.57999999999</v>
      </c>
    </row>
    <row r="52" spans="1:12" ht="23.25" thickTop="1" thickBot="1">
      <c r="A52" s="150">
        <v>50</v>
      </c>
      <c r="B52" s="151" t="s">
        <v>186</v>
      </c>
      <c r="C52" s="150" t="s">
        <v>128</v>
      </c>
      <c r="D52" s="153" t="s">
        <v>318</v>
      </c>
      <c r="E52" s="154" t="s">
        <v>319</v>
      </c>
      <c r="F52" s="155" t="s">
        <v>299</v>
      </c>
      <c r="G52" s="150" t="s">
        <v>107</v>
      </c>
      <c r="H52" s="156" t="s">
        <v>312</v>
      </c>
      <c r="I52" s="157" t="s">
        <v>169</v>
      </c>
      <c r="J52" s="154" t="s">
        <v>319</v>
      </c>
      <c r="K52" s="154" t="s">
        <v>319</v>
      </c>
      <c r="L52" s="159">
        <v>1100000</v>
      </c>
    </row>
    <row r="53" spans="1:12" ht="45" thickTop="1" thickBot="1">
      <c r="A53" s="150">
        <v>51</v>
      </c>
      <c r="B53" s="151" t="s">
        <v>186</v>
      </c>
      <c r="C53" s="150" t="s">
        <v>127</v>
      </c>
      <c r="D53" s="153" t="s">
        <v>320</v>
      </c>
      <c r="E53" s="154" t="s">
        <v>321</v>
      </c>
      <c r="F53" s="155" t="s">
        <v>293</v>
      </c>
      <c r="G53" s="150" t="s">
        <v>76</v>
      </c>
      <c r="H53" s="156" t="s">
        <v>322</v>
      </c>
      <c r="I53" s="157" t="s">
        <v>169</v>
      </c>
      <c r="J53" s="154" t="s">
        <v>321</v>
      </c>
      <c r="K53" s="154">
        <v>45753</v>
      </c>
      <c r="L53" s="159">
        <v>169912.5</v>
      </c>
    </row>
    <row r="54" spans="1:12" ht="23.25" thickTop="1" thickBot="1">
      <c r="A54" s="150">
        <v>52</v>
      </c>
      <c r="B54" s="151" t="s">
        <v>186</v>
      </c>
      <c r="C54" s="150" t="s">
        <v>127</v>
      </c>
      <c r="D54" s="153" t="s">
        <v>323</v>
      </c>
      <c r="E54" s="154" t="s">
        <v>324</v>
      </c>
      <c r="F54" s="155" t="s">
        <v>304</v>
      </c>
      <c r="G54" s="150" t="s">
        <v>68</v>
      </c>
      <c r="H54" s="156" t="s">
        <v>325</v>
      </c>
      <c r="I54" s="157" t="s">
        <v>169</v>
      </c>
      <c r="J54" s="154" t="s">
        <v>324</v>
      </c>
      <c r="K54" s="154" t="s">
        <v>326</v>
      </c>
      <c r="L54" s="159">
        <v>34500</v>
      </c>
    </row>
    <row r="55" spans="1:12" ht="45" thickTop="1" thickBot="1">
      <c r="A55" s="150">
        <v>53</v>
      </c>
      <c r="B55" s="151" t="s">
        <v>186</v>
      </c>
      <c r="C55" s="150" t="s">
        <v>127</v>
      </c>
      <c r="D55" s="153" t="s">
        <v>327</v>
      </c>
      <c r="E55" s="154" t="s">
        <v>328</v>
      </c>
      <c r="F55" s="155" t="s">
        <v>289</v>
      </c>
      <c r="G55" s="150" t="s">
        <v>131</v>
      </c>
      <c r="H55" s="156" t="s">
        <v>329</v>
      </c>
      <c r="I55" s="157" t="s">
        <v>169</v>
      </c>
      <c r="J55" s="154" t="s">
        <v>328</v>
      </c>
      <c r="K55" s="154" t="s">
        <v>326</v>
      </c>
      <c r="L55" s="159">
        <v>75959.28</v>
      </c>
    </row>
    <row r="56" spans="1:12" ht="45" thickTop="1" thickBot="1">
      <c r="A56" s="150">
        <v>54</v>
      </c>
      <c r="B56" s="151" t="s">
        <v>186</v>
      </c>
      <c r="C56" s="150" t="s">
        <v>127</v>
      </c>
      <c r="D56" s="153" t="s">
        <v>330</v>
      </c>
      <c r="E56" s="154">
        <v>45813</v>
      </c>
      <c r="F56" s="155" t="s">
        <v>289</v>
      </c>
      <c r="G56" s="150" t="s">
        <v>131</v>
      </c>
      <c r="H56" s="156" t="s">
        <v>331</v>
      </c>
      <c r="I56" s="157" t="s">
        <v>169</v>
      </c>
      <c r="J56" s="154">
        <v>45813</v>
      </c>
      <c r="K56" s="154">
        <v>45813</v>
      </c>
      <c r="L56" s="159">
        <v>16842.46</v>
      </c>
    </row>
    <row r="57" spans="1:12" ht="45" thickTop="1" thickBot="1">
      <c r="A57" s="150">
        <v>55</v>
      </c>
      <c r="B57" s="151" t="s">
        <v>186</v>
      </c>
      <c r="C57" s="150" t="s">
        <v>127</v>
      </c>
      <c r="D57" s="153" t="s">
        <v>332</v>
      </c>
      <c r="E57" s="154">
        <v>45813</v>
      </c>
      <c r="F57" s="155" t="s">
        <v>293</v>
      </c>
      <c r="G57" s="150" t="s">
        <v>76</v>
      </c>
      <c r="H57" s="156" t="s">
        <v>333</v>
      </c>
      <c r="I57" s="157" t="s">
        <v>169</v>
      </c>
      <c r="J57" s="154">
        <v>45813</v>
      </c>
      <c r="K57" s="154">
        <v>45813</v>
      </c>
      <c r="L57" s="159">
        <v>276000</v>
      </c>
    </row>
    <row r="58" spans="1:12" ht="45" thickTop="1" thickBot="1">
      <c r="A58" s="150">
        <v>56</v>
      </c>
      <c r="B58" s="151" t="s">
        <v>186</v>
      </c>
      <c r="C58" s="150" t="s">
        <v>127</v>
      </c>
      <c r="D58" s="153" t="s">
        <v>334</v>
      </c>
      <c r="E58" s="154">
        <v>45753</v>
      </c>
      <c r="F58" s="155" t="s">
        <v>293</v>
      </c>
      <c r="G58" s="150" t="s">
        <v>76</v>
      </c>
      <c r="H58" s="156" t="s">
        <v>335</v>
      </c>
      <c r="I58" s="157" t="s">
        <v>169</v>
      </c>
      <c r="J58" s="154">
        <v>45753</v>
      </c>
      <c r="K58" s="154" t="s">
        <v>321</v>
      </c>
      <c r="L58" s="159">
        <v>169912.5</v>
      </c>
    </row>
    <row r="59" spans="1:12" ht="23.25" thickTop="1" thickBot="1">
      <c r="A59" s="150">
        <v>57</v>
      </c>
      <c r="B59" s="151" t="s">
        <v>186</v>
      </c>
      <c r="C59" s="150" t="s">
        <v>128</v>
      </c>
      <c r="D59" s="153" t="s">
        <v>336</v>
      </c>
      <c r="E59" s="154" t="s">
        <v>321</v>
      </c>
      <c r="F59" s="155" t="s">
        <v>299</v>
      </c>
      <c r="G59" s="150" t="s">
        <v>107</v>
      </c>
      <c r="H59" s="156" t="s">
        <v>337</v>
      </c>
      <c r="I59" s="157" t="s">
        <v>169</v>
      </c>
      <c r="J59" s="154" t="s">
        <v>321</v>
      </c>
      <c r="K59" s="154" t="s">
        <v>321</v>
      </c>
      <c r="L59" s="159">
        <v>1675000</v>
      </c>
    </row>
    <row r="60" spans="1:12" ht="23.25" thickTop="1" thickBot="1">
      <c r="A60" s="150">
        <v>58</v>
      </c>
      <c r="B60" s="151" t="s">
        <v>186</v>
      </c>
      <c r="C60" s="150" t="s">
        <v>127</v>
      </c>
      <c r="D60" s="153" t="s">
        <v>338</v>
      </c>
      <c r="E60" s="154" t="s">
        <v>339</v>
      </c>
      <c r="F60" s="155" t="s">
        <v>304</v>
      </c>
      <c r="G60" s="150" t="s">
        <v>68</v>
      </c>
      <c r="H60" s="156" t="s">
        <v>340</v>
      </c>
      <c r="I60" s="157" t="s">
        <v>169</v>
      </c>
      <c r="J60" s="154" t="s">
        <v>339</v>
      </c>
      <c r="K60" s="154" t="s">
        <v>339</v>
      </c>
      <c r="L60" s="159">
        <v>11500</v>
      </c>
    </row>
    <row r="61" spans="1:12" ht="23.25" thickTop="1" thickBot="1">
      <c r="A61" s="150">
        <v>59</v>
      </c>
      <c r="B61" s="151" t="s">
        <v>186</v>
      </c>
      <c r="C61" s="150" t="s">
        <v>128</v>
      </c>
      <c r="D61" s="153" t="s">
        <v>341</v>
      </c>
      <c r="E61" s="154" t="s">
        <v>339</v>
      </c>
      <c r="F61" s="155" t="s">
        <v>299</v>
      </c>
      <c r="G61" s="150" t="s">
        <v>107</v>
      </c>
      <c r="H61" s="156" t="s">
        <v>337</v>
      </c>
      <c r="I61" s="157" t="s">
        <v>169</v>
      </c>
      <c r="J61" s="154" t="s">
        <v>339</v>
      </c>
      <c r="K61" s="154" t="s">
        <v>339</v>
      </c>
      <c r="L61" s="159">
        <v>4608184.5199999996</v>
      </c>
    </row>
    <row r="62" spans="1:12" ht="45" thickTop="1" thickBot="1">
      <c r="A62" s="150">
        <v>60</v>
      </c>
      <c r="B62" s="151" t="s">
        <v>186</v>
      </c>
      <c r="C62" s="150" t="s">
        <v>127</v>
      </c>
      <c r="D62" s="153" t="s">
        <v>342</v>
      </c>
      <c r="E62" s="154">
        <v>45722</v>
      </c>
      <c r="F62" s="155" t="s">
        <v>293</v>
      </c>
      <c r="G62" s="150" t="s">
        <v>76</v>
      </c>
      <c r="H62" s="156" t="s">
        <v>343</v>
      </c>
      <c r="I62" s="157" t="s">
        <v>169</v>
      </c>
      <c r="J62" s="154">
        <v>45722</v>
      </c>
      <c r="K62" s="154">
        <v>45722</v>
      </c>
      <c r="L62" s="159">
        <v>174223.15</v>
      </c>
    </row>
    <row r="63" spans="1:12" ht="23.25" thickTop="1" thickBot="1">
      <c r="A63" s="150">
        <v>61</v>
      </c>
      <c r="B63" s="151" t="s">
        <v>186</v>
      </c>
      <c r="C63" s="150" t="s">
        <v>128</v>
      </c>
      <c r="D63" s="153" t="s">
        <v>344</v>
      </c>
      <c r="E63" s="154">
        <v>45722</v>
      </c>
      <c r="F63" s="155" t="s">
        <v>299</v>
      </c>
      <c r="G63" s="150" t="s">
        <v>107</v>
      </c>
      <c r="H63" s="156" t="s">
        <v>345</v>
      </c>
      <c r="I63" s="157" t="s">
        <v>169</v>
      </c>
      <c r="J63" s="154">
        <v>45722</v>
      </c>
      <c r="K63" s="154">
        <v>45722</v>
      </c>
      <c r="L63" s="159">
        <v>2300000</v>
      </c>
    </row>
    <row r="64" spans="1:12" ht="23.25" thickTop="1" thickBot="1">
      <c r="A64" s="150">
        <v>62</v>
      </c>
      <c r="B64" s="151" t="s">
        <v>186</v>
      </c>
      <c r="C64" s="150" t="s">
        <v>127</v>
      </c>
      <c r="D64" s="153" t="s">
        <v>346</v>
      </c>
      <c r="E64" s="154" t="s">
        <v>347</v>
      </c>
      <c r="F64" s="155" t="s">
        <v>304</v>
      </c>
      <c r="G64" s="150" t="s">
        <v>68</v>
      </c>
      <c r="H64" s="156" t="s">
        <v>348</v>
      </c>
      <c r="I64" s="157" t="s">
        <v>169</v>
      </c>
      <c r="J64" s="154" t="s">
        <v>347</v>
      </c>
      <c r="K64" s="154" t="s">
        <v>349</v>
      </c>
      <c r="L64" s="159">
        <v>11500</v>
      </c>
    </row>
    <row r="65" spans="1:12" ht="45" thickTop="1" thickBot="1">
      <c r="A65" s="150">
        <v>63</v>
      </c>
      <c r="B65" s="151" t="s">
        <v>186</v>
      </c>
      <c r="C65" s="150" t="s">
        <v>127</v>
      </c>
      <c r="D65" s="153" t="s">
        <v>350</v>
      </c>
      <c r="E65" s="154">
        <v>45723</v>
      </c>
      <c r="F65" s="155" t="s">
        <v>293</v>
      </c>
      <c r="G65" s="150" t="s">
        <v>76</v>
      </c>
      <c r="H65" s="156" t="s">
        <v>351</v>
      </c>
      <c r="I65" s="157" t="s">
        <v>169</v>
      </c>
      <c r="J65" s="154">
        <v>45723</v>
      </c>
      <c r="K65" s="154">
        <v>45815</v>
      </c>
      <c r="L65" s="159">
        <v>186622.13</v>
      </c>
    </row>
    <row r="66" spans="1:12" ht="23.25" thickTop="1" thickBot="1">
      <c r="A66" s="150">
        <v>64</v>
      </c>
      <c r="B66" s="151" t="s">
        <v>186</v>
      </c>
      <c r="C66" s="150" t="s">
        <v>127</v>
      </c>
      <c r="D66" s="153" t="s">
        <v>352</v>
      </c>
      <c r="E66" s="154" t="s">
        <v>353</v>
      </c>
      <c r="F66" s="155" t="s">
        <v>304</v>
      </c>
      <c r="G66" s="150" t="s">
        <v>68</v>
      </c>
      <c r="H66" s="156" t="s">
        <v>354</v>
      </c>
      <c r="I66" s="157" t="s">
        <v>169</v>
      </c>
      <c r="J66" s="154" t="s">
        <v>353</v>
      </c>
      <c r="K66" s="154" t="s">
        <v>355</v>
      </c>
      <c r="L66" s="159">
        <v>11500</v>
      </c>
    </row>
    <row r="67" spans="1:12" ht="23.25" thickTop="1" thickBot="1">
      <c r="A67" s="150">
        <v>65</v>
      </c>
      <c r="B67" s="151" t="s">
        <v>186</v>
      </c>
      <c r="C67" s="150" t="s">
        <v>128</v>
      </c>
      <c r="D67" s="153" t="s">
        <v>356</v>
      </c>
      <c r="E67" s="154" t="s">
        <v>355</v>
      </c>
      <c r="F67" s="155" t="s">
        <v>299</v>
      </c>
      <c r="G67" s="150" t="s">
        <v>107</v>
      </c>
      <c r="H67" s="156" t="s">
        <v>357</v>
      </c>
      <c r="I67" s="157" t="s">
        <v>169</v>
      </c>
      <c r="J67" s="154" t="s">
        <v>355</v>
      </c>
      <c r="K67" s="154" t="s">
        <v>355</v>
      </c>
      <c r="L67" s="159">
        <v>1060587.77</v>
      </c>
    </row>
    <row r="68" spans="1:12" ht="23.25" thickTop="1" thickBot="1">
      <c r="A68" s="150">
        <v>66</v>
      </c>
      <c r="B68" s="151" t="s">
        <v>186</v>
      </c>
      <c r="C68" s="150" t="s">
        <v>128</v>
      </c>
      <c r="D68" s="153" t="s">
        <v>358</v>
      </c>
      <c r="E68" s="154" t="s">
        <v>355</v>
      </c>
      <c r="F68" s="155" t="s">
        <v>299</v>
      </c>
      <c r="G68" s="150" t="s">
        <v>107</v>
      </c>
      <c r="H68" s="156" t="s">
        <v>357</v>
      </c>
      <c r="I68" s="157" t="s">
        <v>169</v>
      </c>
      <c r="J68" s="154" t="s">
        <v>355</v>
      </c>
      <c r="K68" s="154" t="s">
        <v>355</v>
      </c>
      <c r="L68" s="159">
        <v>1281164.44</v>
      </c>
    </row>
    <row r="69" spans="1:12" ht="23.25" thickTop="1" thickBot="1">
      <c r="A69" s="150">
        <v>67</v>
      </c>
      <c r="B69" s="151" t="s">
        <v>186</v>
      </c>
      <c r="C69" s="150" t="s">
        <v>127</v>
      </c>
      <c r="D69" s="153" t="s">
        <v>359</v>
      </c>
      <c r="E69" s="154">
        <v>45876</v>
      </c>
      <c r="F69" s="155" t="s">
        <v>296</v>
      </c>
      <c r="G69" s="150" t="s">
        <v>131</v>
      </c>
      <c r="H69" s="156" t="s">
        <v>360</v>
      </c>
      <c r="I69" s="157" t="s">
        <v>169</v>
      </c>
      <c r="J69" s="154">
        <v>45876</v>
      </c>
      <c r="K69" s="154">
        <v>45876</v>
      </c>
      <c r="L69" s="159">
        <v>1334042.1200000001</v>
      </c>
    </row>
    <row r="70" spans="1:12" ht="45" thickTop="1" thickBot="1">
      <c r="A70" s="150">
        <v>68</v>
      </c>
      <c r="B70" s="151" t="s">
        <v>186</v>
      </c>
      <c r="C70" s="150" t="s">
        <v>127</v>
      </c>
      <c r="D70" s="153" t="s">
        <v>361</v>
      </c>
      <c r="E70" s="154">
        <v>45881</v>
      </c>
      <c r="F70" s="155" t="s">
        <v>293</v>
      </c>
      <c r="G70" s="150" t="s">
        <v>76</v>
      </c>
      <c r="H70" s="156" t="s">
        <v>351</v>
      </c>
      <c r="I70" s="157" t="s">
        <v>169</v>
      </c>
      <c r="J70" s="154">
        <v>45881</v>
      </c>
      <c r="K70" s="154">
        <v>45881</v>
      </c>
      <c r="L70" s="159">
        <v>182757.25</v>
      </c>
    </row>
    <row r="71" spans="1:12" ht="23.25" thickTop="1" thickBot="1">
      <c r="A71" s="150">
        <v>69</v>
      </c>
      <c r="B71" s="151" t="s">
        <v>186</v>
      </c>
      <c r="C71" s="150" t="s">
        <v>127</v>
      </c>
      <c r="D71" s="153" t="s">
        <v>362</v>
      </c>
      <c r="E71" s="154" t="s">
        <v>363</v>
      </c>
      <c r="F71" s="155" t="s">
        <v>296</v>
      </c>
      <c r="G71" s="150" t="s">
        <v>131</v>
      </c>
      <c r="H71" s="156" t="s">
        <v>360</v>
      </c>
      <c r="I71" s="157" t="s">
        <v>169</v>
      </c>
      <c r="J71" s="154" t="s">
        <v>363</v>
      </c>
      <c r="K71" s="154" t="s">
        <v>363</v>
      </c>
      <c r="L71" s="159">
        <v>266808.42</v>
      </c>
    </row>
    <row r="72" spans="1:12" ht="23.25" thickTop="1" thickBot="1">
      <c r="A72" s="150">
        <v>70</v>
      </c>
      <c r="B72" s="151" t="s">
        <v>186</v>
      </c>
      <c r="C72" s="150" t="s">
        <v>128</v>
      </c>
      <c r="D72" s="153" t="s">
        <v>364</v>
      </c>
      <c r="E72" s="154" t="s">
        <v>363</v>
      </c>
      <c r="F72" s="155" t="s">
        <v>299</v>
      </c>
      <c r="G72" s="150" t="s">
        <v>107</v>
      </c>
      <c r="H72" s="156" t="s">
        <v>357</v>
      </c>
      <c r="I72" s="157" t="s">
        <v>169</v>
      </c>
      <c r="J72" s="154" t="s">
        <v>363</v>
      </c>
      <c r="K72" s="154" t="s">
        <v>363</v>
      </c>
      <c r="L72" s="159">
        <v>262034.26</v>
      </c>
    </row>
    <row r="73" spans="1:12" ht="23.25" thickTop="1" thickBot="1">
      <c r="A73" s="150">
        <v>71</v>
      </c>
      <c r="B73" s="151" t="s">
        <v>186</v>
      </c>
      <c r="C73" s="150" t="s">
        <v>127</v>
      </c>
      <c r="D73" s="153" t="s">
        <v>365</v>
      </c>
      <c r="E73" s="154">
        <v>45907</v>
      </c>
      <c r="F73" s="155" t="s">
        <v>304</v>
      </c>
      <c r="G73" s="150" t="s">
        <v>68</v>
      </c>
      <c r="H73" s="156" t="s">
        <v>354</v>
      </c>
      <c r="I73" s="157" t="s">
        <v>169</v>
      </c>
      <c r="J73" s="154">
        <v>45907</v>
      </c>
      <c r="K73" s="154">
        <v>45847</v>
      </c>
      <c r="L73" s="159">
        <v>23000</v>
      </c>
    </row>
    <row r="74" spans="1:12" ht="45" thickTop="1" thickBot="1">
      <c r="A74" s="150">
        <v>72</v>
      </c>
      <c r="B74" s="151" t="s">
        <v>186</v>
      </c>
      <c r="C74" s="150" t="s">
        <v>127</v>
      </c>
      <c r="D74" s="153" t="s">
        <v>366</v>
      </c>
      <c r="E74" s="154">
        <v>45907</v>
      </c>
      <c r="F74" s="155" t="s">
        <v>293</v>
      </c>
      <c r="G74" s="150" t="s">
        <v>76</v>
      </c>
      <c r="H74" s="156" t="s">
        <v>351</v>
      </c>
      <c r="I74" s="157" t="s">
        <v>169</v>
      </c>
      <c r="J74" s="154">
        <v>45907</v>
      </c>
      <c r="K74" s="154">
        <v>45847</v>
      </c>
      <c r="L74" s="159">
        <v>176330.25</v>
      </c>
    </row>
    <row r="75" spans="1:12" ht="23.25" thickTop="1" thickBot="1">
      <c r="A75" s="150">
        <v>73</v>
      </c>
      <c r="B75" s="151" t="s">
        <v>186</v>
      </c>
      <c r="C75" s="150" t="s">
        <v>127</v>
      </c>
      <c r="D75" s="153" t="s">
        <v>367</v>
      </c>
      <c r="E75" s="154">
        <v>45910</v>
      </c>
      <c r="F75" s="155" t="s">
        <v>296</v>
      </c>
      <c r="G75" s="150" t="s">
        <v>131</v>
      </c>
      <c r="H75" s="156" t="s">
        <v>368</v>
      </c>
      <c r="I75" s="157" t="s">
        <v>169</v>
      </c>
      <c r="J75" s="154">
        <v>45910</v>
      </c>
      <c r="K75" s="154">
        <v>45910</v>
      </c>
      <c r="L75" s="159">
        <v>266808.42</v>
      </c>
    </row>
    <row r="76" spans="1:12" ht="23.25" thickTop="1" thickBot="1">
      <c r="A76" s="150">
        <v>74</v>
      </c>
      <c r="B76" s="151" t="s">
        <v>186</v>
      </c>
      <c r="C76" s="150" t="s">
        <v>128</v>
      </c>
      <c r="D76" s="153" t="s">
        <v>369</v>
      </c>
      <c r="E76" s="154">
        <v>45910</v>
      </c>
      <c r="F76" s="155" t="s">
        <v>299</v>
      </c>
      <c r="G76" s="150" t="s">
        <v>107</v>
      </c>
      <c r="H76" s="156" t="s">
        <v>357</v>
      </c>
      <c r="I76" s="157" t="s">
        <v>169</v>
      </c>
      <c r="J76" s="154">
        <v>45910</v>
      </c>
      <c r="K76" s="154">
        <v>45910</v>
      </c>
      <c r="L76" s="159">
        <v>298858.49</v>
      </c>
    </row>
    <row r="77" spans="1:12" ht="45" thickTop="1" thickBot="1">
      <c r="A77" s="150">
        <v>75</v>
      </c>
      <c r="B77" s="151" t="s">
        <v>186</v>
      </c>
      <c r="C77" s="150" t="s">
        <v>127</v>
      </c>
      <c r="D77" s="153" t="s">
        <v>370</v>
      </c>
      <c r="E77" s="154">
        <v>45930</v>
      </c>
      <c r="F77" s="155" t="s">
        <v>293</v>
      </c>
      <c r="G77" s="150" t="s">
        <v>76</v>
      </c>
      <c r="H77" s="156" t="s">
        <v>371</v>
      </c>
      <c r="I77" s="157" t="s">
        <v>169</v>
      </c>
      <c r="J77" s="154">
        <v>45930</v>
      </c>
      <c r="K77" s="154">
        <v>45937</v>
      </c>
      <c r="L77" s="159">
        <v>178250</v>
      </c>
    </row>
    <row r="78" spans="1:12" ht="23.25" thickTop="1" thickBot="1">
      <c r="A78" s="150">
        <v>76</v>
      </c>
      <c r="B78" s="151" t="s">
        <v>186</v>
      </c>
      <c r="C78" s="150" t="s">
        <v>130</v>
      </c>
      <c r="D78" s="153" t="s">
        <v>372</v>
      </c>
      <c r="E78" s="154">
        <v>45946</v>
      </c>
      <c r="F78" s="155" t="s">
        <v>296</v>
      </c>
      <c r="G78" s="150" t="s">
        <v>102</v>
      </c>
      <c r="H78" s="156" t="s">
        <v>373</v>
      </c>
      <c r="I78" s="157" t="s">
        <v>169</v>
      </c>
      <c r="J78" s="154">
        <v>45946</v>
      </c>
      <c r="K78" s="154">
        <v>45957</v>
      </c>
      <c r="L78" s="159">
        <v>266808.42</v>
      </c>
    </row>
    <row r="79" spans="1:12" ht="45" thickTop="1" thickBot="1">
      <c r="A79" s="150">
        <v>77</v>
      </c>
      <c r="B79" s="151" t="s">
        <v>186</v>
      </c>
      <c r="C79" s="150" t="s">
        <v>127</v>
      </c>
      <c r="D79" s="153" t="s">
        <v>374</v>
      </c>
      <c r="E79" s="154">
        <v>45960</v>
      </c>
      <c r="F79" s="155" t="s">
        <v>293</v>
      </c>
      <c r="G79" s="150" t="s">
        <v>76</v>
      </c>
      <c r="H79" s="156" t="s">
        <v>375</v>
      </c>
      <c r="I79" s="157" t="s">
        <v>169</v>
      </c>
      <c r="J79" s="154">
        <v>45960</v>
      </c>
      <c r="K79" s="154">
        <v>45965</v>
      </c>
      <c r="L79" s="159">
        <v>190325</v>
      </c>
    </row>
    <row r="80" spans="1:12" ht="23.25" thickTop="1" thickBot="1">
      <c r="A80" s="150">
        <v>78</v>
      </c>
      <c r="B80" s="151" t="s">
        <v>186</v>
      </c>
      <c r="C80" s="150" t="s">
        <v>130</v>
      </c>
      <c r="D80" s="153" t="s">
        <v>376</v>
      </c>
      <c r="E80" s="154">
        <v>45966</v>
      </c>
      <c r="F80" s="155" t="s">
        <v>296</v>
      </c>
      <c r="G80" s="150" t="s">
        <v>102</v>
      </c>
      <c r="H80" s="156" t="s">
        <v>377</v>
      </c>
      <c r="I80" s="157" t="s">
        <v>169</v>
      </c>
      <c r="J80" s="154">
        <v>45966</v>
      </c>
      <c r="K80" s="154">
        <v>45971</v>
      </c>
      <c r="L80" s="159">
        <v>266808.41800000001</v>
      </c>
    </row>
    <row r="81" spans="1:12" ht="23.25" thickTop="1" thickBot="1">
      <c r="A81" s="150">
        <v>79</v>
      </c>
      <c r="B81" s="151" t="s">
        <v>186</v>
      </c>
      <c r="C81" s="150" t="s">
        <v>127</v>
      </c>
      <c r="D81" s="153" t="s">
        <v>378</v>
      </c>
      <c r="E81" s="154">
        <v>45946</v>
      </c>
      <c r="F81" s="155" t="s">
        <v>304</v>
      </c>
      <c r="G81" s="150" t="s">
        <v>68</v>
      </c>
      <c r="H81" s="156" t="s">
        <v>379</v>
      </c>
      <c r="I81" s="157" t="s">
        <v>169</v>
      </c>
      <c r="J81" s="154">
        <v>45946</v>
      </c>
      <c r="K81" s="154">
        <v>45985</v>
      </c>
      <c r="L81" s="159">
        <v>11500</v>
      </c>
    </row>
    <row r="82" spans="1:12" ht="45" thickTop="1" thickBot="1">
      <c r="A82" s="150">
        <v>80</v>
      </c>
      <c r="B82" s="151" t="s">
        <v>186</v>
      </c>
      <c r="C82" s="150" t="s">
        <v>127</v>
      </c>
      <c r="D82" s="153" t="s">
        <v>380</v>
      </c>
      <c r="E82" s="154">
        <v>46002</v>
      </c>
      <c r="F82" s="155" t="s">
        <v>293</v>
      </c>
      <c r="G82" s="150" t="s">
        <v>76</v>
      </c>
      <c r="H82" s="156" t="s">
        <v>381</v>
      </c>
      <c r="I82" s="157" t="s">
        <v>169</v>
      </c>
      <c r="J82" s="154">
        <v>46002</v>
      </c>
      <c r="K82" s="154">
        <v>45985</v>
      </c>
      <c r="L82" s="159">
        <v>276000</v>
      </c>
    </row>
    <row r="83" spans="1:12" ht="23.25" thickTop="1" thickBot="1">
      <c r="A83" s="150">
        <v>81</v>
      </c>
      <c r="B83" s="151" t="s">
        <v>186</v>
      </c>
      <c r="C83" s="150" t="s">
        <v>127</v>
      </c>
      <c r="D83" s="153" t="s">
        <v>382</v>
      </c>
      <c r="E83" s="154">
        <v>45986</v>
      </c>
      <c r="F83" s="155" t="s">
        <v>304</v>
      </c>
      <c r="G83" s="150" t="s">
        <v>68</v>
      </c>
      <c r="H83" s="156" t="s">
        <v>379</v>
      </c>
      <c r="I83" s="157" t="s">
        <v>169</v>
      </c>
      <c r="J83" s="154">
        <v>45986</v>
      </c>
      <c r="K83" s="154">
        <v>45986</v>
      </c>
      <c r="L83" s="159">
        <v>11500</v>
      </c>
    </row>
    <row r="84" spans="1:12" ht="23.25" thickTop="1" thickBot="1">
      <c r="A84" s="150">
        <v>82</v>
      </c>
      <c r="B84" s="151" t="s">
        <v>186</v>
      </c>
      <c r="C84" s="150" t="s">
        <v>127</v>
      </c>
      <c r="D84" s="153" t="s">
        <v>383</v>
      </c>
      <c r="E84" s="154">
        <v>45973</v>
      </c>
      <c r="F84" s="155" t="s">
        <v>304</v>
      </c>
      <c r="G84" s="150" t="s">
        <v>68</v>
      </c>
      <c r="H84" s="156" t="s">
        <v>384</v>
      </c>
      <c r="I84" s="157" t="s">
        <v>169</v>
      </c>
      <c r="J84" s="154">
        <v>45973</v>
      </c>
      <c r="K84" s="154">
        <v>45992</v>
      </c>
      <c r="L84" s="159">
        <v>11500</v>
      </c>
    </row>
    <row r="85" spans="1:12" ht="45" thickTop="1" thickBot="1">
      <c r="A85" s="150">
        <v>83</v>
      </c>
      <c r="B85" s="151" t="s">
        <v>186</v>
      </c>
      <c r="C85" s="150" t="s">
        <v>127</v>
      </c>
      <c r="D85" s="153" t="s">
        <v>385</v>
      </c>
      <c r="E85" s="154">
        <v>45987</v>
      </c>
      <c r="F85" s="155" t="s">
        <v>293</v>
      </c>
      <c r="G85" s="150" t="s">
        <v>76</v>
      </c>
      <c r="H85" s="156" t="s">
        <v>386</v>
      </c>
      <c r="I85" s="157" t="s">
        <v>169</v>
      </c>
      <c r="J85" s="154">
        <v>45987</v>
      </c>
      <c r="K85" s="154">
        <v>45992</v>
      </c>
      <c r="L85" s="159">
        <v>190325</v>
      </c>
    </row>
    <row r="86" spans="1:12" ht="23.25" thickTop="1" thickBot="1">
      <c r="A86" s="150">
        <v>84</v>
      </c>
      <c r="B86" s="151" t="s">
        <v>186</v>
      </c>
      <c r="C86" s="150" t="s">
        <v>128</v>
      </c>
      <c r="D86" s="153" t="s">
        <v>387</v>
      </c>
      <c r="E86" s="154">
        <v>45958</v>
      </c>
      <c r="F86" s="155" t="s">
        <v>299</v>
      </c>
      <c r="G86" s="150" t="s">
        <v>107</v>
      </c>
      <c r="H86" s="156" t="s">
        <v>388</v>
      </c>
      <c r="I86" s="157" t="s">
        <v>169</v>
      </c>
      <c r="J86" s="154">
        <v>45958</v>
      </c>
      <c r="K86" s="154">
        <v>46006</v>
      </c>
      <c r="L86" s="159">
        <v>128568.758</v>
      </c>
    </row>
    <row r="87" spans="1:12" ht="23.25" thickTop="1" thickBot="1">
      <c r="A87" s="150">
        <v>85</v>
      </c>
      <c r="B87" s="151" t="s">
        <v>186</v>
      </c>
      <c r="C87" s="150" t="s">
        <v>130</v>
      </c>
      <c r="D87" s="153" t="s">
        <v>389</v>
      </c>
      <c r="E87" s="154">
        <v>45987</v>
      </c>
      <c r="F87" s="155" t="s">
        <v>296</v>
      </c>
      <c r="G87" s="150" t="s">
        <v>102</v>
      </c>
      <c r="H87" s="156" t="s">
        <v>390</v>
      </c>
      <c r="I87" s="157" t="s">
        <v>169</v>
      </c>
      <c r="J87" s="154">
        <v>45987</v>
      </c>
      <c r="K87" s="154">
        <v>46006</v>
      </c>
      <c r="L87" s="159">
        <v>266808.42</v>
      </c>
    </row>
    <row r="88" spans="1:12" ht="45" thickTop="1" thickBot="1">
      <c r="A88" s="150">
        <v>86</v>
      </c>
      <c r="B88" s="151" t="s">
        <v>186</v>
      </c>
      <c r="C88" s="150" t="s">
        <v>127</v>
      </c>
      <c r="D88" s="153" t="s">
        <v>391</v>
      </c>
      <c r="E88" s="154">
        <v>46027</v>
      </c>
      <c r="F88" s="155" t="s">
        <v>293</v>
      </c>
      <c r="G88" s="150" t="s">
        <v>76</v>
      </c>
      <c r="H88" s="156" t="s">
        <v>392</v>
      </c>
      <c r="I88" s="157" t="s">
        <v>169</v>
      </c>
      <c r="J88" s="154">
        <v>46027</v>
      </c>
      <c r="K88" s="154">
        <v>46029</v>
      </c>
      <c r="L88" s="159">
        <v>190325</v>
      </c>
    </row>
    <row r="89" spans="1:12" ht="23.25" thickTop="1" thickBot="1">
      <c r="A89" s="150">
        <v>87</v>
      </c>
      <c r="B89" s="151" t="s">
        <v>186</v>
      </c>
      <c r="C89" s="150" t="s">
        <v>127</v>
      </c>
      <c r="D89" s="153" t="s">
        <v>393</v>
      </c>
      <c r="E89" s="154">
        <v>46028</v>
      </c>
      <c r="F89" s="155" t="s">
        <v>304</v>
      </c>
      <c r="G89" s="150" t="s">
        <v>68</v>
      </c>
      <c r="H89" s="156" t="s">
        <v>394</v>
      </c>
      <c r="I89" s="157" t="s">
        <v>169</v>
      </c>
      <c r="J89" s="154">
        <v>46028</v>
      </c>
      <c r="K89" s="154">
        <v>46030</v>
      </c>
      <c r="L89" s="159">
        <v>11500</v>
      </c>
    </row>
    <row r="90" spans="1:12" ht="45" thickTop="1" thickBot="1">
      <c r="A90" s="150">
        <v>88</v>
      </c>
      <c r="B90" s="151" t="s">
        <v>186</v>
      </c>
      <c r="C90" s="150" t="s">
        <v>127</v>
      </c>
      <c r="D90" s="153" t="s">
        <v>395</v>
      </c>
      <c r="E90" s="154">
        <v>46050</v>
      </c>
      <c r="F90" s="155" t="s">
        <v>293</v>
      </c>
      <c r="G90" s="150" t="s">
        <v>76</v>
      </c>
      <c r="H90" s="156" t="s">
        <v>396</v>
      </c>
      <c r="I90" s="157" t="s">
        <v>169</v>
      </c>
      <c r="J90" s="154">
        <v>46050</v>
      </c>
      <c r="K90" s="154">
        <v>46058</v>
      </c>
      <c r="L90" s="159">
        <v>187292.34</v>
      </c>
    </row>
    <row r="91" spans="1:12" ht="23.25" thickTop="1" thickBot="1">
      <c r="A91" s="150">
        <v>89</v>
      </c>
      <c r="B91" s="151" t="s">
        <v>186</v>
      </c>
      <c r="C91" s="150" t="s">
        <v>127</v>
      </c>
      <c r="D91" s="153" t="s">
        <v>397</v>
      </c>
      <c r="E91" s="154">
        <v>46058</v>
      </c>
      <c r="F91" s="155" t="s">
        <v>304</v>
      </c>
      <c r="G91" s="150" t="s">
        <v>68</v>
      </c>
      <c r="H91" s="156" t="s">
        <v>398</v>
      </c>
      <c r="I91" s="157" t="s">
        <v>169</v>
      </c>
      <c r="J91" s="154">
        <v>46058</v>
      </c>
      <c r="K91" s="154">
        <v>46064</v>
      </c>
      <c r="L91" s="159">
        <v>11500</v>
      </c>
    </row>
    <row r="92" spans="1:12" ht="23.25" thickTop="1" thickBot="1">
      <c r="A92" s="150">
        <v>90</v>
      </c>
      <c r="B92" s="151" t="s">
        <v>186</v>
      </c>
      <c r="C92" s="150" t="s">
        <v>130</v>
      </c>
      <c r="D92" s="153" t="s">
        <v>399</v>
      </c>
      <c r="E92" s="154">
        <v>46078</v>
      </c>
      <c r="F92" s="155" t="s">
        <v>296</v>
      </c>
      <c r="G92" s="150" t="s">
        <v>102</v>
      </c>
      <c r="H92" s="156" t="s">
        <v>400</v>
      </c>
      <c r="I92" s="157" t="s">
        <v>169</v>
      </c>
      <c r="J92" s="154">
        <v>46078</v>
      </c>
      <c r="K92" s="154">
        <v>46084</v>
      </c>
      <c r="L92" s="159">
        <v>533616.83600000001</v>
      </c>
    </row>
    <row r="93" spans="1:12" ht="45" thickTop="1" thickBot="1">
      <c r="A93" s="150">
        <v>91</v>
      </c>
      <c r="B93" s="151" t="s">
        <v>186</v>
      </c>
      <c r="C93" s="150" t="s">
        <v>127</v>
      </c>
      <c r="D93" s="153" t="s">
        <v>401</v>
      </c>
      <c r="E93" s="154">
        <v>46091</v>
      </c>
      <c r="F93" s="155" t="s">
        <v>293</v>
      </c>
      <c r="G93" s="150" t="s">
        <v>76</v>
      </c>
      <c r="H93" s="156" t="s">
        <v>402</v>
      </c>
      <c r="I93" s="157" t="s">
        <v>169</v>
      </c>
      <c r="J93" s="154">
        <v>46091</v>
      </c>
      <c r="K93" s="154">
        <v>46105</v>
      </c>
      <c r="L93" s="159">
        <v>196875.89449999999</v>
      </c>
    </row>
    <row r="94" spans="1:12" ht="23.25" thickTop="1" thickBot="1">
      <c r="A94" s="150">
        <v>92</v>
      </c>
      <c r="B94" s="151" t="s">
        <v>186</v>
      </c>
      <c r="C94" s="150" t="s">
        <v>127</v>
      </c>
      <c r="D94" s="153" t="s">
        <v>403</v>
      </c>
      <c r="E94" s="154">
        <v>46092</v>
      </c>
      <c r="F94" s="155" t="s">
        <v>304</v>
      </c>
      <c r="G94" s="150" t="s">
        <v>68</v>
      </c>
      <c r="H94" s="156" t="s">
        <v>404</v>
      </c>
      <c r="I94" s="157" t="s">
        <v>169</v>
      </c>
      <c r="J94" s="154">
        <v>46092</v>
      </c>
      <c r="K94" s="154">
        <v>46120</v>
      </c>
      <c r="L94" s="159">
        <v>11500</v>
      </c>
    </row>
    <row r="95" spans="1:12" ht="23.25" thickTop="1" thickBot="1">
      <c r="A95" s="150">
        <v>93</v>
      </c>
      <c r="B95" s="151" t="s">
        <v>186</v>
      </c>
      <c r="C95" s="150" t="s">
        <v>127</v>
      </c>
      <c r="D95" s="153" t="s">
        <v>405</v>
      </c>
      <c r="E95" s="154">
        <v>46110</v>
      </c>
      <c r="F95" s="155" t="s">
        <v>304</v>
      </c>
      <c r="G95" s="150" t="s">
        <v>68</v>
      </c>
      <c r="H95" s="156" t="s">
        <v>406</v>
      </c>
      <c r="I95" s="157" t="s">
        <v>169</v>
      </c>
      <c r="J95" s="154">
        <v>46110</v>
      </c>
      <c r="K95" s="154">
        <v>46120</v>
      </c>
      <c r="L95" s="159">
        <v>11500</v>
      </c>
    </row>
    <row r="96" spans="1:12" ht="45" thickTop="1" thickBot="1">
      <c r="A96" s="150">
        <v>94</v>
      </c>
      <c r="B96" s="151" t="s">
        <v>186</v>
      </c>
      <c r="C96" s="150" t="s">
        <v>127</v>
      </c>
      <c r="D96" s="153" t="s">
        <v>407</v>
      </c>
      <c r="E96" s="154">
        <v>46120</v>
      </c>
      <c r="F96" s="155" t="s">
        <v>293</v>
      </c>
      <c r="G96" s="150" t="s">
        <v>76</v>
      </c>
      <c r="H96" s="156" t="s">
        <v>408</v>
      </c>
      <c r="I96" s="157" t="s">
        <v>169</v>
      </c>
      <c r="J96" s="154">
        <v>46120</v>
      </c>
      <c r="K96" s="154">
        <v>46124</v>
      </c>
      <c r="L96" s="159">
        <v>190325</v>
      </c>
    </row>
    <row r="97" spans="1:12" ht="45" thickTop="1" thickBot="1">
      <c r="A97" s="150">
        <v>95</v>
      </c>
      <c r="B97" s="151" t="s">
        <v>186</v>
      </c>
      <c r="C97" s="150" t="s">
        <v>127</v>
      </c>
      <c r="D97" s="153" t="s">
        <v>409</v>
      </c>
      <c r="E97" s="154">
        <v>46127</v>
      </c>
      <c r="F97" s="155" t="s">
        <v>293</v>
      </c>
      <c r="G97" s="150" t="s">
        <v>76</v>
      </c>
      <c r="H97" s="156" t="s">
        <v>410</v>
      </c>
      <c r="I97" s="157" t="s">
        <v>169</v>
      </c>
      <c r="J97" s="154">
        <v>46127</v>
      </c>
      <c r="K97" s="154">
        <v>46131</v>
      </c>
      <c r="L97" s="159">
        <v>16215</v>
      </c>
    </row>
    <row r="98" spans="1:12" ht="23.25" thickTop="1" thickBot="1">
      <c r="A98" s="150">
        <v>96</v>
      </c>
      <c r="B98" s="151" t="s">
        <v>186</v>
      </c>
      <c r="C98" s="150" t="s">
        <v>127</v>
      </c>
      <c r="D98" s="153" t="s">
        <v>411</v>
      </c>
      <c r="E98" s="154">
        <v>46127</v>
      </c>
      <c r="F98" s="155" t="s">
        <v>296</v>
      </c>
      <c r="G98" s="150" t="s">
        <v>131</v>
      </c>
      <c r="H98" s="156" t="s">
        <v>412</v>
      </c>
      <c r="I98" s="157" t="s">
        <v>169</v>
      </c>
      <c r="J98" s="154">
        <v>46127</v>
      </c>
      <c r="K98" s="154">
        <v>46131</v>
      </c>
      <c r="L98" s="159">
        <v>533616.83600000001</v>
      </c>
    </row>
    <row r="99" spans="1:12" ht="23.25" thickTop="1" thickBot="1">
      <c r="A99" s="150">
        <v>97</v>
      </c>
      <c r="B99" s="151" t="s">
        <v>186</v>
      </c>
      <c r="C99" s="150" t="s">
        <v>128</v>
      </c>
      <c r="D99" s="153" t="s">
        <v>413</v>
      </c>
      <c r="E99" s="154">
        <v>46133</v>
      </c>
      <c r="F99" s="155" t="s">
        <v>299</v>
      </c>
      <c r="G99" s="150" t="s">
        <v>107</v>
      </c>
      <c r="H99" s="156" t="s">
        <v>414</v>
      </c>
      <c r="I99" s="157" t="s">
        <v>169</v>
      </c>
      <c r="J99" s="154">
        <v>46133</v>
      </c>
      <c r="K99" s="154">
        <v>46142</v>
      </c>
      <c r="L99" s="159">
        <v>162775.70650000003</v>
      </c>
    </row>
    <row r="100" spans="1:12" ht="45" thickTop="1" thickBot="1">
      <c r="A100" s="150">
        <v>98</v>
      </c>
      <c r="B100" s="151" t="s">
        <v>186</v>
      </c>
      <c r="C100" s="150" t="s">
        <v>127</v>
      </c>
      <c r="D100" s="153" t="s">
        <v>415</v>
      </c>
      <c r="E100" s="154">
        <v>46145</v>
      </c>
      <c r="F100" s="155" t="s">
        <v>293</v>
      </c>
      <c r="G100" s="150" t="s">
        <v>76</v>
      </c>
      <c r="H100" s="156" t="s">
        <v>416</v>
      </c>
      <c r="I100" s="157" t="s">
        <v>169</v>
      </c>
      <c r="J100" s="154">
        <v>46145</v>
      </c>
      <c r="K100" s="154">
        <v>46152</v>
      </c>
      <c r="L100" s="159">
        <v>345000</v>
      </c>
    </row>
    <row r="101" spans="1:12" ht="23.25" thickTop="1" thickBot="1">
      <c r="A101" s="150">
        <v>99</v>
      </c>
      <c r="B101" s="151" t="s">
        <v>186</v>
      </c>
      <c r="C101" s="150" t="s">
        <v>127</v>
      </c>
      <c r="D101" s="153" t="s">
        <v>417</v>
      </c>
      <c r="E101" s="154">
        <v>46152</v>
      </c>
      <c r="F101" s="155" t="s">
        <v>304</v>
      </c>
      <c r="G101" s="150" t="s">
        <v>68</v>
      </c>
      <c r="H101" s="156" t="s">
        <v>418</v>
      </c>
      <c r="I101" s="157" t="s">
        <v>169</v>
      </c>
      <c r="J101" s="154">
        <v>46152</v>
      </c>
      <c r="K101" s="154">
        <v>46154</v>
      </c>
      <c r="L101" s="159">
        <v>11500</v>
      </c>
    </row>
    <row r="102" spans="1:12" ht="23.25" thickTop="1" thickBot="1">
      <c r="A102" s="150">
        <v>100</v>
      </c>
      <c r="B102" s="151" t="s">
        <v>186</v>
      </c>
      <c r="C102" s="150" t="s">
        <v>127</v>
      </c>
      <c r="D102" s="153" t="s">
        <v>419</v>
      </c>
      <c r="E102" s="154">
        <v>46163</v>
      </c>
      <c r="F102" s="155" t="s">
        <v>420</v>
      </c>
      <c r="G102" s="150" t="s">
        <v>131</v>
      </c>
      <c r="H102" s="156" t="s">
        <v>421</v>
      </c>
      <c r="I102" s="157" t="s">
        <v>169</v>
      </c>
      <c r="J102" s="154">
        <v>46163</v>
      </c>
      <c r="K102" s="154">
        <v>46174</v>
      </c>
      <c r="L102" s="159">
        <v>302275.11</v>
      </c>
    </row>
    <row r="103" spans="1:12" ht="45" thickTop="1" thickBot="1">
      <c r="A103" s="150">
        <v>101</v>
      </c>
      <c r="B103" s="151" t="s">
        <v>186</v>
      </c>
      <c r="C103" s="150" t="s">
        <v>127</v>
      </c>
      <c r="D103" s="153" t="s">
        <v>422</v>
      </c>
      <c r="E103" s="154">
        <v>46155</v>
      </c>
      <c r="F103" s="155" t="s">
        <v>423</v>
      </c>
      <c r="G103" s="150" t="s">
        <v>76</v>
      </c>
      <c r="H103" s="156" t="s">
        <v>424</v>
      </c>
      <c r="I103" s="157" t="s">
        <v>169</v>
      </c>
      <c r="J103" s="154">
        <v>46155</v>
      </c>
      <c r="K103" s="154">
        <v>46161</v>
      </c>
      <c r="L103" s="159">
        <v>186702.5</v>
      </c>
    </row>
    <row r="104" spans="1:12" ht="45" thickTop="1" thickBot="1">
      <c r="A104" s="150">
        <v>102</v>
      </c>
      <c r="B104" s="151" t="s">
        <v>186</v>
      </c>
      <c r="C104" s="150" t="s">
        <v>127</v>
      </c>
      <c r="D104" s="153" t="s">
        <v>425</v>
      </c>
      <c r="E104" s="154">
        <v>46181</v>
      </c>
      <c r="F104" s="155" t="s">
        <v>423</v>
      </c>
      <c r="G104" s="150" t="s">
        <v>76</v>
      </c>
      <c r="H104" s="156" t="s">
        <v>426</v>
      </c>
      <c r="I104" s="157" t="s">
        <v>169</v>
      </c>
      <c r="J104" s="154">
        <v>46181</v>
      </c>
      <c r="K104" s="154">
        <v>46183</v>
      </c>
      <c r="L104" s="159">
        <v>190325</v>
      </c>
    </row>
    <row r="105" spans="1:12" ht="23.25" thickTop="1" thickBot="1">
      <c r="A105" s="150">
        <v>103</v>
      </c>
      <c r="B105" s="151" t="s">
        <v>186</v>
      </c>
      <c r="C105" s="150" t="s">
        <v>127</v>
      </c>
      <c r="D105" s="153" t="s">
        <v>427</v>
      </c>
      <c r="E105" s="154">
        <v>46145</v>
      </c>
      <c r="F105" s="155" t="s">
        <v>304</v>
      </c>
      <c r="G105" s="150" t="s">
        <v>68</v>
      </c>
      <c r="H105" s="156" t="s">
        <v>428</v>
      </c>
      <c r="I105" s="157" t="s">
        <v>169</v>
      </c>
      <c r="J105" s="154">
        <v>46145</v>
      </c>
      <c r="K105" s="154">
        <v>46189</v>
      </c>
      <c r="L105" s="159">
        <v>11500</v>
      </c>
    </row>
    <row r="106" spans="1:12" ht="23.25" thickTop="1" thickBot="1">
      <c r="A106" s="150">
        <v>104</v>
      </c>
      <c r="B106" s="151" t="s">
        <v>186</v>
      </c>
      <c r="C106" s="150" t="s">
        <v>127</v>
      </c>
      <c r="D106" s="153" t="s">
        <v>429</v>
      </c>
      <c r="E106" s="154">
        <v>46191</v>
      </c>
      <c r="F106" s="155" t="s">
        <v>296</v>
      </c>
      <c r="G106" s="150" t="s">
        <v>131</v>
      </c>
      <c r="H106" s="156" t="s">
        <v>430</v>
      </c>
      <c r="I106" s="157" t="s">
        <v>169</v>
      </c>
      <c r="J106" s="154">
        <v>46191</v>
      </c>
      <c r="K106" s="154">
        <v>46196</v>
      </c>
      <c r="L106" s="159">
        <v>533616.83600000001</v>
      </c>
    </row>
    <row r="107" spans="1:12" ht="23.25" thickTop="1" thickBot="1">
      <c r="A107" s="150"/>
      <c r="B107" s="151"/>
      <c r="C107" s="150"/>
      <c r="D107" s="153"/>
      <c r="E107" s="154"/>
      <c r="F107" s="155"/>
      <c r="G107" s="150"/>
      <c r="H107" s="156"/>
      <c r="I107" s="157"/>
      <c r="J107" s="154"/>
      <c r="K107" s="154"/>
      <c r="L107" s="159"/>
    </row>
    <row r="108" spans="1:12" ht="23.25" thickTop="1" thickBot="1">
      <c r="A108" s="150"/>
      <c r="B108" s="151"/>
      <c r="C108" s="150"/>
      <c r="D108" s="153"/>
      <c r="E108" s="154"/>
      <c r="F108" s="155"/>
      <c r="G108" s="150"/>
      <c r="H108" s="156"/>
      <c r="I108" s="157"/>
      <c r="J108" s="154"/>
      <c r="K108" s="154"/>
      <c r="L108" s="159"/>
    </row>
    <row r="109" spans="1:12" ht="23.25" thickTop="1" thickBot="1">
      <c r="A109" s="150"/>
      <c r="B109" s="151"/>
      <c r="C109" s="150"/>
      <c r="D109" s="153"/>
      <c r="E109" s="154"/>
      <c r="F109" s="155"/>
      <c r="G109" s="150"/>
      <c r="H109" s="156"/>
      <c r="I109" s="157"/>
      <c r="J109" s="154"/>
      <c r="K109" s="154"/>
      <c r="L109" s="159"/>
    </row>
    <row r="110" spans="1:12" ht="23.25" thickTop="1" thickBot="1">
      <c r="A110" s="150"/>
      <c r="B110" s="151"/>
      <c r="C110" s="150"/>
      <c r="D110" s="153"/>
      <c r="E110" s="154"/>
      <c r="F110" s="155"/>
      <c r="G110" s="150"/>
      <c r="H110" s="156"/>
      <c r="I110" s="157"/>
      <c r="J110" s="154"/>
      <c r="K110" s="154"/>
      <c r="L110" s="159"/>
    </row>
    <row r="111" spans="1:12" ht="23.25" thickTop="1" thickBot="1">
      <c r="A111" s="150"/>
      <c r="B111" s="151"/>
      <c r="C111" s="150"/>
      <c r="D111" s="153"/>
      <c r="E111" s="154"/>
      <c r="F111" s="155"/>
      <c r="G111" s="150"/>
      <c r="H111" s="156"/>
      <c r="I111" s="157"/>
      <c r="J111" s="154"/>
      <c r="K111" s="154"/>
      <c r="L111" s="159"/>
    </row>
    <row r="112" spans="1:12" ht="23.25" thickTop="1" thickBot="1">
      <c r="A112" s="150"/>
      <c r="B112" s="151"/>
      <c r="C112" s="150"/>
      <c r="D112" s="153"/>
      <c r="E112" s="154"/>
      <c r="F112" s="155"/>
      <c r="G112" s="150"/>
      <c r="H112" s="156"/>
      <c r="I112" s="157"/>
      <c r="J112" s="154"/>
      <c r="K112" s="154"/>
      <c r="L112" s="159"/>
    </row>
    <row r="113" spans="1:12" ht="23.25" thickTop="1" thickBot="1">
      <c r="A113" s="150"/>
      <c r="B113" s="151"/>
      <c r="C113" s="150"/>
      <c r="D113" s="153"/>
      <c r="E113" s="154"/>
      <c r="F113" s="155"/>
      <c r="G113" s="150"/>
      <c r="H113" s="156"/>
      <c r="I113" s="157"/>
      <c r="J113" s="154"/>
      <c r="K113" s="154"/>
      <c r="L113" s="159"/>
    </row>
    <row r="114" spans="1:12" ht="23.25" thickTop="1" thickBot="1">
      <c r="A114" s="150"/>
      <c r="B114" s="151"/>
      <c r="C114" s="150"/>
      <c r="D114" s="153"/>
      <c r="E114" s="154"/>
      <c r="F114" s="155"/>
      <c r="G114" s="150"/>
      <c r="H114" s="156"/>
      <c r="I114" s="157"/>
      <c r="J114" s="154"/>
      <c r="K114" s="154"/>
      <c r="L114" s="159"/>
    </row>
    <row r="115" spans="1:12" ht="23.25" thickTop="1" thickBot="1">
      <c r="A115" s="150"/>
      <c r="B115" s="151"/>
      <c r="C115" s="150"/>
      <c r="D115" s="153"/>
      <c r="E115" s="154"/>
      <c r="F115" s="155"/>
      <c r="G115" s="150"/>
      <c r="H115" s="156"/>
      <c r="I115" s="157"/>
      <c r="J115" s="154"/>
      <c r="K115" s="154"/>
      <c r="L115" s="159"/>
    </row>
    <row r="116" spans="1:12" ht="23.25" thickTop="1" thickBot="1">
      <c r="A116" s="150"/>
      <c r="B116" s="151"/>
      <c r="C116" s="150"/>
      <c r="D116" s="153"/>
      <c r="E116" s="154"/>
      <c r="F116" s="155"/>
      <c r="G116" s="150"/>
      <c r="H116" s="156"/>
      <c r="I116" s="157"/>
      <c r="J116" s="154"/>
      <c r="K116" s="154"/>
      <c r="L116" s="159"/>
    </row>
    <row r="117" spans="1:12" ht="23.25" thickTop="1" thickBot="1">
      <c r="A117" s="150"/>
      <c r="B117" s="151"/>
      <c r="C117" s="150"/>
      <c r="D117" s="153"/>
      <c r="E117" s="154"/>
      <c r="F117" s="155"/>
      <c r="G117" s="150"/>
      <c r="H117" s="156"/>
      <c r="I117" s="157"/>
      <c r="J117" s="154"/>
      <c r="K117" s="154"/>
      <c r="L117" s="159"/>
    </row>
    <row r="118" spans="1:12" ht="23.25" thickTop="1" thickBot="1">
      <c r="A118" s="150"/>
      <c r="B118" s="151"/>
      <c r="C118" s="150"/>
      <c r="D118" s="153"/>
      <c r="E118" s="154"/>
      <c r="F118" s="155"/>
      <c r="G118" s="150"/>
      <c r="H118" s="156"/>
      <c r="I118" s="157"/>
      <c r="J118" s="154"/>
      <c r="K118" s="154"/>
      <c r="L118" s="159"/>
    </row>
    <row r="119" spans="1:12" ht="23.25" thickTop="1" thickBot="1">
      <c r="A119" s="150"/>
      <c r="B119" s="151"/>
      <c r="C119" s="150"/>
      <c r="D119" s="153"/>
      <c r="E119" s="154"/>
      <c r="F119" s="155"/>
      <c r="G119" s="150"/>
      <c r="H119" s="156"/>
      <c r="I119" s="157"/>
      <c r="J119" s="154"/>
      <c r="K119" s="154"/>
      <c r="L119" s="159"/>
    </row>
    <row r="120" spans="1:12" ht="23.25" thickTop="1" thickBot="1">
      <c r="A120" s="150"/>
      <c r="B120" s="151"/>
      <c r="C120" s="150"/>
      <c r="D120" s="153"/>
      <c r="E120" s="154"/>
      <c r="F120" s="155"/>
      <c r="G120" s="150"/>
      <c r="H120" s="156"/>
      <c r="I120" s="157"/>
      <c r="J120" s="154"/>
      <c r="K120" s="154"/>
      <c r="L120" s="159"/>
    </row>
    <row r="121" spans="1:12" ht="23.25" thickTop="1" thickBot="1">
      <c r="A121" s="150"/>
      <c r="B121" s="151"/>
      <c r="C121" s="150"/>
      <c r="D121" s="153"/>
      <c r="E121" s="154"/>
      <c r="F121" s="155"/>
      <c r="G121" s="150"/>
      <c r="H121" s="156"/>
      <c r="I121" s="157"/>
      <c r="J121" s="154"/>
      <c r="K121" s="154"/>
      <c r="L121" s="159"/>
    </row>
    <row r="122" spans="1:12" ht="23.25" thickTop="1" thickBot="1">
      <c r="A122" s="150"/>
      <c r="B122" s="151"/>
      <c r="C122" s="150"/>
      <c r="D122" s="153"/>
      <c r="E122" s="154"/>
      <c r="F122" s="155"/>
      <c r="G122" s="150"/>
      <c r="H122" s="156"/>
      <c r="I122" s="157"/>
      <c r="J122" s="154"/>
      <c r="K122" s="154"/>
      <c r="L122" s="159"/>
    </row>
    <row r="123" spans="1:12" ht="23.25" thickTop="1" thickBot="1">
      <c r="A123" s="150"/>
      <c r="B123" s="151"/>
      <c r="C123" s="150"/>
      <c r="D123" s="153"/>
      <c r="E123" s="154"/>
      <c r="F123" s="155"/>
      <c r="G123" s="150"/>
      <c r="H123" s="156"/>
      <c r="I123" s="157"/>
      <c r="J123" s="154"/>
      <c r="K123" s="154"/>
      <c r="L123" s="159"/>
    </row>
    <row r="124" spans="1:12" ht="23.25" thickTop="1" thickBot="1">
      <c r="A124" s="150"/>
      <c r="B124" s="151"/>
      <c r="C124" s="150"/>
      <c r="D124" s="153"/>
      <c r="E124" s="154"/>
      <c r="F124" s="155"/>
      <c r="G124" s="150"/>
      <c r="H124" s="156"/>
      <c r="I124" s="157"/>
      <c r="J124" s="154"/>
      <c r="K124" s="154"/>
      <c r="L124" s="159"/>
    </row>
    <row r="125" spans="1:12" ht="23.25" thickTop="1" thickBot="1">
      <c r="A125" s="150"/>
      <c r="B125" s="151"/>
      <c r="C125" s="150"/>
      <c r="D125" s="153"/>
      <c r="E125" s="154"/>
      <c r="F125" s="155"/>
      <c r="G125" s="150"/>
      <c r="H125" s="156"/>
      <c r="I125" s="157"/>
      <c r="J125" s="154"/>
      <c r="K125" s="154"/>
      <c r="L125" s="159"/>
    </row>
    <row r="126" spans="1:12" ht="23.25" thickTop="1" thickBot="1">
      <c r="A126" s="150"/>
      <c r="B126" s="151"/>
      <c r="C126" s="150"/>
      <c r="D126" s="153"/>
      <c r="E126" s="154"/>
      <c r="F126" s="155"/>
      <c r="G126" s="150"/>
      <c r="H126" s="156"/>
      <c r="I126" s="157"/>
      <c r="J126" s="154"/>
      <c r="K126" s="154"/>
      <c r="L126" s="159"/>
    </row>
    <row r="127" spans="1:12" ht="23.25" thickTop="1" thickBot="1">
      <c r="A127" s="150"/>
      <c r="B127" s="151"/>
      <c r="C127" s="150"/>
      <c r="D127" s="153"/>
      <c r="E127" s="154"/>
      <c r="F127" s="155"/>
      <c r="G127" s="150"/>
      <c r="H127" s="156"/>
      <c r="I127" s="157"/>
      <c r="J127" s="154"/>
      <c r="K127" s="154"/>
      <c r="L127" s="159"/>
    </row>
    <row r="128" spans="1:12" ht="23.25" thickTop="1" thickBot="1">
      <c r="A128" s="150"/>
      <c r="B128" s="151"/>
      <c r="C128" s="150"/>
      <c r="D128" s="153"/>
      <c r="E128" s="154"/>
      <c r="F128" s="155"/>
      <c r="G128" s="150"/>
      <c r="H128" s="156"/>
      <c r="I128" s="157"/>
      <c r="J128" s="154"/>
      <c r="K128" s="154"/>
      <c r="L128" s="159"/>
    </row>
    <row r="129" spans="1:12" ht="23.25" thickTop="1" thickBot="1">
      <c r="A129" s="150"/>
      <c r="B129" s="151"/>
      <c r="C129" s="150"/>
      <c r="D129" s="153"/>
      <c r="E129" s="154"/>
      <c r="F129" s="155"/>
      <c r="G129" s="150"/>
      <c r="H129" s="156"/>
      <c r="I129" s="157"/>
      <c r="J129" s="154"/>
      <c r="K129" s="154"/>
      <c r="L129" s="159"/>
    </row>
    <row r="130" spans="1:12" ht="23.25" thickTop="1" thickBot="1">
      <c r="A130" s="150"/>
      <c r="B130" s="151"/>
      <c r="C130" s="150"/>
      <c r="D130" s="153"/>
      <c r="E130" s="154"/>
      <c r="F130" s="155"/>
      <c r="G130" s="150"/>
      <c r="H130" s="156"/>
      <c r="I130" s="157"/>
      <c r="J130" s="154"/>
      <c r="K130" s="154"/>
      <c r="L130" s="159"/>
    </row>
    <row r="131" spans="1:12" ht="23.25" thickTop="1" thickBot="1">
      <c r="A131" s="150"/>
      <c r="B131" s="151"/>
      <c r="C131" s="150"/>
      <c r="D131" s="153"/>
      <c r="E131" s="154"/>
      <c r="F131" s="155"/>
      <c r="G131" s="150"/>
      <c r="H131" s="156"/>
      <c r="I131" s="157"/>
      <c r="J131" s="154"/>
      <c r="K131" s="154"/>
      <c r="L131" s="159"/>
    </row>
    <row r="132" spans="1:12" ht="23.25" thickTop="1" thickBot="1">
      <c r="A132" s="150"/>
      <c r="B132" s="151"/>
      <c r="C132" s="150"/>
      <c r="D132" s="153"/>
      <c r="E132" s="154"/>
      <c r="F132" s="155"/>
      <c r="G132" s="150"/>
      <c r="H132" s="156"/>
      <c r="I132" s="157"/>
      <c r="J132" s="154"/>
      <c r="K132" s="154"/>
      <c r="L132" s="159"/>
    </row>
    <row r="133" spans="1:12" ht="23.25" thickTop="1" thickBot="1">
      <c r="A133" s="150"/>
      <c r="B133" s="151"/>
      <c r="C133" s="150"/>
      <c r="D133" s="153"/>
      <c r="E133" s="154"/>
      <c r="F133" s="155"/>
      <c r="G133" s="150"/>
      <c r="H133" s="156"/>
      <c r="I133" s="157"/>
      <c r="J133" s="154"/>
      <c r="K133" s="154"/>
      <c r="L133" s="159"/>
    </row>
    <row r="134" spans="1:12" ht="23.25" thickTop="1" thickBot="1">
      <c r="A134" s="150"/>
      <c r="B134" s="151"/>
      <c r="C134" s="150"/>
      <c r="D134" s="153"/>
      <c r="E134" s="154"/>
      <c r="F134" s="155"/>
      <c r="G134" s="150"/>
      <c r="H134" s="156"/>
      <c r="I134" s="157"/>
      <c r="J134" s="154"/>
      <c r="K134" s="154"/>
      <c r="L134" s="159"/>
    </row>
    <row r="135" spans="1:12" ht="23.25" thickTop="1" thickBot="1">
      <c r="A135" s="150"/>
      <c r="B135" s="151"/>
      <c r="C135" s="150"/>
      <c r="D135" s="153"/>
      <c r="E135" s="154"/>
      <c r="F135" s="155"/>
      <c r="G135" s="150"/>
      <c r="H135" s="156"/>
      <c r="I135" s="157"/>
      <c r="J135" s="154"/>
      <c r="K135" s="154"/>
      <c r="L135" s="159"/>
    </row>
    <row r="136" spans="1:12" ht="23.25" thickTop="1" thickBot="1">
      <c r="A136" s="150"/>
      <c r="B136" s="151"/>
      <c r="C136" s="150"/>
      <c r="D136" s="153"/>
      <c r="E136" s="154"/>
      <c r="F136" s="155"/>
      <c r="G136" s="150"/>
      <c r="H136" s="156"/>
      <c r="I136" s="157"/>
      <c r="J136" s="154"/>
      <c r="K136" s="154"/>
      <c r="L136" s="159"/>
    </row>
    <row r="137" spans="1:12" ht="23.25" thickTop="1" thickBot="1">
      <c r="A137" s="150"/>
      <c r="B137" s="151"/>
      <c r="C137" s="150"/>
      <c r="D137" s="153"/>
      <c r="E137" s="154"/>
      <c r="F137" s="155"/>
      <c r="G137" s="150"/>
      <c r="H137" s="156"/>
      <c r="I137" s="157"/>
      <c r="J137" s="154"/>
      <c r="K137" s="154"/>
      <c r="L137" s="159"/>
    </row>
    <row r="138" spans="1:12" ht="23.25" thickTop="1" thickBot="1">
      <c r="A138" s="150"/>
      <c r="B138" s="151"/>
      <c r="C138" s="150"/>
      <c r="D138" s="153"/>
      <c r="E138" s="154"/>
      <c r="F138" s="155"/>
      <c r="G138" s="150"/>
      <c r="H138" s="156"/>
      <c r="I138" s="157"/>
      <c r="J138" s="154"/>
      <c r="K138" s="154"/>
      <c r="L138" s="159"/>
    </row>
    <row r="139" spans="1:12" ht="23.25" thickTop="1" thickBot="1">
      <c r="A139" s="150"/>
      <c r="B139" s="151"/>
      <c r="C139" s="150"/>
      <c r="D139" s="153"/>
      <c r="E139" s="154"/>
      <c r="F139" s="155"/>
      <c r="G139" s="150"/>
      <c r="H139" s="156"/>
      <c r="I139" s="157"/>
      <c r="J139" s="154"/>
      <c r="K139" s="154"/>
      <c r="L139" s="159"/>
    </row>
    <row r="140" spans="1:12" ht="23.25" thickTop="1" thickBot="1">
      <c r="A140" s="150"/>
      <c r="B140" s="151"/>
      <c r="C140" s="150"/>
      <c r="D140" s="153"/>
      <c r="E140" s="154"/>
      <c r="F140" s="155"/>
      <c r="G140" s="150"/>
      <c r="H140" s="156"/>
      <c r="I140" s="157"/>
      <c r="J140" s="154"/>
      <c r="K140" s="154"/>
      <c r="L140" s="159"/>
    </row>
    <row r="141" spans="1:12" ht="23.25" thickTop="1" thickBot="1">
      <c r="A141" s="150"/>
      <c r="B141" s="151"/>
      <c r="C141" s="150"/>
      <c r="D141" s="153"/>
      <c r="E141" s="154"/>
      <c r="F141" s="155"/>
      <c r="G141" s="150"/>
      <c r="H141" s="156"/>
      <c r="I141" s="157"/>
      <c r="J141" s="154"/>
      <c r="K141" s="154"/>
      <c r="L141" s="159"/>
    </row>
    <row r="142" spans="1:12" ht="23.25" thickTop="1" thickBot="1">
      <c r="A142" s="150"/>
      <c r="B142" s="151"/>
      <c r="C142" s="150"/>
      <c r="D142" s="153"/>
      <c r="E142" s="154"/>
      <c r="F142" s="155"/>
      <c r="G142" s="150"/>
      <c r="H142" s="156"/>
      <c r="I142" s="157"/>
      <c r="J142" s="154"/>
      <c r="K142" s="154"/>
      <c r="L142" s="159"/>
    </row>
    <row r="143" spans="1:12" ht="23.25" thickTop="1" thickBot="1">
      <c r="A143" s="150"/>
      <c r="B143" s="151"/>
      <c r="C143" s="150"/>
      <c r="D143" s="153"/>
      <c r="E143" s="154"/>
      <c r="F143" s="155"/>
      <c r="G143" s="150"/>
      <c r="H143" s="156"/>
      <c r="I143" s="157"/>
      <c r="J143" s="154"/>
      <c r="K143" s="154"/>
      <c r="L143" s="159"/>
    </row>
    <row r="144" spans="1:12" ht="23.25" thickTop="1" thickBot="1">
      <c r="A144" s="150"/>
      <c r="B144" s="151"/>
      <c r="C144" s="150"/>
      <c r="D144" s="153"/>
      <c r="E144" s="154"/>
      <c r="F144" s="155"/>
      <c r="G144" s="150"/>
      <c r="H144" s="156"/>
      <c r="I144" s="157"/>
      <c r="J144" s="154"/>
      <c r="K144" s="154"/>
      <c r="L144" s="159"/>
    </row>
    <row r="145" spans="1:12" ht="23.25" thickTop="1" thickBot="1">
      <c r="A145" s="150"/>
      <c r="B145" s="151"/>
      <c r="C145" s="150"/>
      <c r="D145" s="153"/>
      <c r="E145" s="154"/>
      <c r="F145" s="155"/>
      <c r="G145" s="150"/>
      <c r="H145" s="156"/>
      <c r="I145" s="157"/>
      <c r="J145" s="154"/>
      <c r="K145" s="154"/>
      <c r="L145" s="159"/>
    </row>
    <row r="146" spans="1:12" ht="23.25" thickTop="1" thickBot="1">
      <c r="A146" s="150"/>
      <c r="B146" s="151"/>
      <c r="C146" s="150"/>
      <c r="D146" s="153"/>
      <c r="E146" s="154"/>
      <c r="F146" s="155"/>
      <c r="G146" s="150"/>
      <c r="H146" s="156"/>
      <c r="I146" s="157"/>
      <c r="J146" s="154"/>
      <c r="K146" s="154"/>
      <c r="L146" s="159"/>
    </row>
    <row r="147" spans="1:12" ht="23.25" thickTop="1" thickBot="1">
      <c r="A147" s="150"/>
      <c r="B147" s="151"/>
      <c r="C147" s="150"/>
      <c r="D147" s="153"/>
      <c r="E147" s="154"/>
      <c r="F147" s="155"/>
      <c r="G147" s="150"/>
      <c r="H147" s="156"/>
      <c r="I147" s="157"/>
      <c r="J147" s="154"/>
      <c r="K147" s="154"/>
      <c r="L147" s="159"/>
    </row>
    <row r="148" spans="1:12" ht="23.25" thickTop="1" thickBot="1">
      <c r="A148" s="150"/>
      <c r="B148" s="151"/>
      <c r="C148" s="150"/>
      <c r="D148" s="153"/>
      <c r="E148" s="154"/>
      <c r="F148" s="155"/>
      <c r="G148" s="150"/>
      <c r="H148" s="156"/>
      <c r="I148" s="157"/>
      <c r="J148" s="154"/>
      <c r="K148" s="154"/>
      <c r="L148" s="159"/>
    </row>
    <row r="149" spans="1:12" ht="23.25" thickTop="1" thickBot="1">
      <c r="A149" s="150"/>
      <c r="B149" s="151"/>
      <c r="C149" s="150"/>
      <c r="D149" s="153"/>
      <c r="E149" s="154"/>
      <c r="F149" s="155"/>
      <c r="G149" s="150"/>
      <c r="H149" s="156"/>
      <c r="I149" s="157"/>
      <c r="J149" s="154"/>
      <c r="K149" s="154"/>
      <c r="L149" s="159"/>
    </row>
    <row r="150" spans="1:12" ht="23.25" thickTop="1" thickBot="1">
      <c r="A150" s="150"/>
      <c r="B150" s="151"/>
      <c r="C150" s="150"/>
      <c r="D150" s="153"/>
      <c r="E150" s="154"/>
      <c r="F150" s="155"/>
      <c r="G150" s="150"/>
      <c r="H150" s="156"/>
      <c r="I150" s="157"/>
      <c r="J150" s="154"/>
      <c r="K150" s="154"/>
      <c r="L150" s="159"/>
    </row>
    <row r="151" spans="1:12" ht="23.25" thickTop="1" thickBot="1">
      <c r="A151" s="150"/>
      <c r="B151" s="151"/>
      <c r="C151" s="150"/>
      <c r="D151" s="153"/>
      <c r="E151" s="154"/>
      <c r="F151" s="155"/>
      <c r="G151" s="150"/>
      <c r="H151" s="156"/>
      <c r="I151" s="157"/>
      <c r="J151" s="154"/>
      <c r="K151" s="154"/>
      <c r="L151" s="159"/>
    </row>
    <row r="152" spans="1:12" ht="23.25" thickTop="1" thickBot="1">
      <c r="A152" s="150"/>
      <c r="B152" s="151"/>
      <c r="C152" s="150"/>
      <c r="D152" s="153"/>
      <c r="E152" s="154"/>
      <c r="F152" s="155"/>
      <c r="G152" s="150"/>
      <c r="H152" s="156"/>
      <c r="I152" s="157"/>
      <c r="J152" s="154"/>
      <c r="K152" s="154"/>
      <c r="L152" s="159"/>
    </row>
    <row r="153" spans="1:12" ht="23.25" thickTop="1" thickBot="1">
      <c r="A153" s="150"/>
      <c r="B153" s="151"/>
      <c r="C153" s="150"/>
      <c r="D153" s="153"/>
      <c r="E153" s="154"/>
      <c r="F153" s="155"/>
      <c r="G153" s="150"/>
      <c r="H153" s="156"/>
      <c r="I153" s="157"/>
      <c r="J153" s="154"/>
      <c r="K153" s="154"/>
      <c r="L153" s="159"/>
    </row>
    <row r="154" spans="1:12" ht="23.25" thickTop="1" thickBot="1">
      <c r="A154" s="150"/>
      <c r="B154" s="151"/>
      <c r="C154" s="150"/>
      <c r="D154" s="153"/>
      <c r="E154" s="154"/>
      <c r="F154" s="155"/>
      <c r="G154" s="150"/>
      <c r="H154" s="156"/>
      <c r="I154" s="157"/>
      <c r="J154" s="154"/>
      <c r="K154" s="154"/>
      <c r="L154" s="159"/>
    </row>
    <row r="155" spans="1:12" ht="23.25" thickTop="1" thickBot="1">
      <c r="A155" s="150"/>
      <c r="B155" s="151"/>
      <c r="C155" s="150"/>
      <c r="D155" s="153"/>
      <c r="E155" s="154"/>
      <c r="F155" s="155"/>
      <c r="G155" s="150"/>
      <c r="H155" s="156"/>
      <c r="I155" s="157"/>
      <c r="J155" s="154"/>
      <c r="K155" s="154"/>
      <c r="L155" s="159"/>
    </row>
    <row r="156" spans="1:12" ht="23.25" thickTop="1" thickBot="1">
      <c r="A156" s="150"/>
      <c r="B156" s="151"/>
      <c r="C156" s="150"/>
      <c r="D156" s="153"/>
      <c r="E156" s="154"/>
      <c r="F156" s="155"/>
      <c r="G156" s="150"/>
      <c r="H156" s="156"/>
      <c r="I156" s="157"/>
      <c r="J156" s="154"/>
      <c r="K156" s="154"/>
      <c r="L156" s="159"/>
    </row>
    <row r="157" spans="1:12" ht="23.25" thickTop="1" thickBot="1">
      <c r="A157" s="150"/>
      <c r="B157" s="151"/>
      <c r="C157" s="150"/>
      <c r="D157" s="153"/>
      <c r="E157" s="154"/>
      <c r="F157" s="155"/>
      <c r="G157" s="150"/>
      <c r="H157" s="156"/>
      <c r="I157" s="157"/>
      <c r="J157" s="154"/>
      <c r="K157" s="154"/>
      <c r="L157" s="159"/>
    </row>
    <row r="158" spans="1:12" ht="23.25" thickTop="1" thickBot="1">
      <c r="A158" s="150"/>
      <c r="B158" s="151"/>
      <c r="C158" s="150"/>
      <c r="D158" s="153"/>
      <c r="E158" s="154"/>
      <c r="F158" s="155"/>
      <c r="G158" s="150"/>
      <c r="H158" s="156"/>
      <c r="I158" s="157"/>
      <c r="J158" s="154"/>
      <c r="K158" s="154"/>
      <c r="L158" s="159"/>
    </row>
    <row r="159" spans="1:12" ht="23.25" thickTop="1" thickBot="1">
      <c r="A159" s="150"/>
      <c r="B159" s="151"/>
      <c r="C159" s="150"/>
      <c r="D159" s="153"/>
      <c r="E159" s="154"/>
      <c r="F159" s="155"/>
      <c r="G159" s="150"/>
      <c r="H159" s="156"/>
      <c r="I159" s="157"/>
      <c r="J159" s="154"/>
      <c r="K159" s="154"/>
      <c r="L159" s="159"/>
    </row>
    <row r="160" spans="1:12" ht="23.25" thickTop="1" thickBot="1">
      <c r="A160" s="150"/>
      <c r="B160" s="151"/>
      <c r="C160" s="150"/>
      <c r="D160" s="153"/>
      <c r="E160" s="154"/>
      <c r="F160" s="155"/>
      <c r="G160" s="150"/>
      <c r="H160" s="156"/>
      <c r="I160" s="157"/>
      <c r="J160" s="154"/>
      <c r="K160" s="154"/>
      <c r="L160" s="159"/>
    </row>
    <row r="161" spans="1:12" ht="23.25" thickTop="1" thickBot="1">
      <c r="A161" s="150"/>
      <c r="B161" s="151"/>
      <c r="C161" s="150"/>
      <c r="D161" s="153"/>
      <c r="E161" s="154"/>
      <c r="F161" s="155"/>
      <c r="G161" s="150"/>
      <c r="H161" s="156"/>
      <c r="I161" s="157"/>
      <c r="J161" s="154"/>
      <c r="K161" s="154"/>
      <c r="L161" s="159"/>
    </row>
    <row r="162" spans="1:12" ht="23.25" thickTop="1" thickBot="1">
      <c r="A162" s="150"/>
      <c r="B162" s="151"/>
      <c r="C162" s="150"/>
      <c r="D162" s="153"/>
      <c r="E162" s="154"/>
      <c r="F162" s="155"/>
      <c r="G162" s="150"/>
      <c r="H162" s="156"/>
      <c r="I162" s="157"/>
      <c r="J162" s="154"/>
      <c r="K162" s="154"/>
      <c r="L162" s="159"/>
    </row>
    <row r="163" spans="1:12" ht="23.25" thickTop="1" thickBot="1">
      <c r="A163" s="150"/>
      <c r="B163" s="151"/>
      <c r="C163" s="150"/>
      <c r="D163" s="153"/>
      <c r="E163" s="154"/>
      <c r="F163" s="155"/>
      <c r="G163" s="150"/>
      <c r="H163" s="156"/>
      <c r="I163" s="157"/>
      <c r="J163" s="154"/>
      <c r="K163" s="154"/>
      <c r="L163" s="159"/>
    </row>
    <row r="164" spans="1:12" ht="23.25" thickTop="1" thickBot="1">
      <c r="A164" s="150"/>
      <c r="B164" s="151"/>
      <c r="C164" s="150"/>
      <c r="D164" s="153"/>
      <c r="E164" s="154"/>
      <c r="F164" s="155"/>
      <c r="G164" s="150"/>
      <c r="H164" s="156"/>
      <c r="I164" s="157"/>
      <c r="J164" s="154"/>
      <c r="K164" s="154"/>
      <c r="L164" s="159"/>
    </row>
    <row r="165" spans="1:12" ht="23.25" thickTop="1" thickBot="1">
      <c r="A165" s="150"/>
      <c r="B165" s="151"/>
      <c r="C165" s="150"/>
      <c r="D165" s="153"/>
      <c r="E165" s="154"/>
      <c r="F165" s="155"/>
      <c r="G165" s="150"/>
      <c r="H165" s="156"/>
      <c r="I165" s="157"/>
      <c r="J165" s="154"/>
      <c r="K165" s="154"/>
      <c r="L165" s="159"/>
    </row>
    <row r="166" spans="1:12" ht="23.25" thickTop="1" thickBot="1">
      <c r="A166" s="150"/>
      <c r="B166" s="151"/>
      <c r="C166" s="150"/>
      <c r="D166" s="153"/>
      <c r="E166" s="154"/>
      <c r="F166" s="155"/>
      <c r="G166" s="150"/>
      <c r="H166" s="156"/>
      <c r="I166" s="157"/>
      <c r="J166" s="154"/>
      <c r="K166" s="154"/>
      <c r="L166" s="159"/>
    </row>
    <row r="167" spans="1:12" ht="23.25" thickTop="1" thickBot="1">
      <c r="A167" s="150"/>
      <c r="B167" s="151"/>
      <c r="C167" s="150"/>
      <c r="D167" s="153"/>
      <c r="E167" s="154"/>
      <c r="F167" s="155"/>
      <c r="G167" s="150"/>
      <c r="H167" s="156"/>
      <c r="I167" s="157"/>
      <c r="J167" s="154"/>
      <c r="K167" s="154"/>
      <c r="L167" s="159"/>
    </row>
    <row r="168" spans="1:12" ht="23.25" thickTop="1" thickBot="1">
      <c r="A168" s="150"/>
      <c r="B168" s="151"/>
      <c r="C168" s="150"/>
      <c r="D168" s="153"/>
      <c r="E168" s="154"/>
      <c r="F168" s="155"/>
      <c r="G168" s="150"/>
      <c r="H168" s="156"/>
      <c r="I168" s="157"/>
      <c r="J168" s="154"/>
      <c r="K168" s="154"/>
      <c r="L168" s="159"/>
    </row>
    <row r="169" spans="1:12" ht="23.25" thickTop="1" thickBot="1">
      <c r="A169" s="150"/>
      <c r="B169" s="151"/>
      <c r="C169" s="150"/>
      <c r="D169" s="153"/>
      <c r="E169" s="154"/>
      <c r="F169" s="155"/>
      <c r="G169" s="150"/>
      <c r="H169" s="156"/>
      <c r="I169" s="157"/>
      <c r="J169" s="154"/>
      <c r="K169" s="154"/>
      <c r="L169" s="159"/>
    </row>
    <row r="170" spans="1:12" ht="23.25" thickTop="1" thickBot="1">
      <c r="A170" s="150"/>
      <c r="B170" s="151"/>
      <c r="C170" s="150"/>
      <c r="D170" s="153"/>
      <c r="E170" s="154"/>
      <c r="F170" s="155"/>
      <c r="G170" s="150"/>
      <c r="H170" s="156"/>
      <c r="I170" s="157"/>
      <c r="J170" s="154"/>
      <c r="K170" s="154"/>
      <c r="L170" s="159"/>
    </row>
    <row r="171" spans="1:12" ht="23.25" thickTop="1" thickBot="1">
      <c r="A171" s="150"/>
      <c r="B171" s="151"/>
      <c r="C171" s="150"/>
      <c r="D171" s="153"/>
      <c r="E171" s="154"/>
      <c r="F171" s="155"/>
      <c r="G171" s="150"/>
      <c r="H171" s="156"/>
      <c r="I171" s="157"/>
      <c r="J171" s="154"/>
      <c r="K171" s="154"/>
      <c r="L171" s="159"/>
    </row>
    <row r="172" spans="1:12" ht="23.25" thickTop="1" thickBot="1">
      <c r="A172" s="150"/>
      <c r="B172" s="151"/>
      <c r="C172" s="150"/>
      <c r="D172" s="153"/>
      <c r="E172" s="154"/>
      <c r="F172" s="155"/>
      <c r="G172" s="150"/>
      <c r="H172" s="156"/>
      <c r="I172" s="157"/>
      <c r="J172" s="154"/>
      <c r="K172" s="154"/>
      <c r="L172" s="159"/>
    </row>
    <row r="173" spans="1:12" ht="23.25" thickTop="1" thickBot="1">
      <c r="A173" s="150"/>
      <c r="B173" s="151"/>
      <c r="C173" s="150"/>
      <c r="D173" s="153"/>
      <c r="E173" s="154"/>
      <c r="F173" s="155"/>
      <c r="G173" s="150"/>
      <c r="H173" s="156"/>
      <c r="I173" s="157"/>
      <c r="J173" s="154"/>
      <c r="K173" s="154"/>
      <c r="L173" s="159"/>
    </row>
    <row r="174" spans="1:12" ht="23.25" thickTop="1" thickBot="1">
      <c r="A174" s="150"/>
      <c r="B174" s="151"/>
      <c r="C174" s="150"/>
      <c r="D174" s="153"/>
      <c r="E174" s="154"/>
      <c r="F174" s="155"/>
      <c r="G174" s="150"/>
      <c r="H174" s="156"/>
      <c r="I174" s="157"/>
      <c r="J174" s="154"/>
      <c r="K174" s="154"/>
      <c r="L174" s="159"/>
    </row>
    <row r="175" spans="1:12" ht="23.25" thickTop="1" thickBot="1">
      <c r="A175" s="150"/>
      <c r="B175" s="151"/>
      <c r="C175" s="150"/>
      <c r="D175" s="153"/>
      <c r="E175" s="154"/>
      <c r="F175" s="155"/>
      <c r="G175" s="150"/>
      <c r="H175" s="156"/>
      <c r="I175" s="157"/>
      <c r="J175" s="154"/>
      <c r="K175" s="154"/>
      <c r="L175" s="159"/>
    </row>
    <row r="176" spans="1:12" ht="23.25" thickTop="1" thickBot="1">
      <c r="A176" s="150"/>
      <c r="B176" s="151"/>
      <c r="C176" s="150"/>
      <c r="D176" s="153"/>
      <c r="E176" s="154"/>
      <c r="F176" s="155"/>
      <c r="G176" s="150"/>
      <c r="H176" s="156"/>
      <c r="I176" s="157"/>
      <c r="J176" s="154"/>
      <c r="K176" s="154"/>
      <c r="L176" s="159"/>
    </row>
    <row r="177" spans="1:12" ht="23.25" thickTop="1" thickBot="1">
      <c r="A177" s="150"/>
      <c r="B177" s="151"/>
      <c r="C177" s="150"/>
      <c r="D177" s="153"/>
      <c r="E177" s="154"/>
      <c r="F177" s="155"/>
      <c r="G177" s="150"/>
      <c r="H177" s="156"/>
      <c r="I177" s="157"/>
      <c r="J177" s="154"/>
      <c r="K177" s="154"/>
      <c r="L177" s="159"/>
    </row>
    <row r="178" spans="1:12" ht="23.25" thickTop="1" thickBot="1">
      <c r="A178" s="150"/>
      <c r="B178" s="151"/>
      <c r="C178" s="150"/>
      <c r="D178" s="153"/>
      <c r="E178" s="154"/>
      <c r="F178" s="155"/>
      <c r="G178" s="150"/>
      <c r="H178" s="156"/>
      <c r="I178" s="157"/>
      <c r="J178" s="154"/>
      <c r="K178" s="154"/>
      <c r="L178" s="159"/>
    </row>
    <row r="179" spans="1:12" ht="23.25" thickTop="1" thickBot="1">
      <c r="A179" s="150"/>
      <c r="B179" s="151"/>
      <c r="C179" s="150"/>
      <c r="D179" s="153"/>
      <c r="E179" s="154"/>
      <c r="F179" s="155"/>
      <c r="G179" s="150"/>
      <c r="H179" s="156"/>
      <c r="I179" s="157"/>
      <c r="J179" s="154"/>
      <c r="K179" s="154"/>
      <c r="L179" s="159"/>
    </row>
    <row r="180" spans="1:12" ht="23.25" thickTop="1" thickBot="1">
      <c r="A180" s="150"/>
      <c r="B180" s="151"/>
      <c r="C180" s="150"/>
      <c r="D180" s="153"/>
      <c r="E180" s="154"/>
      <c r="F180" s="155"/>
      <c r="G180" s="150"/>
      <c r="H180" s="156"/>
      <c r="I180" s="157"/>
      <c r="J180" s="154"/>
      <c r="K180" s="154"/>
      <c r="L180" s="159"/>
    </row>
    <row r="181" spans="1:12" ht="23.25" thickTop="1" thickBot="1">
      <c r="A181" s="150"/>
      <c r="B181" s="152"/>
      <c r="C181" s="150"/>
      <c r="D181" s="153"/>
      <c r="E181" s="154"/>
      <c r="F181" s="155"/>
      <c r="G181" s="150"/>
      <c r="H181" s="156"/>
      <c r="I181" s="158"/>
      <c r="J181" s="154"/>
      <c r="K181" s="154"/>
      <c r="L181" s="159"/>
    </row>
    <row r="182" spans="1:12" ht="23.25" thickTop="1" thickBot="1">
      <c r="A182" s="150"/>
      <c r="B182" s="151"/>
      <c r="C182" s="150"/>
      <c r="D182" s="153"/>
      <c r="E182" s="154"/>
      <c r="F182" s="155"/>
      <c r="G182" s="150"/>
      <c r="H182" s="156"/>
      <c r="I182" s="157"/>
      <c r="J182" s="154"/>
      <c r="K182" s="154"/>
      <c r="L182" s="159"/>
    </row>
    <row r="183" spans="1:12" ht="23.25" thickTop="1" thickBot="1">
      <c r="A183" s="150"/>
      <c r="B183" s="151"/>
      <c r="C183" s="150"/>
      <c r="D183" s="153"/>
      <c r="E183" s="154"/>
      <c r="F183" s="155"/>
      <c r="G183" s="150"/>
      <c r="H183" s="156"/>
      <c r="I183" s="157"/>
      <c r="J183" s="154"/>
      <c r="K183" s="154"/>
      <c r="L183" s="159"/>
    </row>
    <row r="184" spans="1:12" ht="23.25" thickTop="1" thickBot="1">
      <c r="A184" s="150"/>
      <c r="B184" s="151"/>
      <c r="C184" s="150"/>
      <c r="D184" s="153"/>
      <c r="E184" s="154"/>
      <c r="F184" s="155"/>
      <c r="G184" s="150"/>
      <c r="H184" s="156"/>
      <c r="I184" s="157"/>
      <c r="J184" s="154"/>
      <c r="K184" s="154"/>
      <c r="L184" s="159"/>
    </row>
    <row r="185" spans="1:12" ht="23.25" thickTop="1" thickBot="1">
      <c r="A185" s="150"/>
      <c r="B185" s="151"/>
      <c r="C185" s="150"/>
      <c r="D185" s="153"/>
      <c r="E185" s="154"/>
      <c r="F185" s="155"/>
      <c r="G185" s="150"/>
      <c r="H185" s="156"/>
      <c r="I185" s="157"/>
      <c r="J185" s="154"/>
      <c r="K185" s="154"/>
      <c r="L185" s="159"/>
    </row>
    <row r="186" spans="1:12" ht="23.25" thickTop="1" thickBot="1">
      <c r="A186" s="150"/>
      <c r="B186" s="151"/>
      <c r="C186" s="150"/>
      <c r="D186" s="153"/>
      <c r="E186" s="154"/>
      <c r="F186" s="155"/>
      <c r="G186" s="150"/>
      <c r="H186" s="156"/>
      <c r="I186" s="157"/>
      <c r="J186" s="154"/>
      <c r="K186" s="154"/>
      <c r="L186" s="159"/>
    </row>
    <row r="187" spans="1:12" ht="23.25" thickTop="1" thickBot="1">
      <c r="A187" s="150"/>
      <c r="B187" s="151"/>
      <c r="C187" s="150"/>
      <c r="D187" s="153"/>
      <c r="E187" s="154"/>
      <c r="F187" s="155"/>
      <c r="G187" s="150"/>
      <c r="H187" s="156"/>
      <c r="I187" s="157"/>
      <c r="J187" s="154"/>
      <c r="K187" s="154"/>
      <c r="L187" s="159"/>
    </row>
    <row r="188" spans="1:12" ht="23.25" thickTop="1" thickBot="1">
      <c r="A188" s="150"/>
      <c r="B188" s="151"/>
      <c r="C188" s="150"/>
      <c r="D188" s="153"/>
      <c r="E188" s="154"/>
      <c r="F188" s="155"/>
      <c r="G188" s="150"/>
      <c r="H188" s="156"/>
      <c r="I188" s="157"/>
      <c r="J188" s="154"/>
      <c r="K188" s="154"/>
      <c r="L188" s="159"/>
    </row>
    <row r="189" spans="1:12" ht="23.25" thickTop="1" thickBot="1">
      <c r="A189" s="150"/>
      <c r="B189" s="151"/>
      <c r="C189" s="150"/>
      <c r="D189" s="153"/>
      <c r="E189" s="154"/>
      <c r="F189" s="155"/>
      <c r="G189" s="150"/>
      <c r="H189" s="156"/>
      <c r="I189" s="157"/>
      <c r="J189" s="154"/>
      <c r="K189" s="154"/>
      <c r="L189" s="159"/>
    </row>
    <row r="190" spans="1:12" ht="23.25" thickTop="1" thickBot="1">
      <c r="A190" s="150"/>
      <c r="B190" s="152"/>
      <c r="C190" s="150"/>
      <c r="D190" s="153"/>
      <c r="E190" s="154"/>
      <c r="F190" s="155"/>
      <c r="G190" s="150"/>
      <c r="H190" s="156"/>
      <c r="I190" s="158"/>
      <c r="J190" s="154"/>
      <c r="K190" s="154"/>
      <c r="L190" s="159"/>
    </row>
    <row r="191" spans="1:12" ht="23.25" thickTop="1" thickBot="1">
      <c r="A191" s="20"/>
      <c r="B191" s="20"/>
      <c r="C191" s="20"/>
      <c r="D191" s="21"/>
      <c r="E191" s="22"/>
      <c r="F191" s="23"/>
      <c r="G191" s="24"/>
      <c r="H191" s="25"/>
      <c r="I191" s="25"/>
      <c r="J191" s="22"/>
      <c r="K191" s="22"/>
      <c r="L191" s="136"/>
    </row>
    <row r="192" spans="1:12" ht="23.25" thickTop="1" thickBot="1">
      <c r="A192" s="20"/>
      <c r="B192" s="20"/>
      <c r="C192" s="20"/>
      <c r="D192" s="21"/>
      <c r="E192" s="22"/>
      <c r="F192" s="23"/>
      <c r="G192" s="24"/>
      <c r="H192" s="25"/>
      <c r="I192" s="25"/>
      <c r="J192" s="22"/>
      <c r="K192" s="22"/>
      <c r="L192" s="136"/>
    </row>
    <row r="193" spans="1:12" ht="23.25" thickTop="1" thickBot="1">
      <c r="A193" s="20"/>
      <c r="B193" s="20"/>
      <c r="C193" s="20"/>
      <c r="D193" s="21"/>
      <c r="E193" s="22"/>
      <c r="F193" s="23"/>
      <c r="G193" s="24"/>
      <c r="H193" s="25"/>
      <c r="I193" s="25"/>
      <c r="J193" s="22"/>
      <c r="K193" s="22"/>
      <c r="L193" s="136"/>
    </row>
    <row r="194" spans="1:12" ht="23.25" thickTop="1" thickBot="1">
      <c r="A194" s="20"/>
      <c r="B194" s="20"/>
      <c r="C194" s="20"/>
      <c r="D194" s="21"/>
      <c r="E194" s="22"/>
      <c r="F194" s="23"/>
      <c r="G194" s="24"/>
      <c r="H194" s="25"/>
      <c r="I194" s="25"/>
      <c r="J194" s="22"/>
      <c r="K194" s="22"/>
      <c r="L194" s="136"/>
    </row>
    <row r="195" spans="1:12" ht="23.25" thickTop="1" thickBot="1">
      <c r="A195" s="150"/>
      <c r="B195" s="152"/>
      <c r="C195" s="150"/>
      <c r="D195" s="153"/>
      <c r="E195" s="154"/>
      <c r="F195" s="155"/>
      <c r="G195" s="150"/>
      <c r="H195" s="156"/>
      <c r="I195" s="158"/>
      <c r="J195" s="154"/>
      <c r="K195" s="154"/>
      <c r="L195" s="159"/>
    </row>
    <row r="196" spans="1:12" ht="18.75" customHeight="1" thickTop="1" thickBot="1">
      <c r="A196" s="76"/>
      <c r="B196" s="76"/>
      <c r="C196" s="76"/>
      <c r="D196" s="76"/>
      <c r="E196" s="76"/>
      <c r="F196" s="76"/>
      <c r="G196" s="76"/>
      <c r="H196" s="76"/>
      <c r="I196" s="76"/>
      <c r="J196" s="76"/>
      <c r="K196" s="76"/>
      <c r="L196" s="137">
        <f>SUBTOTAL(109,L3:L194)</f>
        <v>253070723.40799999</v>
      </c>
    </row>
    <row r="197" spans="1:12" ht="15.75" thickTop="1"/>
    <row r="206" spans="1:12">
      <c r="I206" s="33" t="s">
        <v>168</v>
      </c>
    </row>
  </sheetData>
  <sheetProtection algorithmName="SHA-512" hashValue="ooJawAvewVV4XvZL8NfgMvCdYU08O5QKcCwiPx5h/xReyILw82F8jNfAmZgz2DIvtRO8SOp9Yjt/nEJbqQlzbA==" saltValue="L7USfGVGwOc7Bx7yWJ+31g==" spinCount="100000" sheet="1" objects="1" scenarios="1" insertColumns="0" insertRows="0" autoFilter="0"/>
  <mergeCells count="1">
    <mergeCell ref="A1:L1"/>
  </mergeCells>
  <dataValidations count="3">
    <dataValidation type="custom" allowBlank="1" showInputMessage="1" showErrorMessage="1" error=" الخلية لا تقبل نص " prompt="ملاحظة: الادخال ارقام" sqref="D3:D195" xr:uid="{081FDE16-A77E-4F45-8D1A-A558D9CB1EC8}">
      <formula1>ISNUMBER(D3)</formula1>
    </dataValidation>
    <dataValidation type="date" allowBlank="1" showInputMessage="1" showErrorMessage="1" error=" الخلية لا تقبل نص او ارقام" prompt="مثال على الادخال : mm/dd/yyyy" sqref="J3:K195 E3:E195" xr:uid="{D3E3C365-9C35-4C1F-911F-976F45ECE8E4}">
      <formula1>42370</formula1>
      <formula2>51136</formula2>
    </dataValidation>
    <dataValidation type="custom" operator="notEqual" allowBlank="1" showInputMessage="1" showErrorMessage="1" error=" الخلية لا تقبل نص " prompt="ملاحظة: ادخال ارقام" sqref="L3:L195" xr:uid="{E7E33C64-EE90-4991-822D-155185A54360}">
      <formula1>ISNUMBER(L3)</formula1>
    </dataValidation>
  </dataValidations>
  <pageMargins left="0.23622047244094488" right="0.23622047244094488" top="1.1417322834645669" bottom="0.94488188976377951" header="0.31496062992125984" footer="0.31496062992125984"/>
  <pageSetup paperSize="9" scale="44" fitToHeight="0" orientation="landscape" r:id="rId1"/>
  <headerFooter>
    <oddHeader>&amp;C&amp;"Calibri,Bold"&amp;10&amp;K139119&amp;G</oddHeader>
    <oddFooter>&amp;C&amp;G</oddFooter>
  </headerFooter>
  <legacyDrawingHF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3D42E4A1-F6EA-4700-914C-9FB2EE062370}">
          <x14:formula1>
            <xm:f>Sheet1!$D$7:$D$11</xm:f>
          </x14:formula1>
          <xm:sqref>C3:C195</xm:sqref>
        </x14:dataValidation>
        <x14:dataValidation type="list" allowBlank="1" showInputMessage="1" showErrorMessage="1" xr:uid="{E120C939-6FB4-4D47-B298-5AD720E66BFC}">
          <x14:formula1>
            <xm:f>Sheet1!$F$7:$F$14</xm:f>
          </x14:formula1>
          <xm:sqref>G3:G195</xm:sqref>
        </x14:dataValidation>
        <x14:dataValidation type="list" allowBlank="1" showInputMessage="1" showErrorMessage="1" xr:uid="{BAC71B13-24A0-4F3C-993E-1F78BA36861B}">
          <x14:formula1>
            <xm:f>Sheet1!$R$8:$R$9</xm:f>
          </x14:formula1>
          <xm:sqref>I3:I195</xm:sqref>
        </x14:dataValidation>
        <x14:dataValidation type="list" allowBlank="1" showInputMessage="1" showErrorMessage="1" xr:uid="{E15644E8-1BA5-4EEE-9DEA-9BDD60DD0835}">
          <x14:formula1>
            <xm:f>Sheet1!$H$7:$H$9</xm:f>
          </x14:formula1>
          <xm:sqref>B3:B195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9A08E-34CB-4FFA-9756-07D3E5F372AC}">
  <sheetPr codeName="Sheet3"/>
  <dimension ref="A6:U20"/>
  <sheetViews>
    <sheetView rightToLeft="1" workbookViewId="0">
      <selection activeCell="L9" sqref="L9"/>
    </sheetView>
  </sheetViews>
  <sheetFormatPr defaultRowHeight="15"/>
  <cols>
    <col min="4" max="4" width="19.28515625" bestFit="1" customWidth="1"/>
    <col min="6" max="6" width="16.42578125" bestFit="1" customWidth="1"/>
    <col min="8" max="8" width="18.5703125" bestFit="1" customWidth="1"/>
    <col min="10" max="10" width="8.5703125" bestFit="1" customWidth="1"/>
    <col min="15" max="15" width="16.85546875" bestFit="1" customWidth="1"/>
  </cols>
  <sheetData>
    <row r="6" spans="1:21" ht="22.5" thickBot="1">
      <c r="A6" s="4" t="s">
        <v>148</v>
      </c>
      <c r="D6" s="2" t="s">
        <v>125</v>
      </c>
      <c r="F6" s="4" t="s">
        <v>101</v>
      </c>
      <c r="H6" s="13" t="s">
        <v>181</v>
      </c>
    </row>
    <row r="7" spans="1:21" ht="110.25" thickTop="1" thickBot="1">
      <c r="A7" s="5" t="s">
        <v>149</v>
      </c>
      <c r="D7" s="3" t="s">
        <v>126</v>
      </c>
      <c r="F7" s="5" t="s">
        <v>102</v>
      </c>
      <c r="H7" t="s">
        <v>185</v>
      </c>
      <c r="J7" s="4" t="s">
        <v>136</v>
      </c>
      <c r="K7" s="4" t="s">
        <v>137</v>
      </c>
      <c r="L7" s="4" t="s">
        <v>138</v>
      </c>
      <c r="O7" s="12" t="s">
        <v>153</v>
      </c>
      <c r="R7" s="12" t="s">
        <v>167</v>
      </c>
      <c r="T7" s="12" t="s">
        <v>171</v>
      </c>
      <c r="U7" s="12" t="s">
        <v>172</v>
      </c>
    </row>
    <row r="8" spans="1:21" ht="23.25" thickTop="1" thickBot="1">
      <c r="A8" s="5" t="s">
        <v>150</v>
      </c>
      <c r="D8" s="3" t="s">
        <v>127</v>
      </c>
      <c r="F8" s="5" t="s">
        <v>103</v>
      </c>
      <c r="H8" t="s">
        <v>186</v>
      </c>
      <c r="J8" s="141">
        <f>'(1) البيانات الاساسية'!D9-'(3) العمليات المالية'!B9</f>
        <v>-40197230.99999997</v>
      </c>
      <c r="K8" s="11">
        <f>J8*20%</f>
        <v>-8039446.1999999946</v>
      </c>
      <c r="L8" s="11">
        <f>'(4) وحدات المشروع'!F51*4%</f>
        <v>10183458.165599998</v>
      </c>
      <c r="O8" s="5" t="s">
        <v>155</v>
      </c>
      <c r="R8" s="5" t="s">
        <v>168</v>
      </c>
      <c r="T8" s="5">
        <f>'(3) العمليات المالية'!D9*4%</f>
        <v>11465199.023599999</v>
      </c>
      <c r="U8" s="5">
        <f>('(1) البيانات الاساسية'!D9*5%)</f>
        <v>9057885.4000000004</v>
      </c>
    </row>
    <row r="9" spans="1:21" ht="23.25" thickTop="1" thickBot="1">
      <c r="A9" s="5" t="s">
        <v>151</v>
      </c>
      <c r="D9" s="3" t="s">
        <v>128</v>
      </c>
      <c r="F9" s="5" t="s">
        <v>104</v>
      </c>
      <c r="H9" t="s">
        <v>174</v>
      </c>
      <c r="O9" s="5" t="s">
        <v>156</v>
      </c>
      <c r="R9" s="5" t="s">
        <v>169</v>
      </c>
    </row>
    <row r="10" spans="1:21" ht="23.25" thickTop="1" thickBot="1">
      <c r="A10" s="5" t="s">
        <v>152</v>
      </c>
      <c r="D10" s="3" t="s">
        <v>129</v>
      </c>
      <c r="F10" s="5" t="s">
        <v>106</v>
      </c>
      <c r="O10" s="5" t="s">
        <v>157</v>
      </c>
    </row>
    <row r="11" spans="1:21" ht="23.25" thickTop="1" thickBot="1">
      <c r="D11" s="6" t="s">
        <v>130</v>
      </c>
      <c r="F11" s="5" t="s">
        <v>107</v>
      </c>
      <c r="O11" s="5" t="s">
        <v>158</v>
      </c>
    </row>
    <row r="12" spans="1:21" ht="23.25" thickTop="1" thickBot="1">
      <c r="F12" s="5" t="s">
        <v>76</v>
      </c>
      <c r="O12" s="5" t="s">
        <v>154</v>
      </c>
    </row>
    <row r="13" spans="1:21" ht="23.25" thickTop="1" thickBot="1">
      <c r="F13" s="5" t="s">
        <v>68</v>
      </c>
      <c r="O13" s="5" t="s">
        <v>159</v>
      </c>
    </row>
    <row r="14" spans="1:21" ht="66.75" thickTop="1" thickBot="1">
      <c r="F14" s="7" t="s">
        <v>131</v>
      </c>
      <c r="O14" s="5" t="s">
        <v>160</v>
      </c>
    </row>
    <row r="15" spans="1:21" ht="23.25" thickTop="1" thickBot="1">
      <c r="O15" s="5" t="s">
        <v>161</v>
      </c>
    </row>
    <row r="16" spans="1:21" ht="23.25" thickTop="1" thickBot="1">
      <c r="O16" s="5" t="s">
        <v>162</v>
      </c>
    </row>
    <row r="17" spans="15:15" ht="23.25" thickTop="1" thickBot="1">
      <c r="O17" s="5" t="s">
        <v>163</v>
      </c>
    </row>
    <row r="18" spans="15:15" ht="23.25" thickTop="1" thickBot="1">
      <c r="O18" s="5" t="s">
        <v>164</v>
      </c>
    </row>
    <row r="19" spans="15:15" ht="23.25" thickTop="1" thickBot="1">
      <c r="O19" s="5" t="s">
        <v>165</v>
      </c>
    </row>
    <row r="20" spans="15:15" ht="15.75" thickTop="1"/>
  </sheetData>
  <sheetProtection algorithmName="SHA-512" hashValue="Ae1ifKDMQVC4BaMgt0hZBWrmhSypyoqVvSfMhyKAPA8RYKVSScBYAdH3n7e4ohUAofqmLfeouuUsO6tGbqNAzw==" saltValue="fX/Gf6R7psPM/07baI/J7A==" spinCount="100000" sheet="1" objects="1" scenarios="1"/>
  <phoneticPr fontId="19" type="noConversion"/>
  <pageMargins left="0.7" right="0.7" top="0.75" bottom="0.75" header="0.3" footer="0.3"/>
  <pageSetup orientation="portrait" r:id="rId1"/>
  <headerFooter>
    <oddHeader>&amp;C&amp;K139119&amp;10&amp;"Calibri"&amp;BPublic - عام&amp;B
&amp;K139119&amp;10&amp;"Calibri"&amp;BPublic - عام&amp;B
&amp;K139119&amp;10&amp;"Calibri"&amp;BPublic - عام&amp;B
&amp;K139119&amp;10&amp;"Calibri"&amp;BPublic - عام&amp;B
&amp;K139119&amp;10&amp;"Calibri"&amp;BPublic - عام&amp;B</oddHead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033CB-6C03-4DFF-ACF6-C1E746F101E6}">
  <sheetPr codeName="Sheet4">
    <pageSetUpPr fitToPage="1"/>
  </sheetPr>
  <dimension ref="A4:P46"/>
  <sheetViews>
    <sheetView showGridLines="0" rightToLeft="1" view="pageBreakPreview" zoomScale="55" zoomScaleNormal="49" zoomScaleSheetLayoutView="55" workbookViewId="0">
      <selection activeCell="I28" sqref="I28:I33"/>
    </sheetView>
  </sheetViews>
  <sheetFormatPr defaultColWidth="27.5703125" defaultRowHeight="15"/>
  <cols>
    <col min="1" max="1" width="31.28515625" style="33" customWidth="1"/>
    <col min="2" max="3" width="27.5703125" style="33" customWidth="1"/>
    <col min="4" max="4" width="25.28515625" style="33" customWidth="1"/>
    <col min="5" max="5" width="3.7109375" style="33" customWidth="1"/>
    <col min="6" max="9" width="27.5703125" style="33"/>
    <col min="10" max="10" width="6" style="33" customWidth="1"/>
    <col min="11" max="16384" width="27.5703125" style="33"/>
  </cols>
  <sheetData>
    <row r="4" spans="1:16" ht="15.75" thickBot="1"/>
    <row r="5" spans="1:16" ht="23.25" thickTop="1" thickBot="1">
      <c r="A5" s="169" t="s">
        <v>62</v>
      </c>
      <c r="B5" s="170"/>
      <c r="C5" s="167">
        <v>48987476.539999999</v>
      </c>
      <c r="D5" s="168"/>
      <c r="E5" s="49"/>
      <c r="F5" s="49"/>
      <c r="G5" s="49"/>
      <c r="H5" s="49"/>
      <c r="I5" s="49"/>
      <c r="J5" s="49"/>
    </row>
    <row r="6" spans="1:16" ht="20.25" thickTop="1" thickBot="1">
      <c r="A6" s="49"/>
      <c r="B6" s="49"/>
      <c r="C6" s="49"/>
      <c r="D6" s="49"/>
      <c r="E6" s="49"/>
      <c r="F6" s="49"/>
      <c r="G6" s="49"/>
      <c r="H6" s="49"/>
      <c r="I6" s="49"/>
      <c r="J6" s="49"/>
    </row>
    <row r="7" spans="1:16" ht="22.5" thickTop="1">
      <c r="A7" s="164" t="s">
        <v>38</v>
      </c>
      <c r="B7" s="165"/>
      <c r="C7" s="165"/>
      <c r="D7" s="166"/>
      <c r="E7" s="49"/>
      <c r="F7" s="164" t="s">
        <v>39</v>
      </c>
      <c r="G7" s="165"/>
      <c r="H7" s="165"/>
      <c r="I7" s="166"/>
      <c r="J7" s="49"/>
    </row>
    <row r="8" spans="1:16" ht="22.5" thickBot="1">
      <c r="A8" s="48" t="s">
        <v>25</v>
      </c>
      <c r="B8" s="48" t="s">
        <v>24</v>
      </c>
      <c r="C8" s="48" t="s">
        <v>26</v>
      </c>
      <c r="D8" s="48" t="s">
        <v>132</v>
      </c>
      <c r="E8" s="49"/>
      <c r="F8" s="48" t="s">
        <v>25</v>
      </c>
      <c r="G8" s="48" t="s">
        <v>24</v>
      </c>
      <c r="H8" s="48" t="s">
        <v>26</v>
      </c>
      <c r="I8" s="48" t="s">
        <v>132</v>
      </c>
      <c r="J8" s="49"/>
    </row>
    <row r="9" spans="1:16" ht="23.25" thickTop="1" thickBot="1">
      <c r="A9" s="44" t="s">
        <v>33</v>
      </c>
      <c r="B9" s="126">
        <v>221354938.99999997</v>
      </c>
      <c r="C9" s="43" t="s">
        <v>27</v>
      </c>
      <c r="D9" s="126">
        <v>286629975.58999997</v>
      </c>
      <c r="E9" s="49"/>
      <c r="F9" s="44" t="s">
        <v>33</v>
      </c>
      <c r="G9" s="126">
        <v>35864882.899999999</v>
      </c>
      <c r="H9" s="43" t="s">
        <v>27</v>
      </c>
      <c r="I9" s="126">
        <v>32043510.52</v>
      </c>
      <c r="J9" s="49"/>
      <c r="L9" s="161"/>
      <c r="P9" s="161"/>
    </row>
    <row r="10" spans="1:16" ht="45" thickTop="1" thickBot="1">
      <c r="A10" s="44" t="s">
        <v>182</v>
      </c>
      <c r="B10" s="126">
        <v>0</v>
      </c>
      <c r="C10" s="43" t="s">
        <v>28</v>
      </c>
      <c r="D10" s="126">
        <v>0</v>
      </c>
      <c r="E10" s="49"/>
      <c r="F10" s="44" t="s">
        <v>183</v>
      </c>
      <c r="G10" s="126">
        <v>0</v>
      </c>
      <c r="H10" s="43" t="s">
        <v>28</v>
      </c>
      <c r="I10" s="126">
        <v>0</v>
      </c>
      <c r="J10" s="49"/>
    </row>
    <row r="11" spans="1:16" ht="23.25" thickTop="1" thickBot="1">
      <c r="A11" s="44" t="s">
        <v>34</v>
      </c>
      <c r="B11" s="126">
        <v>31715784.420000002</v>
      </c>
      <c r="C11" s="43" t="s">
        <v>29</v>
      </c>
      <c r="D11" s="126">
        <v>0</v>
      </c>
      <c r="E11" s="49"/>
      <c r="F11" s="44" t="s">
        <v>34</v>
      </c>
      <c r="G11" s="126">
        <v>2506851.9900000002</v>
      </c>
      <c r="H11" s="43" t="s">
        <v>29</v>
      </c>
      <c r="I11" s="126">
        <v>0</v>
      </c>
      <c r="J11" s="49"/>
      <c r="L11" s="161"/>
    </row>
    <row r="12" spans="1:16" ht="23.25" thickTop="1" thickBot="1">
      <c r="A12" s="44" t="s">
        <v>35</v>
      </c>
      <c r="B12" s="126">
        <v>0</v>
      </c>
      <c r="C12" s="43" t="s">
        <v>30</v>
      </c>
      <c r="D12" s="126"/>
      <c r="E12" s="49"/>
      <c r="F12" s="44" t="s">
        <v>35</v>
      </c>
      <c r="G12" s="126">
        <v>0</v>
      </c>
      <c r="H12" s="43" t="s">
        <v>30</v>
      </c>
      <c r="I12" s="126">
        <v>0</v>
      </c>
      <c r="J12" s="49"/>
    </row>
    <row r="13" spans="1:16" ht="23.25" thickTop="1" thickBot="1">
      <c r="A13" s="44" t="s">
        <v>36</v>
      </c>
      <c r="B13" s="126">
        <v>0</v>
      </c>
      <c r="C13" s="43" t="s">
        <v>211</v>
      </c>
      <c r="D13" s="126">
        <v>504747.8</v>
      </c>
      <c r="E13" s="49"/>
      <c r="F13" s="44" t="s">
        <v>36</v>
      </c>
      <c r="G13" s="126">
        <v>0</v>
      </c>
      <c r="H13" s="43" t="s">
        <v>211</v>
      </c>
      <c r="I13" s="126">
        <v>0</v>
      </c>
      <c r="J13" s="49"/>
      <c r="L13" s="160"/>
    </row>
    <row r="14" spans="1:16" ht="23.25" thickTop="1" thickBot="1">
      <c r="A14" s="44" t="s">
        <v>31</v>
      </c>
      <c r="B14" s="126">
        <v>504747.8</v>
      </c>
      <c r="C14" s="78" t="s">
        <v>207</v>
      </c>
      <c r="D14" s="126">
        <v>9100000</v>
      </c>
      <c r="E14" s="49"/>
      <c r="F14" s="44" t="s">
        <v>31</v>
      </c>
      <c r="G14" s="126">
        <v>0</v>
      </c>
      <c r="H14" s="78" t="s">
        <v>31</v>
      </c>
      <c r="I14" s="126">
        <v>0</v>
      </c>
      <c r="J14" s="49"/>
    </row>
    <row r="15" spans="1:16" ht="23.25" thickTop="1" thickBot="1">
      <c r="A15" s="50" t="s">
        <v>37</v>
      </c>
      <c r="B15" s="83">
        <f>SUM(B9:B14)</f>
        <v>253575471.21999997</v>
      </c>
      <c r="C15" s="78" t="s">
        <v>32</v>
      </c>
      <c r="D15" s="83">
        <f t="shared" ref="D15" si="0">SUM(D9:D14)</f>
        <v>296234723.38999999</v>
      </c>
      <c r="E15" s="49"/>
      <c r="F15" s="50" t="s">
        <v>37</v>
      </c>
      <c r="G15" s="83">
        <f>SUM(G9:G14)</f>
        <v>38371734.890000001</v>
      </c>
      <c r="H15" s="78" t="s">
        <v>32</v>
      </c>
      <c r="I15" s="83">
        <f>SUM(I9:I14)</f>
        <v>32043510.52</v>
      </c>
      <c r="J15" s="49"/>
      <c r="K15" s="161"/>
    </row>
    <row r="16" spans="1:16" ht="23.25" thickTop="1" thickBot="1">
      <c r="A16" s="52"/>
      <c r="B16" s="53"/>
      <c r="C16" s="52"/>
      <c r="D16" s="53"/>
      <c r="E16" s="49"/>
      <c r="F16" s="49"/>
      <c r="G16" s="49"/>
      <c r="H16" s="49"/>
      <c r="I16" s="49"/>
      <c r="J16" s="49"/>
      <c r="K16" s="161"/>
    </row>
    <row r="17" spans="1:12" ht="22.5" thickTop="1">
      <c r="A17" s="171" t="s">
        <v>79</v>
      </c>
      <c r="B17" s="172"/>
      <c r="C17" s="172"/>
      <c r="D17" s="173"/>
      <c r="E17" s="49"/>
      <c r="F17" s="164" t="s">
        <v>98</v>
      </c>
      <c r="G17" s="165"/>
      <c r="H17" s="165"/>
      <c r="I17" s="166"/>
      <c r="J17" s="49"/>
      <c r="K17" s="161"/>
      <c r="L17" s="161"/>
    </row>
    <row r="18" spans="1:12" ht="22.5" thickBot="1">
      <c r="A18" s="80" t="s">
        <v>40</v>
      </c>
      <c r="B18" s="84">
        <f>C5</f>
        <v>48987476.539999999</v>
      </c>
      <c r="C18" s="81" t="s">
        <v>41</v>
      </c>
      <c r="D18" s="85">
        <f>B18+I15-G15</f>
        <v>42659252.170000002</v>
      </c>
      <c r="E18" s="49"/>
      <c r="F18" s="48" t="s">
        <v>25</v>
      </c>
      <c r="G18" s="48" t="s">
        <v>24</v>
      </c>
      <c r="H18" s="48" t="s">
        <v>26</v>
      </c>
      <c r="I18" s="48" t="s">
        <v>132</v>
      </c>
      <c r="J18" s="49"/>
      <c r="K18" s="161"/>
    </row>
    <row r="19" spans="1:12" ht="23.25" thickTop="1" thickBot="1">
      <c r="E19" s="49"/>
      <c r="F19" s="44" t="s">
        <v>33</v>
      </c>
      <c r="G19" s="126">
        <v>0</v>
      </c>
      <c r="H19" s="43" t="s">
        <v>27</v>
      </c>
      <c r="I19" s="126">
        <v>0</v>
      </c>
      <c r="J19" s="49"/>
    </row>
    <row r="20" spans="1:12" ht="23.25" thickTop="1" thickBot="1">
      <c r="B20" s="163" t="s">
        <v>176</v>
      </c>
      <c r="C20" s="163"/>
      <c r="E20" s="49"/>
      <c r="F20" s="44" t="s">
        <v>34</v>
      </c>
      <c r="G20" s="126">
        <v>0</v>
      </c>
      <c r="H20" s="43" t="s">
        <v>28</v>
      </c>
      <c r="I20" s="126">
        <v>0</v>
      </c>
      <c r="J20" s="49"/>
    </row>
    <row r="21" spans="1:12" ht="23.25" thickTop="1" thickBot="1">
      <c r="B21" s="125" t="s">
        <v>7</v>
      </c>
      <c r="C21" s="125" t="s">
        <v>178</v>
      </c>
      <c r="E21" s="49"/>
      <c r="F21" s="44" t="s">
        <v>35</v>
      </c>
      <c r="G21" s="126">
        <v>0</v>
      </c>
      <c r="H21" s="43" t="s">
        <v>29</v>
      </c>
      <c r="I21" s="126">
        <v>0</v>
      </c>
      <c r="J21" s="49"/>
    </row>
    <row r="22" spans="1:12" ht="23.25" thickTop="1" thickBot="1">
      <c r="B22" s="125" t="s">
        <v>177</v>
      </c>
      <c r="C22" s="127"/>
      <c r="E22" s="49"/>
      <c r="F22" s="44" t="s">
        <v>36</v>
      </c>
      <c r="G22" s="126">
        <v>0</v>
      </c>
      <c r="H22" s="43" t="s">
        <v>30</v>
      </c>
      <c r="I22" s="126">
        <v>0</v>
      </c>
      <c r="J22" s="49"/>
    </row>
    <row r="23" spans="1:12" ht="45" thickTop="1" thickBot="1">
      <c r="B23" s="125" t="s">
        <v>180</v>
      </c>
      <c r="C23" s="135">
        <f>C22-C24</f>
        <v>0</v>
      </c>
      <c r="E23" s="49"/>
      <c r="F23" s="44" t="s">
        <v>31</v>
      </c>
      <c r="G23" s="126">
        <v>0</v>
      </c>
      <c r="H23" s="43" t="s">
        <v>31</v>
      </c>
      <c r="I23" s="126">
        <v>0</v>
      </c>
      <c r="J23" s="49"/>
    </row>
    <row r="24" spans="1:12" ht="23.25" thickTop="1" thickBot="1">
      <c r="B24" s="125" t="s">
        <v>179</v>
      </c>
      <c r="C24" s="135">
        <f>B10</f>
        <v>0</v>
      </c>
      <c r="E24" s="49"/>
      <c r="F24" s="50" t="s">
        <v>37</v>
      </c>
      <c r="G24" s="83">
        <f>SUM(G19:G23)</f>
        <v>0</v>
      </c>
      <c r="H24" s="51" t="s">
        <v>32</v>
      </c>
      <c r="I24" s="83">
        <f t="shared" ref="I24" si="1">SUM(I19:I23)</f>
        <v>0</v>
      </c>
      <c r="J24" s="49"/>
    </row>
    <row r="25" spans="1:12" ht="20.25" thickTop="1" thickBot="1">
      <c r="E25" s="49"/>
      <c r="J25" s="49"/>
    </row>
    <row r="26" spans="1:12" ht="22.5" thickTop="1">
      <c r="A26" s="164" t="s">
        <v>108</v>
      </c>
      <c r="B26" s="165"/>
      <c r="C26" s="165"/>
      <c r="D26" s="165"/>
      <c r="E26" s="49"/>
      <c r="F26" s="164" t="s">
        <v>135</v>
      </c>
      <c r="G26" s="165"/>
      <c r="H26" s="165"/>
      <c r="I26" s="166"/>
      <c r="J26" s="49"/>
    </row>
    <row r="27" spans="1:12" ht="44.25" thickBot="1">
      <c r="A27" s="41" t="s">
        <v>133</v>
      </c>
      <c r="B27" s="54" t="s">
        <v>24</v>
      </c>
      <c r="C27" s="55" t="s">
        <v>134</v>
      </c>
      <c r="D27" s="41" t="s">
        <v>24</v>
      </c>
      <c r="E27" s="49"/>
      <c r="F27" s="48" t="s">
        <v>25</v>
      </c>
      <c r="G27" s="48" t="s">
        <v>24</v>
      </c>
      <c r="H27" s="48" t="s">
        <v>26</v>
      </c>
      <c r="I27" s="48" t="s">
        <v>132</v>
      </c>
      <c r="J27" s="49"/>
    </row>
    <row r="28" spans="1:12" ht="45" thickTop="1" thickBot="1">
      <c r="A28" s="50" t="s">
        <v>52</v>
      </c>
      <c r="B28" s="82" t="s">
        <v>56</v>
      </c>
      <c r="C28" s="56" t="s">
        <v>57</v>
      </c>
      <c r="D28" s="79" t="s">
        <v>60</v>
      </c>
      <c r="E28" s="49"/>
      <c r="F28" s="44" t="s">
        <v>33</v>
      </c>
      <c r="G28" s="126">
        <v>31897867.02</v>
      </c>
      <c r="H28" s="43" t="s">
        <v>27</v>
      </c>
      <c r="I28" s="126">
        <v>0</v>
      </c>
      <c r="J28" s="49"/>
    </row>
    <row r="29" spans="1:12" ht="36.75" customHeight="1" thickTop="1" thickBot="1">
      <c r="A29" s="14" t="s">
        <v>55</v>
      </c>
      <c r="B29" s="86">
        <f>'(4) وحدات المشروع'!F51</f>
        <v>254586454.13999993</v>
      </c>
      <c r="C29" s="44" t="s">
        <v>58</v>
      </c>
      <c r="D29" s="86">
        <f>Sheet1!U8</f>
        <v>9057885.4000000004</v>
      </c>
      <c r="E29" s="49"/>
      <c r="F29" s="44" t="s">
        <v>173</v>
      </c>
      <c r="G29" s="126">
        <v>0</v>
      </c>
      <c r="H29" s="43" t="s">
        <v>28</v>
      </c>
      <c r="I29" s="126">
        <v>0</v>
      </c>
      <c r="J29" s="49"/>
    </row>
    <row r="30" spans="1:12" ht="45" thickTop="1" thickBot="1">
      <c r="A30" s="14" t="s">
        <v>53</v>
      </c>
      <c r="B30" s="86">
        <f>B29*20%</f>
        <v>50917290.827999987</v>
      </c>
      <c r="C30" s="50" t="s">
        <v>59</v>
      </c>
      <c r="D30" s="83">
        <f>Sheet1!T8-'(3) العمليات المالية'!D29</f>
        <v>2407313.6235999987</v>
      </c>
      <c r="E30" s="49"/>
      <c r="F30" s="44" t="s">
        <v>34</v>
      </c>
      <c r="G30" s="126">
        <v>0</v>
      </c>
      <c r="H30" s="43" t="s">
        <v>29</v>
      </c>
      <c r="I30" s="126">
        <v>0</v>
      </c>
      <c r="J30" s="49"/>
    </row>
    <row r="31" spans="1:12" ht="45" thickTop="1" thickBot="1">
      <c r="A31" s="14" t="s">
        <v>97</v>
      </c>
      <c r="B31" s="86">
        <f>B11</f>
        <v>31715784.420000002</v>
      </c>
      <c r="C31" s="49"/>
      <c r="D31" s="49"/>
      <c r="E31" s="49"/>
      <c r="F31" s="44" t="s">
        <v>35</v>
      </c>
      <c r="G31" s="126">
        <v>0</v>
      </c>
      <c r="H31" s="43" t="s">
        <v>30</v>
      </c>
      <c r="I31" s="126">
        <v>0</v>
      </c>
      <c r="J31" s="49"/>
    </row>
    <row r="32" spans="1:12" ht="23.25" thickTop="1" thickBot="1">
      <c r="A32" s="14" t="s">
        <v>54</v>
      </c>
      <c r="B32" s="87">
        <f>B30-B31</f>
        <v>19201506.407999985</v>
      </c>
      <c r="C32" s="49"/>
      <c r="D32" s="49"/>
      <c r="E32" s="49"/>
      <c r="F32" s="44" t="s">
        <v>36</v>
      </c>
      <c r="G32" s="126">
        <v>0</v>
      </c>
      <c r="H32" s="43" t="s">
        <v>31</v>
      </c>
      <c r="I32" s="126">
        <v>0</v>
      </c>
      <c r="J32" s="49"/>
    </row>
    <row r="33" spans="1:10" ht="23.25" thickTop="1" thickBot="1">
      <c r="E33" s="49"/>
      <c r="F33" s="44" t="s">
        <v>31</v>
      </c>
      <c r="G33" s="126">
        <v>0</v>
      </c>
      <c r="H33" s="78" t="s">
        <v>170</v>
      </c>
      <c r="I33" s="126">
        <v>0</v>
      </c>
      <c r="J33" s="49"/>
    </row>
    <row r="34" spans="1:10" ht="23.25" thickTop="1" thickBot="1">
      <c r="E34" s="49"/>
      <c r="F34" s="50" t="s">
        <v>37</v>
      </c>
      <c r="G34" s="83">
        <f>SUM(G28:G33)</f>
        <v>31897867.02</v>
      </c>
      <c r="H34" s="78" t="s">
        <v>32</v>
      </c>
      <c r="I34" s="83">
        <f>SUM(I28:I33)</f>
        <v>0</v>
      </c>
      <c r="J34" s="49"/>
    </row>
    <row r="35" spans="1:10" ht="19.5" thickTop="1">
      <c r="E35" s="49"/>
      <c r="J35" s="49"/>
    </row>
    <row r="36" spans="1:10" ht="18.75">
      <c r="E36" s="49"/>
    </row>
    <row r="37" spans="1:10" ht="18.75">
      <c r="E37" s="49"/>
    </row>
    <row r="38" spans="1:10" ht="18.75">
      <c r="A38" s="49"/>
      <c r="B38" s="49"/>
      <c r="C38" s="49"/>
      <c r="D38" s="49"/>
      <c r="E38" s="49"/>
    </row>
    <row r="39" spans="1:10" ht="18.75">
      <c r="E39" s="49"/>
    </row>
    <row r="40" spans="1:10" ht="18.75">
      <c r="E40" s="49"/>
    </row>
    <row r="41" spans="1:10" ht="18.75">
      <c r="E41" s="49"/>
      <c r="F41" s="49"/>
    </row>
    <row r="42" spans="1:10" ht="18.75">
      <c r="E42" s="49"/>
      <c r="F42" s="49"/>
    </row>
    <row r="43" spans="1:10" ht="18.75">
      <c r="E43" s="49"/>
      <c r="F43" s="49"/>
      <c r="G43" s="49"/>
      <c r="H43" s="49"/>
      <c r="I43" s="49"/>
      <c r="J43" s="49"/>
    </row>
    <row r="44" spans="1:10" ht="18.75">
      <c r="E44" s="49"/>
      <c r="F44" s="49"/>
      <c r="G44" s="49"/>
      <c r="H44" s="49"/>
      <c r="I44" s="49"/>
      <c r="J44" s="49"/>
    </row>
    <row r="45" spans="1:10" ht="18.75">
      <c r="E45" s="49"/>
      <c r="F45" s="49"/>
      <c r="G45" s="49"/>
      <c r="H45" s="49"/>
      <c r="I45" s="49"/>
      <c r="J45" s="49"/>
    </row>
    <row r="46" spans="1:10" ht="18.75">
      <c r="E46" s="49"/>
      <c r="F46" s="49"/>
      <c r="G46" s="49"/>
      <c r="H46" s="49"/>
      <c r="I46" s="49"/>
      <c r="J46" s="49"/>
    </row>
  </sheetData>
  <sheetProtection algorithmName="SHA-512" hashValue="Tp2vwDitwKdmOJdASU3ZDogA9ZASyYiPAQi1MSf/9Qzlvb3JZMORtGNpStFSFygprLuYBgGkNoeFojkLG1wb4Q==" saltValue="GcvRzH3qSJ2GFkazALOBow==" spinCount="100000" sheet="1" objects="1" scenarios="1"/>
  <mergeCells count="9">
    <mergeCell ref="B20:C20"/>
    <mergeCell ref="A26:D26"/>
    <mergeCell ref="F26:I26"/>
    <mergeCell ref="C5:D5"/>
    <mergeCell ref="A5:B5"/>
    <mergeCell ref="A17:D17"/>
    <mergeCell ref="A7:D7"/>
    <mergeCell ref="F7:I7"/>
    <mergeCell ref="F17:I17"/>
  </mergeCells>
  <conditionalFormatting sqref="D30">
    <cfRule type="cellIs" dxfId="16" priority="1" operator="lessThan">
      <formula>0</formula>
    </cfRule>
    <cfRule type="cellIs" dxfId="15" priority="2" operator="equal">
      <formula>0</formula>
    </cfRule>
    <cfRule type="cellIs" dxfId="14" priority="3" operator="greaterThan">
      <formula>0</formula>
    </cfRule>
  </conditionalFormatting>
  <dataValidations count="2">
    <dataValidation type="custom" allowBlank="1" showInputMessage="1" showErrorMessage="1" error=" الخلية لا تقبل نص " prompt="ملاحظة: الادخال ارقام" sqref="B9:B14 G28:G31 G9:G14 I9:I13 G19:G23 I19:I23 I28:I32 G33 D9:D10 D12:D14 D11" xr:uid="{3882BD4B-3522-4B16-B013-6CEF818D1F23}">
      <formula1>ISNUMBER(B9)</formula1>
    </dataValidation>
    <dataValidation type="custom" allowBlank="1" showInputMessage="1" showErrorMessage="1" prompt="ملاحظة: الادخال ارقام" sqref="C22:C23" xr:uid="{AFC742F9-0883-4053-B1C6-54D28A65AD7C}">
      <formula1>ISNUMBER(C22)</formula1>
    </dataValidation>
  </dataValidations>
  <pageMargins left="0.23622047244094488" right="0.23622047244094488" top="1.1417322834645669" bottom="0.94488188976377951" header="0.31496062992125984" footer="0.31496062992125984"/>
  <pageSetup scale="59" fitToHeight="0" orientation="landscape" r:id="rId1"/>
  <headerFooter>
    <oddHeader>&amp;C&amp;"Calibri,Bold"&amp;10&amp;K139119&amp;G</oddHeader>
    <oddFooter>&amp;C&amp;G</oddFooter>
  </headerFooter>
  <rowBreaks count="1" manualBreakCount="1">
    <brk id="24" max="8" man="1"/>
  </rowBreaks>
  <drawing r:id="rId2"/>
  <legacyDrawingHF r:id="rId3"/>
  <tableParts count="7">
    <tablePart r:id="rId4"/>
    <tablePart r:id="rId5"/>
    <tablePart r:id="rId6"/>
    <tablePart r:id="rId7"/>
    <tablePart r:id="rId8"/>
    <tablePart r:id="rId9"/>
    <tablePart r:id="rId10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pageSetUpPr fitToPage="1"/>
  </sheetPr>
  <dimension ref="A1:N119"/>
  <sheetViews>
    <sheetView showGridLines="0" rightToLeft="1" view="pageBreakPreview" zoomScale="60" zoomScaleNormal="60" workbookViewId="0">
      <selection activeCell="E37" sqref="E37:F37"/>
    </sheetView>
  </sheetViews>
  <sheetFormatPr defaultColWidth="9.140625" defaultRowHeight="15"/>
  <cols>
    <col min="1" max="1" width="29.5703125" style="63" customWidth="1"/>
    <col min="2" max="2" width="17.5703125" style="63" customWidth="1"/>
    <col min="3" max="3" width="18.85546875" style="63" customWidth="1"/>
    <col min="4" max="4" width="16.42578125" style="63" customWidth="1"/>
    <col min="5" max="5" width="29.7109375" style="63" customWidth="1"/>
    <col min="6" max="6" width="30.42578125" style="63" customWidth="1"/>
    <col min="7" max="7" width="33.28515625" style="63" customWidth="1"/>
    <col min="8" max="8" width="11.42578125" style="33" bestFit="1" customWidth="1"/>
    <col min="9" max="16384" width="9.140625" style="33"/>
  </cols>
  <sheetData>
    <row r="1" spans="1:7" s="49" customFormat="1" ht="22.5" thickBot="1">
      <c r="A1" s="57" t="s">
        <v>42</v>
      </c>
      <c r="B1" s="88" t="s">
        <v>43</v>
      </c>
      <c r="C1" s="88" t="s">
        <v>44</v>
      </c>
      <c r="D1" s="88" t="s">
        <v>45</v>
      </c>
      <c r="E1" s="88" t="s">
        <v>46</v>
      </c>
      <c r="F1" s="88" t="s">
        <v>47</v>
      </c>
      <c r="G1" s="88" t="s">
        <v>61</v>
      </c>
    </row>
    <row r="2" spans="1:7" ht="23.25" thickTop="1" thickBot="1">
      <c r="A2" s="190" t="s">
        <v>51</v>
      </c>
      <c r="B2" s="93" t="s">
        <v>10</v>
      </c>
      <c r="C2" s="140">
        <f>'(1) البيانات الاساسية'!C20</f>
        <v>0</v>
      </c>
      <c r="D2" s="94">
        <f>C2/$C$17</f>
        <v>0</v>
      </c>
      <c r="E2" s="105">
        <f>'(1) البيانات الاساسية'!D20</f>
        <v>0</v>
      </c>
      <c r="F2" s="105">
        <f>F36</f>
        <v>0</v>
      </c>
      <c r="G2" s="108">
        <f>E2-F2</f>
        <v>0</v>
      </c>
    </row>
    <row r="3" spans="1:7" ht="23.25" thickTop="1" thickBot="1">
      <c r="A3" s="185"/>
      <c r="B3" s="95" t="s">
        <v>11</v>
      </c>
      <c r="C3" s="140">
        <f>'(1) البيانات الاساسية'!C21</f>
        <v>455</v>
      </c>
      <c r="D3" s="65">
        <f t="shared" ref="D3:D15" si="0">C3/$C$17</f>
        <v>1</v>
      </c>
      <c r="E3" s="106">
        <f>'(1) البيانات الاساسية'!D21</f>
        <v>316100316.74000001</v>
      </c>
      <c r="F3" s="106">
        <f>F37</f>
        <v>254586454.13999993</v>
      </c>
      <c r="G3" s="109">
        <f t="shared" ref="G3:G16" si="1">E3-F3</f>
        <v>61513862.600000083</v>
      </c>
    </row>
    <row r="4" spans="1:7" ht="23.25" thickTop="1" thickBot="1">
      <c r="A4" s="185"/>
      <c r="B4" s="95" t="s">
        <v>115</v>
      </c>
      <c r="C4" s="64">
        <f>'(1) البيانات الاساسية'!C22</f>
        <v>0</v>
      </c>
      <c r="D4" s="65">
        <f t="shared" si="0"/>
        <v>0</v>
      </c>
      <c r="E4" s="106">
        <f>'(1) البيانات الاساسية'!D22</f>
        <v>0</v>
      </c>
      <c r="F4" s="106">
        <f t="shared" ref="F4:F15" si="2">F38</f>
        <v>0</v>
      </c>
      <c r="G4" s="109">
        <f t="shared" si="1"/>
        <v>0</v>
      </c>
    </row>
    <row r="5" spans="1:7" ht="23.25" thickTop="1" thickBot="1">
      <c r="A5" s="185"/>
      <c r="B5" s="95" t="s">
        <v>116</v>
      </c>
      <c r="C5" s="64">
        <f>'(1) البيانات الاساسية'!C23</f>
        <v>0</v>
      </c>
      <c r="D5" s="65">
        <f t="shared" si="0"/>
        <v>0</v>
      </c>
      <c r="E5" s="106">
        <f>'(1) البيانات الاساسية'!D23</f>
        <v>0</v>
      </c>
      <c r="F5" s="106">
        <f t="shared" si="2"/>
        <v>0</v>
      </c>
      <c r="G5" s="109">
        <f t="shared" si="1"/>
        <v>0</v>
      </c>
    </row>
    <row r="6" spans="1:7" ht="23.25" thickTop="1" thickBot="1">
      <c r="A6" s="185"/>
      <c r="B6" s="95" t="s">
        <v>117</v>
      </c>
      <c r="C6" s="64">
        <f>'(1) البيانات الاساسية'!C24</f>
        <v>0</v>
      </c>
      <c r="D6" s="65">
        <f t="shared" si="0"/>
        <v>0</v>
      </c>
      <c r="E6" s="106">
        <f>'(1) البيانات الاساسية'!D24</f>
        <v>0</v>
      </c>
      <c r="F6" s="106">
        <f t="shared" si="2"/>
        <v>0</v>
      </c>
      <c r="G6" s="109">
        <f t="shared" si="1"/>
        <v>0</v>
      </c>
    </row>
    <row r="7" spans="1:7" ht="23.25" thickTop="1" thickBot="1">
      <c r="A7" s="185"/>
      <c r="B7" s="95" t="s">
        <v>15</v>
      </c>
      <c r="C7" s="64">
        <f>'(1) البيانات الاساسية'!C25</f>
        <v>0</v>
      </c>
      <c r="D7" s="65">
        <f t="shared" si="0"/>
        <v>0</v>
      </c>
      <c r="E7" s="106">
        <f>'(1) البيانات الاساسية'!D25</f>
        <v>0</v>
      </c>
      <c r="F7" s="106">
        <f t="shared" si="2"/>
        <v>0</v>
      </c>
      <c r="G7" s="109">
        <f t="shared" si="1"/>
        <v>0</v>
      </c>
    </row>
    <row r="8" spans="1:7" ht="23.25" thickTop="1" thickBot="1">
      <c r="A8" s="185"/>
      <c r="B8" s="95" t="s">
        <v>118</v>
      </c>
      <c r="C8" s="64">
        <f>'(1) البيانات الاساسية'!C26</f>
        <v>0</v>
      </c>
      <c r="D8" s="65">
        <f t="shared" si="0"/>
        <v>0</v>
      </c>
      <c r="E8" s="106">
        <f>'(1) البيانات الاساسية'!D26</f>
        <v>0</v>
      </c>
      <c r="F8" s="106">
        <f t="shared" si="2"/>
        <v>0</v>
      </c>
      <c r="G8" s="109">
        <f t="shared" si="1"/>
        <v>0</v>
      </c>
    </row>
    <row r="9" spans="1:7" ht="23.25" thickTop="1" thickBot="1">
      <c r="A9" s="185"/>
      <c r="B9" s="95" t="s">
        <v>119</v>
      </c>
      <c r="C9" s="64">
        <f>'(1) البيانات الاساسية'!C27</f>
        <v>0</v>
      </c>
      <c r="D9" s="65">
        <f>C9/$C$17</f>
        <v>0</v>
      </c>
      <c r="E9" s="106">
        <f>'(1) البيانات الاساسية'!D27</f>
        <v>0</v>
      </c>
      <c r="F9" s="106">
        <f t="shared" si="2"/>
        <v>0</v>
      </c>
      <c r="G9" s="109">
        <f t="shared" si="1"/>
        <v>0</v>
      </c>
    </row>
    <row r="10" spans="1:7" ht="23.25" thickTop="1" thickBot="1">
      <c r="A10" s="185"/>
      <c r="B10" s="95" t="s">
        <v>120</v>
      </c>
      <c r="C10" s="64">
        <f>'(1) البيانات الاساسية'!C28</f>
        <v>0</v>
      </c>
      <c r="D10" s="65">
        <f t="shared" si="0"/>
        <v>0</v>
      </c>
      <c r="E10" s="106">
        <f>'(1) البيانات الاساسية'!D28</f>
        <v>0</v>
      </c>
      <c r="F10" s="106">
        <f t="shared" si="2"/>
        <v>0</v>
      </c>
      <c r="G10" s="109">
        <f t="shared" si="1"/>
        <v>0</v>
      </c>
    </row>
    <row r="11" spans="1:7" ht="23.25" thickTop="1" thickBot="1">
      <c r="A11" s="185"/>
      <c r="B11" s="95" t="s">
        <v>14</v>
      </c>
      <c r="C11" s="64">
        <f>'(1) البيانات الاساسية'!C29</f>
        <v>0</v>
      </c>
      <c r="D11" s="65">
        <f>C11/$C$17</f>
        <v>0</v>
      </c>
      <c r="E11" s="106">
        <f>'(1) البيانات الاساسية'!D29</f>
        <v>0</v>
      </c>
      <c r="F11" s="106">
        <f t="shared" si="2"/>
        <v>0</v>
      </c>
      <c r="G11" s="109">
        <f t="shared" si="1"/>
        <v>0</v>
      </c>
    </row>
    <row r="12" spans="1:7" ht="23.25" thickTop="1" thickBot="1">
      <c r="A12" s="185"/>
      <c r="B12" s="95" t="s">
        <v>121</v>
      </c>
      <c r="C12" s="64">
        <f>'(1) البيانات الاساسية'!C30</f>
        <v>0</v>
      </c>
      <c r="D12" s="65">
        <f t="shared" si="0"/>
        <v>0</v>
      </c>
      <c r="E12" s="106">
        <f>'(1) البيانات الاساسية'!D30</f>
        <v>0</v>
      </c>
      <c r="F12" s="106">
        <f t="shared" si="2"/>
        <v>0</v>
      </c>
      <c r="G12" s="109">
        <f t="shared" si="1"/>
        <v>0</v>
      </c>
    </row>
    <row r="13" spans="1:7" ht="23.25" thickTop="1" thickBot="1">
      <c r="A13" s="185"/>
      <c r="B13" s="95" t="s">
        <v>14</v>
      </c>
      <c r="C13" s="64">
        <f>'(1) البيانات الاساسية'!C31</f>
        <v>0</v>
      </c>
      <c r="D13" s="65">
        <f t="shared" si="0"/>
        <v>0</v>
      </c>
      <c r="E13" s="106">
        <f>'(1) البيانات الاساسية'!D31</f>
        <v>0</v>
      </c>
      <c r="F13" s="106">
        <f t="shared" si="2"/>
        <v>0</v>
      </c>
      <c r="G13" s="109">
        <f t="shared" si="1"/>
        <v>0</v>
      </c>
    </row>
    <row r="14" spans="1:7" ht="23.25" thickTop="1" thickBot="1">
      <c r="A14" s="185"/>
      <c r="B14" s="95" t="s">
        <v>122</v>
      </c>
      <c r="C14" s="64">
        <f>'(1) البيانات الاساسية'!C32</f>
        <v>0</v>
      </c>
      <c r="D14" s="65">
        <f t="shared" si="0"/>
        <v>0</v>
      </c>
      <c r="E14" s="106">
        <f>'(1) البيانات الاساسية'!D32</f>
        <v>0</v>
      </c>
      <c r="F14" s="106">
        <f t="shared" si="2"/>
        <v>0</v>
      </c>
      <c r="G14" s="109">
        <f t="shared" si="1"/>
        <v>0</v>
      </c>
    </row>
    <row r="15" spans="1:7" ht="23.25" customHeight="1" thickTop="1" thickBot="1">
      <c r="A15" s="185"/>
      <c r="B15" s="95" t="s">
        <v>123</v>
      </c>
      <c r="C15" s="64">
        <f>'(1) البيانات الاساسية'!C33</f>
        <v>0</v>
      </c>
      <c r="D15" s="65">
        <f t="shared" si="0"/>
        <v>0</v>
      </c>
      <c r="E15" s="106">
        <f>'(1) البيانات الاساسية'!D33</f>
        <v>0</v>
      </c>
      <c r="F15" s="106">
        <f t="shared" si="2"/>
        <v>0</v>
      </c>
      <c r="G15" s="109">
        <f t="shared" si="1"/>
        <v>0</v>
      </c>
    </row>
    <row r="16" spans="1:7" ht="23.25" customHeight="1" thickTop="1" thickBot="1">
      <c r="A16" s="185"/>
      <c r="B16" s="96" t="s">
        <v>124</v>
      </c>
      <c r="C16" s="97">
        <f>'(1) البيانات الاساسية'!C34</f>
        <v>0</v>
      </c>
      <c r="D16" s="98">
        <f>C16/$C$17</f>
        <v>0</v>
      </c>
      <c r="E16" s="107">
        <f>'(1) البيانات الاساسية'!D34</f>
        <v>0</v>
      </c>
      <c r="F16" s="107">
        <f>F50</f>
        <v>0</v>
      </c>
      <c r="G16" s="110">
        <f t="shared" si="1"/>
        <v>0</v>
      </c>
    </row>
    <row r="17" spans="1:14" ht="23.25" customHeight="1" thickTop="1" thickBot="1">
      <c r="A17" s="15" t="s">
        <v>16</v>
      </c>
      <c r="B17" s="89"/>
      <c r="C17" s="90">
        <f>SUM(C2:C16)</f>
        <v>455</v>
      </c>
      <c r="D17" s="91">
        <f>SUBTOTAL(109,D2:D16)</f>
        <v>1</v>
      </c>
      <c r="E17" s="92">
        <f>SUM(E2:E16)</f>
        <v>316100316.74000001</v>
      </c>
      <c r="F17" s="92">
        <f>SUM(F2:F16)</f>
        <v>254586454.13999993</v>
      </c>
      <c r="G17" s="92">
        <f>SUM(G2:G16)</f>
        <v>61513862.600000083</v>
      </c>
    </row>
    <row r="18" spans="1:14" ht="27.75" customHeight="1" thickTop="1" thickBot="1">
      <c r="A18" s="185" t="s">
        <v>48</v>
      </c>
      <c r="B18" s="88" t="s">
        <v>43</v>
      </c>
      <c r="C18" s="88" t="s">
        <v>44</v>
      </c>
      <c r="D18" s="88" t="s">
        <v>45</v>
      </c>
      <c r="E18" s="88" t="s">
        <v>46</v>
      </c>
      <c r="F18" s="88" t="s">
        <v>47</v>
      </c>
      <c r="G18" s="88" t="s">
        <v>61</v>
      </c>
    </row>
    <row r="19" spans="1:14" ht="23.25" customHeight="1" thickTop="1" thickBot="1">
      <c r="A19" s="185"/>
      <c r="B19" s="14" t="s">
        <v>10</v>
      </c>
      <c r="C19" s="17"/>
      <c r="D19" s="99" t="e">
        <f>Table1921[[#This Row],[عدد]]/$C$34</f>
        <v>#DIV/0!</v>
      </c>
      <c r="E19" s="100"/>
      <c r="F19" s="100"/>
      <c r="G19" s="86">
        <f>E19-F19</f>
        <v>0</v>
      </c>
    </row>
    <row r="20" spans="1:14" ht="23.25" customHeight="1" thickTop="1" thickBot="1">
      <c r="A20" s="185"/>
      <c r="B20" s="14" t="s">
        <v>11</v>
      </c>
      <c r="C20" s="17"/>
      <c r="D20" s="99" t="e">
        <f>Table1921[[#This Row],[عدد]]/$C$34</f>
        <v>#DIV/0!</v>
      </c>
      <c r="E20" s="100"/>
      <c r="F20" s="100"/>
      <c r="G20" s="86">
        <f t="shared" ref="G20:G33" si="3">E20-F20</f>
        <v>0</v>
      </c>
    </row>
    <row r="21" spans="1:14" ht="23.25" customHeight="1" thickTop="1" thickBot="1">
      <c r="A21" s="185"/>
      <c r="B21" s="14" t="s">
        <v>115</v>
      </c>
      <c r="C21" s="17"/>
      <c r="D21" s="99" t="e">
        <f>Table1921[[#This Row],[عدد]]/$C$34</f>
        <v>#DIV/0!</v>
      </c>
      <c r="E21" s="100"/>
      <c r="F21" s="100"/>
      <c r="G21" s="86">
        <f t="shared" si="3"/>
        <v>0</v>
      </c>
    </row>
    <row r="22" spans="1:14" ht="23.25" customHeight="1" thickTop="1" thickBot="1">
      <c r="A22" s="185"/>
      <c r="B22" s="14" t="s">
        <v>116</v>
      </c>
      <c r="C22" s="17"/>
      <c r="D22" s="99" t="e">
        <f>Table1921[[#This Row],[عدد]]/$C$34</f>
        <v>#DIV/0!</v>
      </c>
      <c r="E22" s="100"/>
      <c r="F22" s="100"/>
      <c r="G22" s="86">
        <f t="shared" si="3"/>
        <v>0</v>
      </c>
    </row>
    <row r="23" spans="1:14" ht="23.25" thickTop="1" thickBot="1">
      <c r="A23" s="185"/>
      <c r="B23" s="14" t="s">
        <v>117</v>
      </c>
      <c r="C23" s="17"/>
      <c r="D23" s="99" t="e">
        <f>Table1921[[#This Row],[عدد]]/$C$34</f>
        <v>#DIV/0!</v>
      </c>
      <c r="E23" s="100"/>
      <c r="F23" s="100"/>
      <c r="G23" s="86">
        <f t="shared" si="3"/>
        <v>0</v>
      </c>
      <c r="N23" s="161"/>
    </row>
    <row r="24" spans="1:14" ht="23.25" thickTop="1" thickBot="1">
      <c r="A24" s="185"/>
      <c r="B24" s="14" t="s">
        <v>15</v>
      </c>
      <c r="C24" s="17"/>
      <c r="D24" s="99" t="e">
        <f>Table1921[[#This Row],[عدد]]/$C$34</f>
        <v>#DIV/0!</v>
      </c>
      <c r="E24" s="100"/>
      <c r="F24" s="100"/>
      <c r="G24" s="86">
        <f t="shared" si="3"/>
        <v>0</v>
      </c>
    </row>
    <row r="25" spans="1:14" ht="23.25" thickTop="1" thickBot="1">
      <c r="A25" s="185"/>
      <c r="B25" s="14" t="s">
        <v>118</v>
      </c>
      <c r="C25" s="17"/>
      <c r="D25" s="99" t="e">
        <f>Table1921[[#This Row],[عدد]]/$C$34</f>
        <v>#DIV/0!</v>
      </c>
      <c r="E25" s="100"/>
      <c r="F25" s="100"/>
      <c r="G25" s="86">
        <f t="shared" si="3"/>
        <v>0</v>
      </c>
    </row>
    <row r="26" spans="1:14" ht="23.25" thickTop="1" thickBot="1">
      <c r="A26" s="185"/>
      <c r="B26" s="14" t="s">
        <v>119</v>
      </c>
      <c r="C26" s="17"/>
      <c r="D26" s="99" t="e">
        <f>Table1921[[#This Row],[عدد]]/$C$34</f>
        <v>#DIV/0!</v>
      </c>
      <c r="E26" s="100"/>
      <c r="F26" s="100"/>
      <c r="G26" s="86">
        <f t="shared" si="3"/>
        <v>0</v>
      </c>
    </row>
    <row r="27" spans="1:14" ht="23.25" thickTop="1" thickBot="1">
      <c r="A27" s="185"/>
      <c r="B27" s="14" t="s">
        <v>120</v>
      </c>
      <c r="C27" s="17"/>
      <c r="D27" s="99" t="e">
        <f>Table1921[[#This Row],[عدد]]/$C$34</f>
        <v>#DIV/0!</v>
      </c>
      <c r="E27" s="100"/>
      <c r="F27" s="100"/>
      <c r="G27" s="86">
        <f t="shared" si="3"/>
        <v>0</v>
      </c>
    </row>
    <row r="28" spans="1:14" ht="23.25" thickTop="1" thickBot="1">
      <c r="A28" s="185"/>
      <c r="B28" s="14" t="s">
        <v>14</v>
      </c>
      <c r="C28" s="17"/>
      <c r="D28" s="99" t="e">
        <f>Table1921[[#This Row],[عدد]]/$C$34</f>
        <v>#DIV/0!</v>
      </c>
      <c r="E28" s="100"/>
      <c r="F28" s="100"/>
      <c r="G28" s="86">
        <f t="shared" si="3"/>
        <v>0</v>
      </c>
    </row>
    <row r="29" spans="1:14" ht="23.25" thickTop="1" thickBot="1">
      <c r="A29" s="185"/>
      <c r="B29" s="14" t="s">
        <v>121</v>
      </c>
      <c r="C29" s="17"/>
      <c r="D29" s="99" t="e">
        <f>Table1921[[#This Row],[عدد]]/$C$34</f>
        <v>#DIV/0!</v>
      </c>
      <c r="E29" s="100"/>
      <c r="F29" s="100"/>
      <c r="G29" s="86">
        <f t="shared" si="3"/>
        <v>0</v>
      </c>
    </row>
    <row r="30" spans="1:14" ht="23.25" thickTop="1" thickBot="1">
      <c r="A30" s="185"/>
      <c r="B30" s="14" t="s">
        <v>14</v>
      </c>
      <c r="C30" s="17"/>
      <c r="D30" s="99" t="e">
        <f>Table1921[[#This Row],[عدد]]/$C$34</f>
        <v>#DIV/0!</v>
      </c>
      <c r="E30" s="100"/>
      <c r="F30" s="100"/>
      <c r="G30" s="86">
        <f t="shared" si="3"/>
        <v>0</v>
      </c>
    </row>
    <row r="31" spans="1:14" ht="23.25" thickTop="1" thickBot="1">
      <c r="A31" s="185"/>
      <c r="B31" s="14" t="s">
        <v>122</v>
      </c>
      <c r="C31" s="17"/>
      <c r="D31" s="99" t="e">
        <f>Table1921[[#This Row],[عدد]]/$C$34</f>
        <v>#DIV/0!</v>
      </c>
      <c r="E31" s="100"/>
      <c r="F31" s="100"/>
      <c r="G31" s="86">
        <f t="shared" si="3"/>
        <v>0</v>
      </c>
    </row>
    <row r="32" spans="1:14" ht="23.25" thickTop="1" thickBot="1">
      <c r="A32" s="185"/>
      <c r="B32" s="14" t="s">
        <v>123</v>
      </c>
      <c r="C32" s="17"/>
      <c r="D32" s="99" t="e">
        <f>Table1921[[#This Row],[عدد]]/$C$34</f>
        <v>#DIV/0!</v>
      </c>
      <c r="E32" s="100"/>
      <c r="F32" s="100"/>
      <c r="G32" s="86">
        <f t="shared" si="3"/>
        <v>0</v>
      </c>
    </row>
    <row r="33" spans="1:7" ht="23.25" thickTop="1" thickBot="1">
      <c r="A33" s="186"/>
      <c r="B33" s="14" t="s">
        <v>124</v>
      </c>
      <c r="C33" s="17"/>
      <c r="D33" s="99" t="e">
        <f>Table1921[[#This Row],[عدد]]/$C$34</f>
        <v>#DIV/0!</v>
      </c>
      <c r="E33" s="100"/>
      <c r="F33" s="100"/>
      <c r="G33" s="86">
        <f t="shared" si="3"/>
        <v>0</v>
      </c>
    </row>
    <row r="34" spans="1:7" ht="23.25" thickTop="1" thickBot="1">
      <c r="A34" s="60" t="s">
        <v>16</v>
      </c>
      <c r="B34" s="101"/>
      <c r="C34" s="102">
        <f>SUM(C19:C33)</f>
        <v>0</v>
      </c>
      <c r="D34" s="103" t="e">
        <f>SUBTOTAL(109,D19:D33)</f>
        <v>#DIV/0!</v>
      </c>
      <c r="E34" s="104">
        <f t="shared" ref="E34" si="4">SUBTOTAL(109,E19:E33)</f>
        <v>0</v>
      </c>
      <c r="F34" s="104">
        <f>SUBTOTAL(109,F19:F33)</f>
        <v>0</v>
      </c>
      <c r="G34" s="87">
        <f>SUBTOTAL(109,G19:G33)</f>
        <v>0</v>
      </c>
    </row>
    <row r="35" spans="1:7" ht="30" customHeight="1" thickBot="1">
      <c r="A35" s="184" t="s">
        <v>49</v>
      </c>
      <c r="B35" s="58" t="s">
        <v>43</v>
      </c>
      <c r="C35" s="58" t="s">
        <v>44</v>
      </c>
      <c r="D35" s="58" t="s">
        <v>45</v>
      </c>
      <c r="E35" s="58" t="s">
        <v>46</v>
      </c>
      <c r="F35" s="58" t="s">
        <v>47</v>
      </c>
      <c r="G35" s="58" t="s">
        <v>61</v>
      </c>
    </row>
    <row r="36" spans="1:7" ht="23.25" thickTop="1" thickBot="1">
      <c r="A36" s="185"/>
      <c r="B36" s="44" t="s">
        <v>10</v>
      </c>
      <c r="C36" s="17"/>
      <c r="D36" s="65">
        <f>Table192122[[#This Row],[عدد]]/$C$51</f>
        <v>0</v>
      </c>
      <c r="E36" s="100"/>
      <c r="F36" s="100"/>
      <c r="G36" s="86">
        <f>E36-F36</f>
        <v>0</v>
      </c>
    </row>
    <row r="37" spans="1:7" ht="23.25" thickTop="1" thickBot="1">
      <c r="A37" s="185"/>
      <c r="B37" s="44" t="s">
        <v>11</v>
      </c>
      <c r="C37" s="17">
        <v>455</v>
      </c>
      <c r="D37" s="65">
        <f>Table192122[[#This Row],[عدد]]/$C$51</f>
        <v>1</v>
      </c>
      <c r="E37" s="100">
        <v>316100316.74000031</v>
      </c>
      <c r="F37" s="100">
        <v>254586454.13999993</v>
      </c>
      <c r="G37" s="86">
        <f t="shared" ref="G37:G50" si="5">E37-F37</f>
        <v>61513862.600000381</v>
      </c>
    </row>
    <row r="38" spans="1:7" ht="23.25" thickTop="1" thickBot="1">
      <c r="A38" s="185"/>
      <c r="B38" s="44" t="s">
        <v>115</v>
      </c>
      <c r="C38" s="17"/>
      <c r="D38" s="65">
        <f>Table192122[[#This Row],[عدد]]/$C$51</f>
        <v>0</v>
      </c>
      <c r="E38" s="100"/>
      <c r="F38" s="100"/>
      <c r="G38" s="86">
        <f t="shared" si="5"/>
        <v>0</v>
      </c>
    </row>
    <row r="39" spans="1:7" ht="23.25" thickTop="1" thickBot="1">
      <c r="A39" s="185"/>
      <c r="B39" s="44" t="s">
        <v>116</v>
      </c>
      <c r="C39" s="17"/>
      <c r="D39" s="65">
        <f>Table192122[[#This Row],[عدد]]/$C$51</f>
        <v>0</v>
      </c>
      <c r="E39" s="100"/>
      <c r="F39" s="100"/>
      <c r="G39" s="86">
        <f t="shared" si="5"/>
        <v>0</v>
      </c>
    </row>
    <row r="40" spans="1:7" ht="23.25" thickTop="1" thickBot="1">
      <c r="A40" s="185"/>
      <c r="B40" s="44" t="s">
        <v>117</v>
      </c>
      <c r="C40" s="17"/>
      <c r="D40" s="65">
        <f>Table192122[[#This Row],[عدد]]/$C$51</f>
        <v>0</v>
      </c>
      <c r="E40" s="100"/>
      <c r="F40" s="100"/>
      <c r="G40" s="86">
        <f t="shared" si="5"/>
        <v>0</v>
      </c>
    </row>
    <row r="41" spans="1:7" ht="23.25" thickTop="1" thickBot="1">
      <c r="A41" s="185"/>
      <c r="B41" s="44" t="s">
        <v>15</v>
      </c>
      <c r="C41" s="17"/>
      <c r="D41" s="65">
        <f>Table192122[[#This Row],[عدد]]/$C$51</f>
        <v>0</v>
      </c>
      <c r="E41" s="100"/>
      <c r="F41" s="100"/>
      <c r="G41" s="86">
        <f t="shared" si="5"/>
        <v>0</v>
      </c>
    </row>
    <row r="42" spans="1:7" ht="23.25" thickTop="1" thickBot="1">
      <c r="A42" s="185"/>
      <c r="B42" s="44" t="s">
        <v>118</v>
      </c>
      <c r="C42" s="17"/>
      <c r="D42" s="65">
        <f>Table192122[[#This Row],[عدد]]/$C$51</f>
        <v>0</v>
      </c>
      <c r="E42" s="100"/>
      <c r="F42" s="100"/>
      <c r="G42" s="86">
        <f t="shared" si="5"/>
        <v>0</v>
      </c>
    </row>
    <row r="43" spans="1:7" ht="23.25" thickTop="1" thickBot="1">
      <c r="A43" s="185"/>
      <c r="B43" s="44" t="s">
        <v>119</v>
      </c>
      <c r="C43" s="17"/>
      <c r="D43" s="65">
        <f>Table192122[[#This Row],[عدد]]/$C$51</f>
        <v>0</v>
      </c>
      <c r="E43" s="100"/>
      <c r="F43" s="100"/>
      <c r="G43" s="86">
        <f t="shared" si="5"/>
        <v>0</v>
      </c>
    </row>
    <row r="44" spans="1:7" ht="23.25" thickTop="1" thickBot="1">
      <c r="A44" s="185"/>
      <c r="B44" s="44" t="s">
        <v>120</v>
      </c>
      <c r="C44" s="17"/>
      <c r="D44" s="65">
        <f>Table192122[[#This Row],[عدد]]/$C$51</f>
        <v>0</v>
      </c>
      <c r="E44" s="100"/>
      <c r="F44" s="100"/>
      <c r="G44" s="86">
        <f t="shared" si="5"/>
        <v>0</v>
      </c>
    </row>
    <row r="45" spans="1:7" ht="23.25" thickTop="1" thickBot="1">
      <c r="A45" s="185"/>
      <c r="B45" s="44" t="s">
        <v>14</v>
      </c>
      <c r="C45" s="17"/>
      <c r="D45" s="65">
        <f>Table192122[[#This Row],[عدد]]/$C$51</f>
        <v>0</v>
      </c>
      <c r="E45" s="100"/>
      <c r="F45" s="100"/>
      <c r="G45" s="86">
        <f t="shared" si="5"/>
        <v>0</v>
      </c>
    </row>
    <row r="46" spans="1:7" ht="23.25" thickTop="1" thickBot="1">
      <c r="A46" s="185"/>
      <c r="B46" s="44" t="s">
        <v>121</v>
      </c>
      <c r="C46" s="17"/>
      <c r="D46" s="65">
        <f>Table192122[[#This Row],[عدد]]/$C$51</f>
        <v>0</v>
      </c>
      <c r="E46" s="100"/>
      <c r="F46" s="100"/>
      <c r="G46" s="86">
        <f t="shared" si="5"/>
        <v>0</v>
      </c>
    </row>
    <row r="47" spans="1:7" ht="23.25" thickTop="1" thickBot="1">
      <c r="A47" s="185"/>
      <c r="B47" s="44" t="s">
        <v>14</v>
      </c>
      <c r="C47" s="17"/>
      <c r="D47" s="65">
        <f>Table192122[[#This Row],[عدد]]/$C$51</f>
        <v>0</v>
      </c>
      <c r="E47" s="100"/>
      <c r="F47" s="100"/>
      <c r="G47" s="86">
        <f t="shared" si="5"/>
        <v>0</v>
      </c>
    </row>
    <row r="48" spans="1:7" ht="23.25" thickTop="1" thickBot="1">
      <c r="A48" s="185"/>
      <c r="B48" s="44" t="s">
        <v>122</v>
      </c>
      <c r="C48" s="17"/>
      <c r="D48" s="65">
        <f>Table192122[[#This Row],[عدد]]/$C$51</f>
        <v>0</v>
      </c>
      <c r="E48" s="100"/>
      <c r="F48" s="100"/>
      <c r="G48" s="86">
        <f t="shared" si="5"/>
        <v>0</v>
      </c>
    </row>
    <row r="49" spans="1:7" ht="23.25" thickTop="1" thickBot="1">
      <c r="A49" s="185"/>
      <c r="B49" s="44" t="s">
        <v>123</v>
      </c>
      <c r="C49" s="17"/>
      <c r="D49" s="65">
        <f>Table192122[[#This Row],[عدد]]/$C$51</f>
        <v>0</v>
      </c>
      <c r="E49" s="100"/>
      <c r="F49" s="100"/>
      <c r="G49" s="86">
        <f t="shared" si="5"/>
        <v>0</v>
      </c>
    </row>
    <row r="50" spans="1:7" ht="23.25" thickTop="1" thickBot="1">
      <c r="A50" s="186"/>
      <c r="B50" s="50" t="s">
        <v>124</v>
      </c>
      <c r="C50" s="17"/>
      <c r="D50" s="65">
        <f>Table192122[[#This Row],[عدد]]/$C$51</f>
        <v>0</v>
      </c>
      <c r="E50" s="100"/>
      <c r="F50" s="100"/>
      <c r="G50" s="86">
        <f t="shared" si="5"/>
        <v>0</v>
      </c>
    </row>
    <row r="51" spans="1:7" ht="23.25" thickTop="1" thickBot="1">
      <c r="A51" s="60" t="s">
        <v>16</v>
      </c>
      <c r="B51" s="59"/>
      <c r="C51" s="66">
        <f t="shared" ref="C51" si="6">SUM(C36:C50)</f>
        <v>455</v>
      </c>
      <c r="D51" s="67">
        <f>SUBTOTAL(109,D36:D50)</f>
        <v>1</v>
      </c>
      <c r="E51" s="87">
        <f t="shared" ref="E51" si="7">SUBTOTAL(109,E36:E50)</f>
        <v>316100316.74000031</v>
      </c>
      <c r="F51" s="87">
        <f t="shared" ref="F51" si="8">SUBTOTAL(109,F36:F50)</f>
        <v>254586454.13999993</v>
      </c>
      <c r="G51" s="87">
        <f>SUBTOTAL(109,G36:G50)</f>
        <v>61513862.600000381</v>
      </c>
    </row>
    <row r="52" spans="1:7" ht="26.25" customHeight="1" thickBot="1">
      <c r="A52" s="184" t="s">
        <v>50</v>
      </c>
      <c r="B52" s="58" t="s">
        <v>43</v>
      </c>
      <c r="C52" s="58" t="s">
        <v>44</v>
      </c>
      <c r="D52" s="58" t="s">
        <v>45</v>
      </c>
      <c r="E52" s="58" t="s">
        <v>46</v>
      </c>
      <c r="F52" s="58" t="s">
        <v>47</v>
      </c>
      <c r="G52" s="58" t="s">
        <v>61</v>
      </c>
    </row>
    <row r="53" spans="1:7" ht="23.25" thickTop="1" thickBot="1">
      <c r="A53" s="185"/>
      <c r="B53" s="44" t="s">
        <v>10</v>
      </c>
      <c r="C53" s="17"/>
      <c r="D53" s="65" t="e">
        <f>Table19212223[[#This Row],[عدد]]/$C$68</f>
        <v>#DIV/0!</v>
      </c>
      <c r="E53" s="100"/>
      <c r="F53" s="100"/>
      <c r="G53" s="86">
        <f>E53-F53</f>
        <v>0</v>
      </c>
    </row>
    <row r="54" spans="1:7" ht="23.25" thickTop="1" thickBot="1">
      <c r="A54" s="185"/>
      <c r="B54" s="44" t="s">
        <v>11</v>
      </c>
      <c r="C54" s="17"/>
      <c r="D54" s="65" t="e">
        <f>Table19212223[[#This Row],[عدد]]/$C$68</f>
        <v>#DIV/0!</v>
      </c>
      <c r="E54" s="100"/>
      <c r="F54" s="100"/>
      <c r="G54" s="86">
        <f t="shared" ref="G54:G67" si="9">E54-F54</f>
        <v>0</v>
      </c>
    </row>
    <row r="55" spans="1:7" ht="23.25" thickTop="1" thickBot="1">
      <c r="A55" s="185"/>
      <c r="B55" s="44" t="s">
        <v>115</v>
      </c>
      <c r="C55" s="17"/>
      <c r="D55" s="65" t="e">
        <f>Table19212223[[#This Row],[عدد]]/$C$68</f>
        <v>#DIV/0!</v>
      </c>
      <c r="E55" s="100"/>
      <c r="F55" s="100"/>
      <c r="G55" s="86">
        <f t="shared" si="9"/>
        <v>0</v>
      </c>
    </row>
    <row r="56" spans="1:7" ht="23.25" thickTop="1" thickBot="1">
      <c r="A56" s="185"/>
      <c r="B56" s="44" t="s">
        <v>116</v>
      </c>
      <c r="C56" s="17"/>
      <c r="D56" s="65" t="e">
        <f>Table19212223[[#This Row],[عدد]]/$C$68</f>
        <v>#DIV/0!</v>
      </c>
      <c r="E56" s="100"/>
      <c r="F56" s="100"/>
      <c r="G56" s="86">
        <f t="shared" si="9"/>
        <v>0</v>
      </c>
    </row>
    <row r="57" spans="1:7" ht="23.25" thickTop="1" thickBot="1">
      <c r="A57" s="185"/>
      <c r="B57" s="44" t="s">
        <v>117</v>
      </c>
      <c r="C57" s="17"/>
      <c r="D57" s="65" t="e">
        <f>Table19212223[[#This Row],[عدد]]/$C$68</f>
        <v>#DIV/0!</v>
      </c>
      <c r="E57" s="100"/>
      <c r="F57" s="100"/>
      <c r="G57" s="86">
        <f t="shared" si="9"/>
        <v>0</v>
      </c>
    </row>
    <row r="58" spans="1:7" ht="23.25" thickTop="1" thickBot="1">
      <c r="A58" s="185"/>
      <c r="B58" s="44" t="s">
        <v>15</v>
      </c>
      <c r="C58" s="17"/>
      <c r="D58" s="65" t="e">
        <f>Table19212223[[#This Row],[عدد]]/$C$68</f>
        <v>#DIV/0!</v>
      </c>
      <c r="E58" s="100"/>
      <c r="F58" s="100"/>
      <c r="G58" s="86">
        <f t="shared" si="9"/>
        <v>0</v>
      </c>
    </row>
    <row r="59" spans="1:7" ht="23.25" thickTop="1" thickBot="1">
      <c r="A59" s="185"/>
      <c r="B59" s="44" t="s">
        <v>118</v>
      </c>
      <c r="C59" s="17"/>
      <c r="D59" s="65" t="e">
        <f>Table19212223[[#This Row],[عدد]]/$C$68</f>
        <v>#DIV/0!</v>
      </c>
      <c r="E59" s="100"/>
      <c r="F59" s="100"/>
      <c r="G59" s="86">
        <f t="shared" si="9"/>
        <v>0</v>
      </c>
    </row>
    <row r="60" spans="1:7" ht="23.25" thickTop="1" thickBot="1">
      <c r="A60" s="185"/>
      <c r="B60" s="44" t="s">
        <v>119</v>
      </c>
      <c r="C60" s="17"/>
      <c r="D60" s="65" t="e">
        <f>Table19212223[[#This Row],[عدد]]/$C$68</f>
        <v>#DIV/0!</v>
      </c>
      <c r="E60" s="100"/>
      <c r="F60" s="100"/>
      <c r="G60" s="86">
        <f t="shared" si="9"/>
        <v>0</v>
      </c>
    </row>
    <row r="61" spans="1:7" ht="23.25" thickTop="1" thickBot="1">
      <c r="A61" s="185"/>
      <c r="B61" s="44" t="s">
        <v>120</v>
      </c>
      <c r="C61" s="17"/>
      <c r="D61" s="65" t="e">
        <f>Table19212223[[#This Row],[عدد]]/$C$68</f>
        <v>#DIV/0!</v>
      </c>
      <c r="E61" s="100"/>
      <c r="F61" s="100"/>
      <c r="G61" s="86">
        <f t="shared" si="9"/>
        <v>0</v>
      </c>
    </row>
    <row r="62" spans="1:7" ht="23.25" thickTop="1" thickBot="1">
      <c r="A62" s="185"/>
      <c r="B62" s="44" t="s">
        <v>14</v>
      </c>
      <c r="C62" s="17"/>
      <c r="D62" s="65" t="e">
        <f>Table19212223[[#This Row],[عدد]]/$C$68</f>
        <v>#DIV/0!</v>
      </c>
      <c r="E62" s="100"/>
      <c r="F62" s="100"/>
      <c r="G62" s="86">
        <f t="shared" si="9"/>
        <v>0</v>
      </c>
    </row>
    <row r="63" spans="1:7" ht="23.25" thickTop="1" thickBot="1">
      <c r="A63" s="185"/>
      <c r="B63" s="44" t="s">
        <v>121</v>
      </c>
      <c r="C63" s="17"/>
      <c r="D63" s="65" t="e">
        <f>Table19212223[[#This Row],[عدد]]/$C$68</f>
        <v>#DIV/0!</v>
      </c>
      <c r="E63" s="100"/>
      <c r="F63" s="100"/>
      <c r="G63" s="86">
        <f t="shared" si="9"/>
        <v>0</v>
      </c>
    </row>
    <row r="64" spans="1:7" ht="23.25" thickTop="1" thickBot="1">
      <c r="A64" s="185"/>
      <c r="B64" s="44" t="s">
        <v>14</v>
      </c>
      <c r="C64" s="17"/>
      <c r="D64" s="65" t="e">
        <f>Table19212223[[#This Row],[عدد]]/$C$68</f>
        <v>#DIV/0!</v>
      </c>
      <c r="E64" s="100"/>
      <c r="F64" s="100"/>
      <c r="G64" s="86">
        <f t="shared" si="9"/>
        <v>0</v>
      </c>
    </row>
    <row r="65" spans="1:8" ht="23.25" thickTop="1" thickBot="1">
      <c r="A65" s="185"/>
      <c r="B65" s="44" t="s">
        <v>122</v>
      </c>
      <c r="C65" s="17"/>
      <c r="D65" s="65" t="e">
        <f>Table19212223[[#This Row],[عدد]]/$C$68</f>
        <v>#DIV/0!</v>
      </c>
      <c r="E65" s="100"/>
      <c r="F65" s="100"/>
      <c r="G65" s="86">
        <f t="shared" si="9"/>
        <v>0</v>
      </c>
    </row>
    <row r="66" spans="1:8" ht="23.25" thickTop="1" thickBot="1">
      <c r="A66" s="185"/>
      <c r="B66" s="44" t="s">
        <v>123</v>
      </c>
      <c r="C66" s="17"/>
      <c r="D66" s="65" t="e">
        <f>Table19212223[[#This Row],[عدد]]/$C$68</f>
        <v>#DIV/0!</v>
      </c>
      <c r="E66" s="100"/>
      <c r="F66" s="100"/>
      <c r="G66" s="86">
        <f t="shared" si="9"/>
        <v>0</v>
      </c>
    </row>
    <row r="67" spans="1:8" ht="23.25" thickTop="1" thickBot="1">
      <c r="A67" s="186"/>
      <c r="B67" s="50" t="s">
        <v>124</v>
      </c>
      <c r="C67" s="17"/>
      <c r="D67" s="65" t="e">
        <f>Table19212223[[#This Row],[عدد]]/$C$68</f>
        <v>#DIV/0!</v>
      </c>
      <c r="E67" s="100"/>
      <c r="F67" s="100"/>
      <c r="G67" s="86">
        <f t="shared" si="9"/>
        <v>0</v>
      </c>
    </row>
    <row r="68" spans="1:8" ht="23.25" customHeight="1" thickTop="1" thickBot="1">
      <c r="A68" s="60" t="s">
        <v>16</v>
      </c>
      <c r="B68" s="59"/>
      <c r="C68" s="66">
        <f t="shared" ref="C68" si="10">SUM(C53:C67)</f>
        <v>0</v>
      </c>
      <c r="D68" s="67" t="e">
        <f>SUM(109,D53:D67)</f>
        <v>#DIV/0!</v>
      </c>
      <c r="E68" s="87">
        <f t="shared" ref="E68:F68" si="11">SUBTOTAL(109,E53:E67)</f>
        <v>0</v>
      </c>
      <c r="F68" s="87">
        <f t="shared" si="11"/>
        <v>0</v>
      </c>
      <c r="G68" s="87">
        <f>SUBTOTAL(109,G53:G67)</f>
        <v>0</v>
      </c>
    </row>
    <row r="69" spans="1:8" ht="21" customHeight="1" thickBot="1">
      <c r="A69" s="184" t="s">
        <v>109</v>
      </c>
      <c r="B69" s="58" t="s">
        <v>43</v>
      </c>
      <c r="C69" s="58" t="s">
        <v>44</v>
      </c>
      <c r="D69" s="58" t="s">
        <v>45</v>
      </c>
      <c r="E69" s="58" t="s">
        <v>46</v>
      </c>
      <c r="F69" s="58" t="s">
        <v>47</v>
      </c>
      <c r="G69" s="58" t="s">
        <v>61</v>
      </c>
    </row>
    <row r="70" spans="1:8" ht="24" customHeight="1" thickTop="1" thickBot="1">
      <c r="A70" s="185"/>
      <c r="B70" s="44" t="s">
        <v>10</v>
      </c>
      <c r="C70" s="17"/>
      <c r="D70" s="65" t="e">
        <f>Table1921222324[[#This Row],[عدد]]/$C$85</f>
        <v>#DIV/0!</v>
      </c>
      <c r="E70" s="100"/>
      <c r="F70" s="100"/>
      <c r="G70" s="86">
        <f>E70-F70</f>
        <v>0</v>
      </c>
    </row>
    <row r="71" spans="1:8" ht="20.25" customHeight="1" thickTop="1" thickBot="1">
      <c r="A71" s="185"/>
      <c r="B71" s="44" t="s">
        <v>11</v>
      </c>
      <c r="C71" s="17"/>
      <c r="D71" s="65" t="e">
        <f>Table1921222324[[#This Row],[عدد]]/$C$85</f>
        <v>#DIV/0!</v>
      </c>
      <c r="E71" s="100"/>
      <c r="F71" s="100"/>
      <c r="G71" s="86">
        <f t="shared" ref="G71:G84" si="12">E71-F71</f>
        <v>0</v>
      </c>
    </row>
    <row r="72" spans="1:8" ht="17.25" customHeight="1" thickTop="1" thickBot="1">
      <c r="A72" s="185"/>
      <c r="B72" s="44" t="s">
        <v>115</v>
      </c>
      <c r="C72" s="17"/>
      <c r="D72" s="65" t="e">
        <f>Table1921222324[[#This Row],[عدد]]/$C$85</f>
        <v>#DIV/0!</v>
      </c>
      <c r="E72" s="100"/>
      <c r="F72" s="100"/>
      <c r="G72" s="86">
        <f t="shared" si="12"/>
        <v>0</v>
      </c>
      <c r="H72" s="61"/>
    </row>
    <row r="73" spans="1:8" ht="22.5" customHeight="1" thickTop="1" thickBot="1">
      <c r="A73" s="185"/>
      <c r="B73" s="44" t="s">
        <v>116</v>
      </c>
      <c r="C73" s="17"/>
      <c r="D73" s="65" t="e">
        <f>Table1921222324[[#This Row],[عدد]]/$C$85</f>
        <v>#DIV/0!</v>
      </c>
      <c r="E73" s="100"/>
      <c r="F73" s="100"/>
      <c r="G73" s="86">
        <f t="shared" si="12"/>
        <v>0</v>
      </c>
    </row>
    <row r="74" spans="1:8" ht="20.25" customHeight="1" thickTop="1" thickBot="1">
      <c r="A74" s="185"/>
      <c r="B74" s="44" t="s">
        <v>117</v>
      </c>
      <c r="C74" s="17"/>
      <c r="D74" s="65" t="e">
        <f>Table1921222324[[#This Row],[عدد]]/$C$85</f>
        <v>#DIV/0!</v>
      </c>
      <c r="E74" s="100"/>
      <c r="F74" s="100"/>
      <c r="G74" s="86">
        <f t="shared" si="12"/>
        <v>0</v>
      </c>
    </row>
    <row r="75" spans="1:8" ht="23.25" thickTop="1" thickBot="1">
      <c r="A75" s="185"/>
      <c r="B75" s="44" t="s">
        <v>15</v>
      </c>
      <c r="C75" s="17"/>
      <c r="D75" s="65" t="e">
        <f>Table1921222324[[#This Row],[عدد]]/$C$85</f>
        <v>#DIV/0!</v>
      </c>
      <c r="E75" s="100"/>
      <c r="F75" s="100"/>
      <c r="G75" s="86">
        <f t="shared" si="12"/>
        <v>0</v>
      </c>
    </row>
    <row r="76" spans="1:8" ht="23.25" thickTop="1" thickBot="1">
      <c r="A76" s="185"/>
      <c r="B76" s="44" t="s">
        <v>118</v>
      </c>
      <c r="C76" s="17"/>
      <c r="D76" s="65" t="e">
        <f>Table1921222324[[#This Row],[عدد]]/$C$85</f>
        <v>#DIV/0!</v>
      </c>
      <c r="E76" s="100"/>
      <c r="F76" s="100"/>
      <c r="G76" s="86">
        <f t="shared" si="12"/>
        <v>0</v>
      </c>
    </row>
    <row r="77" spans="1:8" ht="23.25" thickTop="1" thickBot="1">
      <c r="A77" s="185"/>
      <c r="B77" s="44" t="s">
        <v>119</v>
      </c>
      <c r="C77" s="17"/>
      <c r="D77" s="65" t="e">
        <f>Table1921222324[[#This Row],[عدد]]/$C$85</f>
        <v>#DIV/0!</v>
      </c>
      <c r="E77" s="100"/>
      <c r="F77" s="100"/>
      <c r="G77" s="86">
        <f t="shared" si="12"/>
        <v>0</v>
      </c>
    </row>
    <row r="78" spans="1:8" ht="23.25" thickTop="1" thickBot="1">
      <c r="A78" s="185"/>
      <c r="B78" s="44" t="s">
        <v>120</v>
      </c>
      <c r="C78" s="17"/>
      <c r="D78" s="65" t="e">
        <f>Table1921222324[[#This Row],[عدد]]/$C$85</f>
        <v>#DIV/0!</v>
      </c>
      <c r="E78" s="100"/>
      <c r="F78" s="100"/>
      <c r="G78" s="86">
        <f t="shared" si="12"/>
        <v>0</v>
      </c>
    </row>
    <row r="79" spans="1:8" ht="23.25" thickTop="1" thickBot="1">
      <c r="A79" s="185"/>
      <c r="B79" s="44" t="s">
        <v>14</v>
      </c>
      <c r="C79" s="17"/>
      <c r="D79" s="65" t="e">
        <f>Table1921222324[[#This Row],[عدد]]/$C$85</f>
        <v>#DIV/0!</v>
      </c>
      <c r="E79" s="100"/>
      <c r="F79" s="100"/>
      <c r="G79" s="86">
        <f t="shared" si="12"/>
        <v>0</v>
      </c>
    </row>
    <row r="80" spans="1:8" ht="23.25" thickTop="1" thickBot="1">
      <c r="A80" s="185"/>
      <c r="B80" s="44" t="s">
        <v>121</v>
      </c>
      <c r="C80" s="17"/>
      <c r="D80" s="65" t="e">
        <f>Table1921222324[[#This Row],[عدد]]/$C$85</f>
        <v>#DIV/0!</v>
      </c>
      <c r="E80" s="100"/>
      <c r="F80" s="100"/>
      <c r="G80" s="86">
        <f t="shared" si="12"/>
        <v>0</v>
      </c>
    </row>
    <row r="81" spans="1:7" ht="23.25" thickTop="1" thickBot="1">
      <c r="A81" s="185"/>
      <c r="B81" s="44" t="s">
        <v>14</v>
      </c>
      <c r="C81" s="17"/>
      <c r="D81" s="65" t="e">
        <f>Table1921222324[[#This Row],[عدد]]/$C$85</f>
        <v>#DIV/0!</v>
      </c>
      <c r="E81" s="100"/>
      <c r="F81" s="100"/>
      <c r="G81" s="86">
        <f t="shared" si="12"/>
        <v>0</v>
      </c>
    </row>
    <row r="82" spans="1:7" ht="23.25" thickTop="1" thickBot="1">
      <c r="A82" s="185"/>
      <c r="B82" s="44" t="s">
        <v>122</v>
      </c>
      <c r="C82" s="17"/>
      <c r="D82" s="65" t="e">
        <f>Table1921222324[[#This Row],[عدد]]/$C$85</f>
        <v>#DIV/0!</v>
      </c>
      <c r="E82" s="100"/>
      <c r="F82" s="100"/>
      <c r="G82" s="86">
        <f t="shared" si="12"/>
        <v>0</v>
      </c>
    </row>
    <row r="83" spans="1:7" ht="23.25" thickTop="1" thickBot="1">
      <c r="A83" s="185"/>
      <c r="B83" s="44" t="s">
        <v>123</v>
      </c>
      <c r="C83" s="17"/>
      <c r="D83" s="65" t="e">
        <f>Table1921222324[[#This Row],[عدد]]/$C$85</f>
        <v>#DIV/0!</v>
      </c>
      <c r="E83" s="100"/>
      <c r="F83" s="100"/>
      <c r="G83" s="86">
        <f t="shared" si="12"/>
        <v>0</v>
      </c>
    </row>
    <row r="84" spans="1:7" ht="23.25" thickTop="1" thickBot="1">
      <c r="A84" s="186"/>
      <c r="B84" s="50" t="s">
        <v>124</v>
      </c>
      <c r="C84" s="17"/>
      <c r="D84" s="65" t="e">
        <f>Table1921222324[[#This Row],[عدد]]/$C$85</f>
        <v>#DIV/0!</v>
      </c>
      <c r="E84" s="100"/>
      <c r="F84" s="100"/>
      <c r="G84" s="86">
        <f t="shared" si="12"/>
        <v>0</v>
      </c>
    </row>
    <row r="85" spans="1:7" ht="23.25" thickTop="1" thickBot="1">
      <c r="A85" s="60" t="s">
        <v>16</v>
      </c>
      <c r="B85" s="59"/>
      <c r="C85" s="66">
        <f t="shared" ref="C85" si="13">SUM(C70:C84)</f>
        <v>0</v>
      </c>
      <c r="D85" s="68" t="e">
        <f>SUBTOTAL(109,D70:D84)</f>
        <v>#DIV/0!</v>
      </c>
      <c r="E85" s="87">
        <f t="shared" ref="E85" si="14">SUBTOTAL(109,E70:E84)</f>
        <v>0</v>
      </c>
      <c r="F85" s="87">
        <f t="shared" ref="F85" si="15">SUBTOTAL(109,F70:F84)</f>
        <v>0</v>
      </c>
      <c r="G85" s="87">
        <f>SUBTOTAL(109,G70:G84)</f>
        <v>0</v>
      </c>
    </row>
    <row r="86" spans="1:7" ht="44.25" thickBot="1">
      <c r="A86" s="184" t="s">
        <v>192</v>
      </c>
      <c r="B86" s="58" t="s">
        <v>43</v>
      </c>
      <c r="C86" s="58" t="s">
        <v>44</v>
      </c>
      <c r="D86" s="58" t="s">
        <v>45</v>
      </c>
      <c r="E86" s="58" t="s">
        <v>46</v>
      </c>
      <c r="F86" s="58" t="s">
        <v>191</v>
      </c>
      <c r="G86" s="58" t="s">
        <v>61</v>
      </c>
    </row>
    <row r="87" spans="1:7" ht="23.25" thickTop="1" thickBot="1">
      <c r="A87" s="185"/>
      <c r="B87" s="44" t="s">
        <v>10</v>
      </c>
      <c r="C87" s="17"/>
      <c r="D87" s="65" t="e">
        <f>Table19212223246[[#This Row],[عدد]]/$C$102</f>
        <v>#DIV/0!</v>
      </c>
      <c r="E87" s="100"/>
      <c r="F87" s="100"/>
      <c r="G87" s="86">
        <f>E87-F87</f>
        <v>0</v>
      </c>
    </row>
    <row r="88" spans="1:7" ht="23.25" thickTop="1" thickBot="1">
      <c r="A88" s="185"/>
      <c r="B88" s="44" t="s">
        <v>11</v>
      </c>
      <c r="C88" s="17"/>
      <c r="D88" s="65" t="e">
        <f>Table19212223246[[#This Row],[عدد]]/$C$102</f>
        <v>#DIV/0!</v>
      </c>
      <c r="E88" s="100"/>
      <c r="F88" s="100"/>
      <c r="G88" s="86">
        <f t="shared" ref="G88:G101" si="16">E88-F88</f>
        <v>0</v>
      </c>
    </row>
    <row r="89" spans="1:7" ht="23.25" thickTop="1" thickBot="1">
      <c r="A89" s="185"/>
      <c r="B89" s="44" t="s">
        <v>115</v>
      </c>
      <c r="C89" s="17"/>
      <c r="D89" s="65" t="e">
        <f>Table19212223246[[#This Row],[عدد]]/$C$102</f>
        <v>#DIV/0!</v>
      </c>
      <c r="E89" s="100"/>
      <c r="F89" s="100"/>
      <c r="G89" s="86">
        <f t="shared" si="16"/>
        <v>0</v>
      </c>
    </row>
    <row r="90" spans="1:7" ht="23.25" thickTop="1" thickBot="1">
      <c r="A90" s="185"/>
      <c r="B90" s="44" t="s">
        <v>116</v>
      </c>
      <c r="C90" s="17"/>
      <c r="D90" s="65" t="e">
        <f>Table19212223246[[#This Row],[عدد]]/$C$102</f>
        <v>#DIV/0!</v>
      </c>
      <c r="E90" s="100"/>
      <c r="F90" s="100"/>
      <c r="G90" s="86">
        <f t="shared" si="16"/>
        <v>0</v>
      </c>
    </row>
    <row r="91" spans="1:7" ht="23.25" thickTop="1" thickBot="1">
      <c r="A91" s="185"/>
      <c r="B91" s="44" t="s">
        <v>117</v>
      </c>
      <c r="C91" s="17"/>
      <c r="D91" s="65" t="e">
        <f>Table19212223246[[#This Row],[عدد]]/$C$102</f>
        <v>#DIV/0!</v>
      </c>
      <c r="E91" s="100"/>
      <c r="F91" s="100"/>
      <c r="G91" s="86">
        <f t="shared" si="16"/>
        <v>0</v>
      </c>
    </row>
    <row r="92" spans="1:7" ht="23.25" thickTop="1" thickBot="1">
      <c r="A92" s="185"/>
      <c r="B92" s="44" t="s">
        <v>15</v>
      </c>
      <c r="C92" s="17"/>
      <c r="D92" s="65" t="e">
        <f>Table19212223246[[#This Row],[عدد]]/$C$102</f>
        <v>#DIV/0!</v>
      </c>
      <c r="E92" s="100"/>
      <c r="F92" s="100"/>
      <c r="G92" s="86">
        <f t="shared" si="16"/>
        <v>0</v>
      </c>
    </row>
    <row r="93" spans="1:7" ht="23.25" thickTop="1" thickBot="1">
      <c r="A93" s="185"/>
      <c r="B93" s="44" t="s">
        <v>118</v>
      </c>
      <c r="C93" s="17"/>
      <c r="D93" s="65" t="e">
        <f>Table19212223246[[#This Row],[عدد]]/$C$102</f>
        <v>#DIV/0!</v>
      </c>
      <c r="E93" s="100"/>
      <c r="F93" s="100"/>
      <c r="G93" s="86">
        <f t="shared" si="16"/>
        <v>0</v>
      </c>
    </row>
    <row r="94" spans="1:7" ht="23.25" thickTop="1" thickBot="1">
      <c r="A94" s="185"/>
      <c r="B94" s="44" t="s">
        <v>119</v>
      </c>
      <c r="C94" s="17"/>
      <c r="D94" s="65" t="e">
        <f>Table19212223246[[#This Row],[عدد]]/$C$102</f>
        <v>#DIV/0!</v>
      </c>
      <c r="E94" s="100"/>
      <c r="F94" s="100"/>
      <c r="G94" s="86">
        <f t="shared" si="16"/>
        <v>0</v>
      </c>
    </row>
    <row r="95" spans="1:7" ht="23.25" thickTop="1" thickBot="1">
      <c r="A95" s="185"/>
      <c r="B95" s="44" t="s">
        <v>120</v>
      </c>
      <c r="C95" s="17"/>
      <c r="D95" s="65" t="e">
        <f>Table19212223246[[#This Row],[عدد]]/$C$102</f>
        <v>#DIV/0!</v>
      </c>
      <c r="E95" s="100"/>
      <c r="F95" s="100"/>
      <c r="G95" s="86">
        <f t="shared" si="16"/>
        <v>0</v>
      </c>
    </row>
    <row r="96" spans="1:7" ht="23.25" thickTop="1" thickBot="1">
      <c r="A96" s="185"/>
      <c r="B96" s="44" t="s">
        <v>14</v>
      </c>
      <c r="C96" s="17"/>
      <c r="D96" s="65" t="e">
        <f>Table19212223246[[#This Row],[عدد]]/$C$102</f>
        <v>#DIV/0!</v>
      </c>
      <c r="E96" s="100"/>
      <c r="F96" s="100"/>
      <c r="G96" s="86">
        <f t="shared" si="16"/>
        <v>0</v>
      </c>
    </row>
    <row r="97" spans="1:7" ht="23.25" thickTop="1" thickBot="1">
      <c r="A97" s="185"/>
      <c r="B97" s="44" t="s">
        <v>121</v>
      </c>
      <c r="C97" s="17"/>
      <c r="D97" s="65" t="e">
        <f>Table19212223246[[#This Row],[عدد]]/$C$102</f>
        <v>#DIV/0!</v>
      </c>
      <c r="E97" s="100"/>
      <c r="F97" s="100"/>
      <c r="G97" s="86">
        <f t="shared" si="16"/>
        <v>0</v>
      </c>
    </row>
    <row r="98" spans="1:7" ht="23.25" thickTop="1" thickBot="1">
      <c r="A98" s="185"/>
      <c r="B98" s="44" t="s">
        <v>14</v>
      </c>
      <c r="C98" s="17"/>
      <c r="D98" s="65" t="e">
        <f>Table19212223246[[#This Row],[عدد]]/$C$102</f>
        <v>#DIV/0!</v>
      </c>
      <c r="E98" s="100"/>
      <c r="F98" s="100"/>
      <c r="G98" s="86">
        <f t="shared" si="16"/>
        <v>0</v>
      </c>
    </row>
    <row r="99" spans="1:7" ht="23.25" thickTop="1" thickBot="1">
      <c r="A99" s="185"/>
      <c r="B99" s="44" t="s">
        <v>122</v>
      </c>
      <c r="C99" s="17"/>
      <c r="D99" s="65" t="e">
        <f>Table19212223246[[#This Row],[عدد]]/$C$102</f>
        <v>#DIV/0!</v>
      </c>
      <c r="E99" s="100"/>
      <c r="F99" s="100"/>
      <c r="G99" s="86">
        <f t="shared" si="16"/>
        <v>0</v>
      </c>
    </row>
    <row r="100" spans="1:7" ht="23.25" thickTop="1" thickBot="1">
      <c r="A100" s="185"/>
      <c r="B100" s="44" t="s">
        <v>123</v>
      </c>
      <c r="C100" s="17"/>
      <c r="D100" s="65" t="e">
        <f>Table19212223246[[#This Row],[عدد]]/$C$102</f>
        <v>#DIV/0!</v>
      </c>
      <c r="E100" s="100"/>
      <c r="F100" s="100"/>
      <c r="G100" s="86">
        <f t="shared" si="16"/>
        <v>0</v>
      </c>
    </row>
    <row r="101" spans="1:7" ht="23.25" thickTop="1" thickBot="1">
      <c r="A101" s="186"/>
      <c r="B101" s="50" t="s">
        <v>124</v>
      </c>
      <c r="C101" s="17"/>
      <c r="D101" s="65" t="e">
        <f>Table19212223246[[#This Row],[عدد]]/$C$102</f>
        <v>#DIV/0!</v>
      </c>
      <c r="E101" s="100"/>
      <c r="F101" s="100"/>
      <c r="G101" s="86">
        <f t="shared" si="16"/>
        <v>0</v>
      </c>
    </row>
    <row r="102" spans="1:7" ht="23.25" thickTop="1" thickBot="1">
      <c r="A102" s="60" t="s">
        <v>16</v>
      </c>
      <c r="B102" s="59"/>
      <c r="C102" s="66">
        <f t="shared" ref="C102" si="17">SUM(C87:C101)</f>
        <v>0</v>
      </c>
      <c r="D102" s="68" t="e">
        <f>SUBTOTAL(109,D87:D101)</f>
        <v>#DIV/0!</v>
      </c>
      <c r="E102" s="87">
        <f t="shared" ref="E102" si="18">SUBTOTAL(109,E87:E101)</f>
        <v>0</v>
      </c>
      <c r="F102" s="87">
        <f t="shared" ref="F102" si="19">SUBTOTAL(109,F87:F101)</f>
        <v>0</v>
      </c>
      <c r="G102" s="87">
        <f>SUBTOTAL(109,G87:G101)</f>
        <v>0</v>
      </c>
    </row>
    <row r="103" spans="1:7" ht="66" thickBot="1">
      <c r="A103" s="187" t="s">
        <v>80</v>
      </c>
      <c r="B103" s="58" t="s">
        <v>43</v>
      </c>
      <c r="C103" s="58" t="s">
        <v>44</v>
      </c>
      <c r="D103" s="58" t="s">
        <v>187</v>
      </c>
    </row>
    <row r="104" spans="1:7" ht="23.25" thickTop="1" thickBot="1">
      <c r="A104" s="188"/>
      <c r="B104" s="44" t="s">
        <v>10</v>
      </c>
      <c r="C104" s="17"/>
      <c r="D104" s="69">
        <f>Table24[[#This Row],[عدد]]/$C$17</f>
        <v>0</v>
      </c>
    </row>
    <row r="105" spans="1:7" ht="23.25" thickTop="1" thickBot="1">
      <c r="A105" s="188"/>
      <c r="B105" s="44" t="s">
        <v>11</v>
      </c>
      <c r="C105" s="17"/>
      <c r="D105" s="69">
        <f>Table24[[#This Row],[عدد]]/$C$17</f>
        <v>0</v>
      </c>
    </row>
    <row r="106" spans="1:7" ht="23.25" thickTop="1" thickBot="1">
      <c r="A106" s="188"/>
      <c r="B106" s="44" t="s">
        <v>115</v>
      </c>
      <c r="C106" s="17"/>
      <c r="D106" s="69">
        <f>Table24[[#This Row],[عدد]]/$C$17</f>
        <v>0</v>
      </c>
    </row>
    <row r="107" spans="1:7" ht="23.25" thickTop="1" thickBot="1">
      <c r="A107" s="188"/>
      <c r="B107" s="44" t="s">
        <v>116</v>
      </c>
      <c r="C107" s="17"/>
      <c r="D107" s="69">
        <f>Table24[[#This Row],[عدد]]/$C$17</f>
        <v>0</v>
      </c>
    </row>
    <row r="108" spans="1:7" ht="23.25" thickTop="1" thickBot="1">
      <c r="A108" s="188"/>
      <c r="B108" s="44" t="s">
        <v>117</v>
      </c>
      <c r="C108" s="17"/>
      <c r="D108" s="69">
        <f>Table24[[#This Row],[عدد]]/$C$17</f>
        <v>0</v>
      </c>
    </row>
    <row r="109" spans="1:7" ht="23.25" thickTop="1" thickBot="1">
      <c r="A109" s="188"/>
      <c r="B109" s="44" t="s">
        <v>15</v>
      </c>
      <c r="C109" s="17"/>
      <c r="D109" s="69">
        <f>Table24[[#This Row],[عدد]]/$C$17</f>
        <v>0</v>
      </c>
    </row>
    <row r="110" spans="1:7" ht="23.25" thickTop="1" thickBot="1">
      <c r="A110" s="188"/>
      <c r="B110" s="44" t="s">
        <v>118</v>
      </c>
      <c r="C110" s="17"/>
      <c r="D110" s="69">
        <f>Table24[[#This Row],[عدد]]/$C$17</f>
        <v>0</v>
      </c>
    </row>
    <row r="111" spans="1:7" ht="23.25" thickTop="1" thickBot="1">
      <c r="A111" s="188"/>
      <c r="B111" s="44" t="s">
        <v>119</v>
      </c>
      <c r="C111" s="17"/>
      <c r="D111" s="69">
        <f>Table24[[#This Row],[عدد]]/$C$17</f>
        <v>0</v>
      </c>
    </row>
    <row r="112" spans="1:7" ht="23.25" thickTop="1" thickBot="1">
      <c r="A112" s="188"/>
      <c r="B112" s="44" t="s">
        <v>120</v>
      </c>
      <c r="C112" s="17"/>
      <c r="D112" s="69">
        <f>Table24[[#This Row],[عدد]]/$C$17</f>
        <v>0</v>
      </c>
    </row>
    <row r="113" spans="1:4" ht="23.25" thickTop="1" thickBot="1">
      <c r="A113" s="188"/>
      <c r="B113" s="44" t="s">
        <v>14</v>
      </c>
      <c r="C113" s="17"/>
      <c r="D113" s="69">
        <f>Table24[[#This Row],[عدد]]/$C$17</f>
        <v>0</v>
      </c>
    </row>
    <row r="114" spans="1:4" ht="23.25" thickTop="1" thickBot="1">
      <c r="A114" s="188"/>
      <c r="B114" s="44" t="s">
        <v>121</v>
      </c>
      <c r="C114" s="17"/>
      <c r="D114" s="69">
        <f>Table24[[#This Row],[عدد]]/$C$17</f>
        <v>0</v>
      </c>
    </row>
    <row r="115" spans="1:4" ht="23.25" thickTop="1" thickBot="1">
      <c r="A115" s="188"/>
      <c r="B115" s="44" t="s">
        <v>14</v>
      </c>
      <c r="C115" s="17"/>
      <c r="D115" s="69">
        <f>Table24[[#This Row],[عدد]]/$C$17</f>
        <v>0</v>
      </c>
    </row>
    <row r="116" spans="1:4" ht="23.25" thickTop="1" thickBot="1">
      <c r="A116" s="188"/>
      <c r="B116" s="44" t="s">
        <v>122</v>
      </c>
      <c r="C116" s="17"/>
      <c r="D116" s="69">
        <f>Table24[[#This Row],[عدد]]/$C$17</f>
        <v>0</v>
      </c>
    </row>
    <row r="117" spans="1:4" ht="23.25" thickTop="1" thickBot="1">
      <c r="A117" s="188"/>
      <c r="B117" s="44" t="s">
        <v>123</v>
      </c>
      <c r="C117" s="17"/>
      <c r="D117" s="69">
        <f>Table24[[#This Row],[عدد]]/$C$17</f>
        <v>0</v>
      </c>
    </row>
    <row r="118" spans="1:4" ht="23.25" thickTop="1" thickBot="1">
      <c r="A118" s="189"/>
      <c r="B118" s="44" t="s">
        <v>124</v>
      </c>
      <c r="C118" s="17"/>
      <c r="D118" s="69">
        <f>Table24[[#This Row],[عدد]]/$C$17</f>
        <v>0</v>
      </c>
    </row>
    <row r="119" spans="1:4" ht="23.25" thickTop="1" thickBot="1">
      <c r="A119" s="62" t="s">
        <v>16</v>
      </c>
      <c r="B119" s="59"/>
      <c r="C119" s="26">
        <f>SUM(C104:C118)</f>
        <v>0</v>
      </c>
      <c r="D119" s="68">
        <f>SUM(D104:D118)</f>
        <v>0</v>
      </c>
    </row>
  </sheetData>
  <sheetProtection algorithmName="SHA-512" hashValue="ERJYgW5i4aSalyRsRNK9wYYKt7bxXa3i5tub5BaW6lIrglVnQmwm8oOblyilTqJGPNjNMLSz/2/RGUnH+TLMXQ==" saltValue="of4a9Lr+qgjMSe0Xj+SmDA==" spinCount="100000" sheet="1" objects="1" scenarios="1"/>
  <mergeCells count="7">
    <mergeCell ref="A86:A101"/>
    <mergeCell ref="A103:A118"/>
    <mergeCell ref="A2:A16"/>
    <mergeCell ref="A18:A33"/>
    <mergeCell ref="A35:A50"/>
    <mergeCell ref="A52:A67"/>
    <mergeCell ref="A69:A84"/>
  </mergeCells>
  <dataValidations count="1">
    <dataValidation type="custom" operator="notEqual" allowBlank="1" showInputMessage="1" showErrorMessage="1" error=" الخلية لا تقبل نص " prompt="ملاحظة: ادخال ارقام" sqref="C87:C101 E19:F33 E36:F50 E53:F67 E70:F84 C19:C33 C36:C50 C53:C67 C70:C84 C104:C118 E87:F101 F2:F16" xr:uid="{B6A9D587-A21E-473B-919E-B7F32701216C}">
      <formula1>ISNUMBER(C2)</formula1>
    </dataValidation>
  </dataValidations>
  <pageMargins left="0.23622047244094488" right="0.23622047244094488" top="1.1417322834645669" bottom="0.94488188976377951" header="0.31496062992125984" footer="0.31496062992125984"/>
  <pageSetup paperSize="9" scale="81" fitToHeight="0" orientation="landscape" r:id="rId1"/>
  <headerFooter>
    <oddHeader>&amp;C&amp;"Calibri,Bold"&amp;10&amp;K139119&amp;G</oddHeader>
    <oddFooter>&amp;C&amp;G</oddFooter>
  </headerFooter>
  <rowBreaks count="6" manualBreakCount="6">
    <brk id="17" max="6" man="1"/>
    <brk id="34" max="6" man="1"/>
    <brk id="51" max="6" man="1"/>
    <brk id="68" max="6" man="1"/>
    <brk id="85" max="6" man="1"/>
    <brk id="102" max="6" man="1"/>
  </rowBreaks>
  <drawing r:id="rId2"/>
  <legacyDrawingHF r:id="rId3"/>
  <tableParts count="7">
    <tablePart r:id="rId4"/>
    <tablePart r:id="rId5"/>
    <tablePart r:id="rId6"/>
    <tablePart r:id="rId7"/>
    <tablePart r:id="rId8"/>
    <tablePart r:id="rId9"/>
    <tablePart r:id="rId10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V29"/>
  <sheetViews>
    <sheetView showGridLines="0" rightToLeft="1" view="pageBreakPreview" zoomScale="60" zoomScaleNormal="65" workbookViewId="0">
      <selection activeCell="D19" sqref="D19"/>
    </sheetView>
  </sheetViews>
  <sheetFormatPr defaultColWidth="9.140625" defaultRowHeight="21.75"/>
  <cols>
    <col min="1" max="1" width="45.28515625" style="29" customWidth="1"/>
    <col min="2" max="2" width="63.85546875" style="29" customWidth="1"/>
    <col min="3" max="3" width="24.28515625" style="29" customWidth="1"/>
    <col min="4" max="4" width="29.85546875" style="29" bestFit="1" customWidth="1"/>
    <col min="5" max="5" width="32.28515625" style="29" bestFit="1" customWidth="1"/>
    <col min="6" max="6" width="23.5703125" style="29" customWidth="1"/>
    <col min="7" max="7" width="25.28515625" style="29" bestFit="1" customWidth="1"/>
    <col min="8" max="8" width="20.85546875" style="29" bestFit="1" customWidth="1"/>
    <col min="9" max="9" width="21.5703125" style="29" bestFit="1" customWidth="1"/>
    <col min="10" max="10" width="17.42578125" style="29" customWidth="1"/>
    <col min="11" max="11" width="19.42578125" style="29" customWidth="1"/>
    <col min="12" max="14" width="8.7109375" style="29"/>
    <col min="15" max="23" width="8.7109375" style="30"/>
    <col min="24" max="16384" width="9.140625" style="30"/>
  </cols>
  <sheetData>
    <row r="1" spans="1:21" ht="24" customHeight="1" thickTop="1" thickBot="1">
      <c r="A1" s="191" t="s">
        <v>78</v>
      </c>
      <c r="B1" s="192"/>
      <c r="L1" s="30"/>
      <c r="M1" s="30"/>
      <c r="N1" s="30"/>
    </row>
    <row r="2" spans="1:21" ht="23.25" thickTop="1" thickBot="1">
      <c r="A2" s="111" t="s">
        <v>73</v>
      </c>
      <c r="B2" s="112" t="str">
        <f>'(1) البيانات الاساسية'!B7</f>
        <v>أ/208</v>
      </c>
      <c r="L2" s="30"/>
      <c r="M2" s="30"/>
      <c r="N2" s="30"/>
    </row>
    <row r="3" spans="1:21" ht="23.25" thickTop="1" thickBot="1">
      <c r="A3" s="111" t="s">
        <v>74</v>
      </c>
      <c r="B3" s="112" t="str">
        <f>'(1) البيانات الاساسية'!B8</f>
        <v>ايال الاصالة</v>
      </c>
      <c r="L3" s="30"/>
      <c r="M3" s="30"/>
      <c r="N3" s="30"/>
    </row>
    <row r="4" spans="1:21" ht="23.25" thickTop="1" thickBot="1">
      <c r="A4" s="111" t="s">
        <v>2</v>
      </c>
      <c r="B4" s="112" t="str">
        <f>'(1) البيانات الاساسية'!B9</f>
        <v xml:space="preserve">شركة محمد الحبيب العقارية </v>
      </c>
      <c r="L4" s="30"/>
      <c r="M4" s="30"/>
      <c r="N4" s="30"/>
    </row>
    <row r="5" spans="1:21" ht="23.25" thickTop="1" thickBot="1">
      <c r="A5" s="111" t="s">
        <v>63</v>
      </c>
      <c r="B5" s="113" t="s">
        <v>431</v>
      </c>
      <c r="L5" s="30"/>
      <c r="M5" s="30"/>
      <c r="N5" s="30"/>
    </row>
    <row r="6" spans="1:21" ht="23.25" thickTop="1" thickBot="1">
      <c r="A6" s="111" t="s">
        <v>64</v>
      </c>
      <c r="B6" s="113" t="s">
        <v>431</v>
      </c>
      <c r="L6" s="30"/>
      <c r="M6" s="30"/>
      <c r="N6" s="30"/>
    </row>
    <row r="7" spans="1:21" ht="23.25" thickTop="1" thickBot="1">
      <c r="A7" s="111" t="s">
        <v>75</v>
      </c>
      <c r="B7" s="113" t="s">
        <v>431</v>
      </c>
      <c r="L7" s="30"/>
      <c r="M7" s="30"/>
      <c r="N7" s="30"/>
    </row>
    <row r="8" spans="1:21" ht="23.25" thickTop="1" thickBot="1">
      <c r="A8" s="111" t="s">
        <v>76</v>
      </c>
      <c r="B8" s="113" t="s">
        <v>432</v>
      </c>
      <c r="L8" s="30"/>
      <c r="M8" s="30"/>
      <c r="N8" s="30"/>
    </row>
    <row r="9" spans="1:21" ht="23.25" thickTop="1" thickBot="1">
      <c r="A9" s="111" t="s">
        <v>68</v>
      </c>
      <c r="B9" s="112" t="str">
        <f>'(1) البيانات الاساسية'!B10</f>
        <v>شركة إتقان للاستشارات المهنية</v>
      </c>
      <c r="L9" s="30"/>
      <c r="M9" s="30"/>
      <c r="N9" s="30"/>
    </row>
    <row r="10" spans="1:21" ht="23.25" thickTop="1" thickBot="1">
      <c r="A10" s="111" t="s">
        <v>77</v>
      </c>
      <c r="B10" s="112" t="str">
        <f>'(1) البيانات الاساسية'!B11</f>
        <v>بنك الرياض</v>
      </c>
      <c r="L10" s="30"/>
      <c r="M10" s="30"/>
      <c r="N10" s="30"/>
    </row>
    <row r="11" spans="1:21" ht="23.25" thickTop="1" thickBot="1">
      <c r="A11" s="111" t="s">
        <v>65</v>
      </c>
      <c r="B11" s="77">
        <v>45403</v>
      </c>
      <c r="L11" s="30"/>
      <c r="M11" s="30"/>
      <c r="N11" s="30"/>
    </row>
    <row r="12" spans="1:21" ht="23.25" thickTop="1" thickBot="1">
      <c r="A12" s="111" t="s">
        <v>66</v>
      </c>
      <c r="B12" s="77"/>
      <c r="L12" s="30"/>
      <c r="M12" s="30"/>
      <c r="N12" s="30"/>
    </row>
    <row r="13" spans="1:21" ht="23.25" thickTop="1" thickBot="1">
      <c r="A13" s="111" t="s">
        <v>67</v>
      </c>
      <c r="B13" s="114">
        <f ca="1">B12-TODAY()</f>
        <v>-46215</v>
      </c>
      <c r="L13" s="30"/>
      <c r="M13" s="30"/>
      <c r="N13" s="30"/>
    </row>
    <row r="14" spans="1:21" ht="12.75" customHeight="1" thickTop="1" thickBot="1">
      <c r="F14" s="30"/>
      <c r="L14" s="30"/>
      <c r="M14" s="30"/>
      <c r="N14" s="30"/>
    </row>
    <row r="15" spans="1:21" ht="27.75" customHeight="1" thickTop="1" thickBot="1">
      <c r="A15" s="194" t="s">
        <v>188</v>
      </c>
      <c r="B15" s="195"/>
      <c r="M15" s="27"/>
      <c r="N15" s="27"/>
      <c r="O15" s="27"/>
      <c r="P15" s="27"/>
      <c r="Q15" s="27"/>
      <c r="R15" s="27"/>
      <c r="S15" s="27"/>
      <c r="T15" s="27"/>
      <c r="U15" s="27"/>
    </row>
    <row r="16" spans="1:21" ht="46.5" customHeight="1" thickTop="1" thickBot="1">
      <c r="A16" s="115" t="s">
        <v>111</v>
      </c>
      <c r="B16" s="119" cm="1">
        <f t="array" ref="B16">(Table10[[#All],[Column4]]-Sheet1!J8-Sheet1!K8)</f>
        <v>90895929.36999996</v>
      </c>
      <c r="M16" s="27"/>
      <c r="N16" s="27"/>
      <c r="O16" s="27"/>
      <c r="P16" s="27"/>
      <c r="Q16" s="27"/>
      <c r="R16" s="27"/>
      <c r="S16" s="27"/>
      <c r="T16" s="27"/>
    </row>
    <row r="17" spans="1:22" ht="25.5" customHeight="1" thickTop="1" thickBot="1">
      <c r="A17" s="115" t="s">
        <v>110</v>
      </c>
      <c r="B17" s="117">
        <f>B16-Sheet1!L8</f>
        <v>80712471.204399958</v>
      </c>
      <c r="M17" s="27"/>
      <c r="N17" s="27"/>
      <c r="O17" s="27"/>
      <c r="P17" s="27"/>
      <c r="Q17" s="27"/>
      <c r="R17" s="27"/>
      <c r="S17" s="27"/>
      <c r="T17" s="27"/>
    </row>
    <row r="18" spans="1:22" ht="25.5" customHeight="1" thickTop="1" thickBot="1">
      <c r="A18" s="115" t="s">
        <v>112</v>
      </c>
      <c r="B18" s="117">
        <f>B17</f>
        <v>80712471.204399958</v>
      </c>
      <c r="M18" s="27"/>
      <c r="N18" s="27"/>
      <c r="O18" s="27"/>
      <c r="P18" s="27"/>
      <c r="Q18" s="27"/>
      <c r="R18" s="27"/>
      <c r="S18" s="27"/>
      <c r="T18" s="27"/>
    </row>
    <row r="19" spans="1:22" s="32" customFormat="1" ht="21" customHeight="1" thickTop="1" thickBot="1">
      <c r="A19" s="115" t="s">
        <v>71</v>
      </c>
      <c r="B19" s="124"/>
      <c r="C19" s="29"/>
      <c r="D19" s="29"/>
      <c r="G19" s="29"/>
      <c r="J19" s="28"/>
      <c r="K19" s="28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</row>
    <row r="20" spans="1:22" ht="24.75" customHeight="1" thickTop="1" thickBot="1">
      <c r="A20" s="115" t="s">
        <v>72</v>
      </c>
      <c r="B20" s="124"/>
      <c r="K20" s="30"/>
    </row>
    <row r="21" spans="1:22" ht="17.25" customHeight="1" thickTop="1" thickBot="1">
      <c r="K21" s="30"/>
    </row>
    <row r="22" spans="1:22" ht="30.75" customHeight="1" thickTop="1" thickBot="1">
      <c r="A22" s="191" t="s">
        <v>113</v>
      </c>
      <c r="B22" s="193"/>
      <c r="C22" s="193"/>
      <c r="D22" s="193"/>
      <c r="E22" s="192"/>
    </row>
    <row r="23" spans="1:22" ht="21.75" customHeight="1" thickTop="1" thickBot="1">
      <c r="A23" s="128" t="s">
        <v>7</v>
      </c>
      <c r="B23" s="129" t="s">
        <v>85</v>
      </c>
      <c r="C23" s="129" t="s">
        <v>69</v>
      </c>
      <c r="D23" s="129" t="s">
        <v>86</v>
      </c>
      <c r="E23" s="130" t="s">
        <v>87</v>
      </c>
    </row>
    <row r="24" spans="1:22" ht="21.75" customHeight="1" thickTop="1" thickBot="1">
      <c r="A24" s="131" t="s">
        <v>70</v>
      </c>
      <c r="B24" s="132">
        <f>'(1) البيانات الاساسية'!D8</f>
        <v>316100316.74000001</v>
      </c>
      <c r="C24" s="138">
        <f>'(4) وحدات المشروع'!E51</f>
        <v>316100316.74000031</v>
      </c>
      <c r="D24" s="133">
        <f>B24-C24</f>
        <v>0</v>
      </c>
      <c r="E24" s="139">
        <f>C24/B24</f>
        <v>1.0000000000000009</v>
      </c>
    </row>
    <row r="25" spans="1:22" ht="21.6" customHeight="1" thickTop="1" thickBot="1">
      <c r="A25" s="131" t="s">
        <v>184</v>
      </c>
      <c r="B25" s="132">
        <f>'(1) البيانات الاساسية'!D9</f>
        <v>181157708</v>
      </c>
      <c r="C25" s="132">
        <f>'(3) العمليات المالية'!B9</f>
        <v>221354938.99999997</v>
      </c>
      <c r="D25" s="133">
        <f>B25-C25</f>
        <v>-40197230.99999997</v>
      </c>
      <c r="E25" s="134">
        <f>C25/B25</f>
        <v>1.221890812396456</v>
      </c>
      <c r="F25" s="30"/>
      <c r="G25" s="31"/>
    </row>
    <row r="26" spans="1:22" ht="21.6" customHeight="1" thickTop="1" thickBot="1">
      <c r="A26" s="131" t="s">
        <v>88</v>
      </c>
      <c r="B26" s="132">
        <f>'(1) البيانات الاساسية'!D10</f>
        <v>40849315</v>
      </c>
      <c r="C26" s="132">
        <f>'(3) العمليات المالية'!B11</f>
        <v>31715784.420000002</v>
      </c>
      <c r="D26" s="133">
        <f>B26-C26</f>
        <v>9133530.5799999982</v>
      </c>
      <c r="E26" s="134">
        <f>C26/B26</f>
        <v>0.77640921077868752</v>
      </c>
      <c r="F26" s="30"/>
      <c r="G26" s="31"/>
    </row>
    <row r="27" spans="1:22" ht="22.5" thickTop="1">
      <c r="E27" s="30"/>
      <c r="N27" s="30"/>
    </row>
    <row r="28" spans="1:22">
      <c r="N28" s="30"/>
    </row>
    <row r="29" spans="1:22">
      <c r="N29" s="30"/>
    </row>
  </sheetData>
  <sheetProtection algorithmName="SHA-512" hashValue="a9teu7/kDHMuM+cALFdiQeDxU5zP54DmpCdTdG9xh16XhPm/2l0jTSa7+g8APUQcjhbNWE31gzMoMgjofj5Suw==" saltValue="3EwEUKfgv/QQ2I8gnCo9DA==" spinCount="100000" sheet="1" objects="1" scenarios="1"/>
  <mergeCells count="3">
    <mergeCell ref="A1:B1"/>
    <mergeCell ref="A22:E22"/>
    <mergeCell ref="A15:B15"/>
  </mergeCells>
  <conditionalFormatting sqref="B13">
    <cfRule type="cellIs" dxfId="13" priority="38" operator="lessThan">
      <formula>1</formula>
    </cfRule>
    <cfRule type="cellIs" dxfId="12" priority="39" operator="between">
      <formula>1</formula>
      <formula>179</formula>
    </cfRule>
    <cfRule type="cellIs" dxfId="11" priority="40" operator="between">
      <formula>1</formula>
      <formula>179</formula>
    </cfRule>
    <cfRule type="cellIs" dxfId="10" priority="41" operator="greaterThan">
      <formula>180</formula>
    </cfRule>
  </conditionalFormatting>
  <conditionalFormatting sqref="B17:B18">
    <cfRule type="cellIs" dxfId="9" priority="32" operator="lessThan">
      <formula>0</formula>
    </cfRule>
    <cfRule type="cellIs" dxfId="8" priority="33" operator="greaterThan">
      <formula>0</formula>
    </cfRule>
  </conditionalFormatting>
  <conditionalFormatting sqref="B17:B20">
    <cfRule type="cellIs" dxfId="7" priority="42" operator="greaterThan">
      <formula>0</formula>
    </cfRule>
    <cfRule type="cellIs" dxfId="6" priority="43" operator="lessThan">
      <formula>0</formula>
    </cfRule>
  </conditionalFormatting>
  <conditionalFormatting sqref="E25:E26">
    <cfRule type="cellIs" dxfId="5" priority="14" operator="lessThan">
      <formula>0.8</formula>
    </cfRule>
    <cfRule type="cellIs" dxfId="4" priority="15" operator="between">
      <formula>0.8</formula>
      <formula>0.89</formula>
    </cfRule>
    <cfRule type="cellIs" dxfId="3" priority="16" operator="greaterThan">
      <formula>0.9</formula>
    </cfRule>
    <cfRule type="cellIs" dxfId="2" priority="57" operator="greaterThan">
      <formula>1</formula>
    </cfRule>
    <cfRule type="dataBar" priority="58">
      <dataBar>
        <cfvo type="percent" val="0"/>
        <cfvo type="percent" val="100"/>
        <color theme="0" tint="-0.249977111117893"/>
      </dataBar>
      <extLst>
        <ext xmlns:x14="http://schemas.microsoft.com/office/spreadsheetml/2009/9/main" uri="{B025F937-C7B1-47D3-B67F-A62EFF666E3E}">
          <x14:id>{E363B7CF-BD33-4486-A631-24DC5227A031}</x14:id>
        </ext>
      </extLst>
    </cfRule>
  </conditionalFormatting>
  <conditionalFormatting sqref="E26">
    <cfRule type="cellIs" dxfId="1" priority="9" operator="greaterThan">
      <formula>1.2</formula>
    </cfRule>
    <cfRule type="cellIs" dxfId="0" priority="10" operator="between">
      <formula>1.01</formula>
      <formula>1.2</formula>
    </cfRule>
    <cfRule type="dataBar" priority="56">
      <dataBar>
        <cfvo type="percent" val="0"/>
        <cfvo type="percent" val="100"/>
        <color theme="0" tint="-0.249977111117893"/>
      </dataBar>
      <extLst>
        <ext xmlns:x14="http://schemas.microsoft.com/office/spreadsheetml/2009/9/main" uri="{B025F937-C7B1-47D3-B67F-A62EFF666E3E}">
          <x14:id>{6DF16124-3620-4F58-9372-4C4F40FE3A71}</x14:id>
        </ext>
      </extLst>
    </cfRule>
  </conditionalFormatting>
  <dataValidations count="3">
    <dataValidation type="custom" operator="notEqual" allowBlank="1" showInputMessage="1" showErrorMessage="1" error=" الخلية لا تقبل نص " prompt="ملاحظة: ادخال ارقام" sqref="B19:B20" xr:uid="{0795ABE3-DF63-4CA0-8A2C-AA58C1CDB24B}">
      <formula1>ISNUMBER(B19)</formula1>
    </dataValidation>
    <dataValidation type="custom" operator="notEqual" allowBlank="1" showInputMessage="1" showErrorMessage="1" errorTitle="خطأ" error="_x000a_ الخلية لا تقبل ارقام " prompt="ملاحظة: الادخال نص" sqref="B5:B8" xr:uid="{5A32955E-4DE5-4A9E-B1A7-24EB872281FE}">
      <formula1>ISTEXT(B5)</formula1>
    </dataValidation>
    <dataValidation type="date" allowBlank="1" showInputMessage="1" showErrorMessage="1" error=" الخلية لا تقبل نص او ارقام" prompt="مثال على الادخال : mm/dd/yyyy" sqref="B11:B12" xr:uid="{92248DDC-EDBB-4A4E-89AD-7B4137353588}">
      <formula1>42370</formula1>
      <formula2>51136</formula2>
    </dataValidation>
  </dataValidations>
  <pageMargins left="0.23622047244094488" right="0.23622047244094488" top="1.1417322834645669" bottom="0.94488188976377951" header="0.31496062992125984" footer="0.31496062992125984"/>
  <pageSetup paperSize="9" scale="65" fitToHeight="0" orientation="landscape" r:id="rId1"/>
  <headerFooter>
    <oddHeader>&amp;C&amp;"Calibri,Bold"&amp;10&amp;K139119&amp;G</oddHeader>
    <oddFooter>&amp;C&amp;G</oddFooter>
  </headerFooter>
  <colBreaks count="1" manualBreakCount="1">
    <brk id="16" max="1048575" man="1"/>
  </colBreaks>
  <drawing r:id="rId2"/>
  <legacyDrawingHF r:id="rId3"/>
  <tableParts count="1"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363B7CF-BD33-4486-A631-24DC5227A031}">
            <x14:dataBar minLength="0" maxLength="100">
              <x14:cfvo type="percent">
                <xm:f>0</xm:f>
              </x14:cfvo>
              <x14:cfvo type="percent">
                <xm:f>100</xm:f>
              </x14:cfvo>
              <x14:negativeFillColor rgb="FFFF0000"/>
              <x14:axisColor rgb="FF000000"/>
            </x14:dataBar>
          </x14:cfRule>
          <xm:sqref>E25:E26</xm:sqref>
        </x14:conditionalFormatting>
        <x14:conditionalFormatting xmlns:xm="http://schemas.microsoft.com/office/excel/2006/main">
          <x14:cfRule type="dataBar" id="{6DF16124-3620-4F58-9372-4C4F40FE3A71}">
            <x14:dataBar minLength="0" maxLength="100">
              <x14:cfvo type="percent">
                <xm:f>0</xm:f>
              </x14:cfvo>
              <x14:cfvo type="percent">
                <xm:f>100</xm:f>
              </x14:cfvo>
              <x14:negativeFillColor rgb="FFFF0000"/>
              <x14:axisColor rgb="FF000000"/>
            </x14:dataBar>
          </x14:cfRule>
          <xm:sqref>E26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pageSetUpPr fitToPage="1"/>
  </sheetPr>
  <dimension ref="A1:C36"/>
  <sheetViews>
    <sheetView showGridLines="0" rightToLeft="1" view="pageBreakPreview" topLeftCell="A4" zoomScale="72" zoomScaleNormal="72" zoomScaleSheetLayoutView="72" workbookViewId="0">
      <selection activeCell="G22" sqref="G22"/>
    </sheetView>
  </sheetViews>
  <sheetFormatPr defaultRowHeight="15"/>
  <cols>
    <col min="1" max="1" width="4.5703125" customWidth="1"/>
    <col min="2" max="2" width="36.5703125" customWidth="1"/>
    <col min="3" max="3" width="44.7109375" customWidth="1"/>
  </cols>
  <sheetData>
    <row r="1" spans="1:3" s="1" customFormat="1" ht="23.25" customHeight="1" thickTop="1" thickBot="1">
      <c r="A1" s="203" t="s">
        <v>81</v>
      </c>
      <c r="B1" s="204"/>
      <c r="C1" s="204"/>
    </row>
    <row r="2" spans="1:3" ht="18.75" customHeight="1" thickTop="1" thickBot="1">
      <c r="A2" s="202">
        <v>1</v>
      </c>
      <c r="B2" s="198" t="s">
        <v>82</v>
      </c>
      <c r="C2" s="199"/>
    </row>
    <row r="3" spans="1:3" ht="24.75" thickTop="1" thickBot="1">
      <c r="A3" s="202"/>
      <c r="B3" s="200"/>
      <c r="C3" s="201"/>
    </row>
    <row r="4" spans="1:3" ht="24.75" thickTop="1" thickBot="1">
      <c r="A4" s="202"/>
      <c r="B4" s="200"/>
      <c r="C4" s="201"/>
    </row>
    <row r="5" spans="1:3" ht="24.75" thickTop="1" thickBot="1">
      <c r="A5" s="202"/>
      <c r="B5" s="200"/>
      <c r="C5" s="201"/>
    </row>
    <row r="6" spans="1:3" ht="24.75" thickTop="1" thickBot="1">
      <c r="A6" s="202"/>
      <c r="B6" s="200"/>
      <c r="C6" s="201"/>
    </row>
    <row r="7" spans="1:3" ht="16.5" customHeight="1" thickTop="1" thickBot="1">
      <c r="A7" s="202">
        <v>2</v>
      </c>
      <c r="B7" s="198" t="s">
        <v>83</v>
      </c>
      <c r="C7" s="199"/>
    </row>
    <row r="8" spans="1:3" ht="24.75" thickTop="1" thickBot="1">
      <c r="A8" s="202"/>
      <c r="B8" s="200"/>
      <c r="C8" s="201"/>
    </row>
    <row r="9" spans="1:3" ht="24.75" thickTop="1" thickBot="1">
      <c r="A9" s="202"/>
      <c r="B9" s="200"/>
      <c r="C9" s="201"/>
    </row>
    <row r="10" spans="1:3" ht="24.75" thickTop="1" thickBot="1">
      <c r="A10" s="202"/>
      <c r="B10" s="200"/>
      <c r="C10" s="201"/>
    </row>
    <row r="11" spans="1:3" ht="24.75" thickTop="1" thickBot="1">
      <c r="A11" s="202"/>
      <c r="B11" s="200"/>
      <c r="C11" s="201"/>
    </row>
    <row r="12" spans="1:3" ht="15.75" customHeight="1" thickTop="1" thickBot="1">
      <c r="A12" s="202">
        <v>3</v>
      </c>
      <c r="B12" s="198" t="s">
        <v>84</v>
      </c>
      <c r="C12" s="199"/>
    </row>
    <row r="13" spans="1:3" ht="24.75" thickTop="1" thickBot="1">
      <c r="A13" s="202"/>
      <c r="B13" s="200"/>
      <c r="C13" s="201"/>
    </row>
    <row r="14" spans="1:3" ht="24.75" thickTop="1" thickBot="1">
      <c r="A14" s="202"/>
      <c r="B14" s="200"/>
      <c r="C14" s="201"/>
    </row>
    <row r="15" spans="1:3" ht="24.75" thickTop="1" thickBot="1">
      <c r="A15" s="202"/>
      <c r="B15" s="200"/>
      <c r="C15" s="201"/>
    </row>
    <row r="16" spans="1:3" ht="24.75" thickTop="1" thickBot="1">
      <c r="A16" s="202"/>
      <c r="B16" s="200"/>
      <c r="C16" s="201"/>
    </row>
    <row r="17" spans="1:3" ht="24.75" thickTop="1" thickBot="1">
      <c r="A17" s="202">
        <v>4</v>
      </c>
      <c r="B17" s="198" t="s">
        <v>189</v>
      </c>
      <c r="C17" s="199"/>
    </row>
    <row r="18" spans="1:3" ht="24.75" thickTop="1" thickBot="1">
      <c r="A18" s="202"/>
      <c r="B18" s="200"/>
      <c r="C18" s="201"/>
    </row>
    <row r="19" spans="1:3" ht="24.75" thickTop="1" thickBot="1">
      <c r="A19" s="202"/>
      <c r="B19" s="200"/>
      <c r="C19" s="201"/>
    </row>
    <row r="20" spans="1:3" ht="24.75" thickTop="1" thickBot="1">
      <c r="A20" s="202"/>
      <c r="B20" s="8"/>
      <c r="C20" s="9"/>
    </row>
    <row r="21" spans="1:3" ht="24.75" thickTop="1" thickBot="1">
      <c r="A21" s="202"/>
      <c r="B21" s="200"/>
      <c r="C21" s="201"/>
    </row>
    <row r="22" spans="1:3" ht="24.75" thickTop="1" thickBot="1">
      <c r="A22" s="208"/>
      <c r="B22" s="209"/>
      <c r="C22" s="210"/>
    </row>
    <row r="23" spans="1:3" ht="24.75" thickTop="1" thickBot="1">
      <c r="A23" s="202">
        <v>5</v>
      </c>
      <c r="B23" s="198" t="s">
        <v>190</v>
      </c>
      <c r="C23" s="199"/>
    </row>
    <row r="24" spans="1:3" ht="24.75" thickTop="1" thickBot="1">
      <c r="A24" s="202"/>
      <c r="B24" s="200"/>
      <c r="C24" s="201"/>
    </row>
    <row r="25" spans="1:3" ht="24.75" thickTop="1" thickBot="1">
      <c r="A25" s="202"/>
      <c r="B25" s="200"/>
      <c r="C25" s="201"/>
    </row>
    <row r="26" spans="1:3" ht="24.75" thickTop="1" thickBot="1">
      <c r="A26" s="202"/>
      <c r="B26" s="8"/>
      <c r="C26" s="9"/>
    </row>
    <row r="27" spans="1:3" ht="24.75" thickTop="1" thickBot="1">
      <c r="A27" s="202"/>
      <c r="B27" s="200"/>
      <c r="C27" s="201"/>
    </row>
    <row r="28" spans="1:3" ht="24.75" thickTop="1" thickBot="1">
      <c r="A28" s="208"/>
      <c r="B28" s="209"/>
      <c r="C28" s="210"/>
    </row>
    <row r="29" spans="1:3" ht="24" customHeight="1" thickTop="1" thickBot="1">
      <c r="A29" s="205" t="s">
        <v>114</v>
      </c>
      <c r="B29" s="206"/>
      <c r="C29" s="207"/>
    </row>
    <row r="30" spans="1:3" ht="24.75" thickTop="1" thickBot="1">
      <c r="A30" s="10">
        <v>1</v>
      </c>
      <c r="B30" s="196"/>
      <c r="C30" s="197"/>
    </row>
    <row r="31" spans="1:3" ht="24.75" thickTop="1" thickBot="1">
      <c r="A31" s="10">
        <v>2</v>
      </c>
      <c r="B31" s="196"/>
      <c r="C31" s="197"/>
    </row>
    <row r="32" spans="1:3" ht="24.75" thickTop="1" thickBot="1">
      <c r="A32" s="10">
        <v>3</v>
      </c>
      <c r="B32" s="196"/>
      <c r="C32" s="197"/>
    </row>
    <row r="33" spans="1:3" ht="24.75" thickTop="1" thickBot="1">
      <c r="A33" s="10">
        <v>4</v>
      </c>
      <c r="B33" s="196"/>
      <c r="C33" s="197"/>
    </row>
    <row r="34" spans="1:3" ht="24.75" thickTop="1" thickBot="1">
      <c r="A34" s="10">
        <v>5</v>
      </c>
      <c r="B34" s="196"/>
      <c r="C34" s="197"/>
    </row>
    <row r="35" spans="1:3" ht="24.75" thickTop="1" thickBot="1">
      <c r="A35" s="10">
        <v>6</v>
      </c>
      <c r="B35" s="196"/>
      <c r="C35" s="197"/>
    </row>
    <row r="36" spans="1:3" ht="15.75" thickTop="1"/>
  </sheetData>
  <mergeCells count="38">
    <mergeCell ref="B24:C24"/>
    <mergeCell ref="B25:C25"/>
    <mergeCell ref="B27:C27"/>
    <mergeCell ref="B28:C28"/>
    <mergeCell ref="B15:C15"/>
    <mergeCell ref="B16:C16"/>
    <mergeCell ref="A7:A11"/>
    <mergeCell ref="A12:A16"/>
    <mergeCell ref="A1:C1"/>
    <mergeCell ref="A29:C29"/>
    <mergeCell ref="A2:A6"/>
    <mergeCell ref="B3:C3"/>
    <mergeCell ref="B4:C4"/>
    <mergeCell ref="B8:C8"/>
    <mergeCell ref="B13:C13"/>
    <mergeCell ref="A17:A22"/>
    <mergeCell ref="B19:C19"/>
    <mergeCell ref="B21:C21"/>
    <mergeCell ref="B22:C22"/>
    <mergeCell ref="B17:C17"/>
    <mergeCell ref="A23:A28"/>
    <mergeCell ref="B14:C14"/>
    <mergeCell ref="B32:C32"/>
    <mergeCell ref="B33:C33"/>
    <mergeCell ref="B34:C34"/>
    <mergeCell ref="B35:C35"/>
    <mergeCell ref="B2:C2"/>
    <mergeCell ref="B7:C7"/>
    <mergeCell ref="B12:C12"/>
    <mergeCell ref="B30:C30"/>
    <mergeCell ref="B31:C31"/>
    <mergeCell ref="B5:C5"/>
    <mergeCell ref="B6:C6"/>
    <mergeCell ref="B9:C9"/>
    <mergeCell ref="B10:C10"/>
    <mergeCell ref="B11:C11"/>
    <mergeCell ref="B18:C18"/>
    <mergeCell ref="B23:C23"/>
  </mergeCells>
  <pageMargins left="0.23622047244094491" right="0.23622047244094491" top="1.3385826771653544" bottom="0.94488188976377963" header="0.31496062992125984" footer="0.31496062992125984"/>
  <pageSetup paperSize="9" fitToHeight="0" orientation="portrait" r:id="rId1"/>
  <headerFooter>
    <oddHeader>&amp;C&amp;"Calibri,Bold"&amp;10&amp;K139119&amp;G</oddHeader>
    <oddFooter>&amp;C&amp;G</oddFooter>
  </headerFooter>
  <rowBreaks count="1" manualBreakCount="1">
    <brk id="16" max="2" man="1"/>
  </rowBreaks>
  <legacyDrawingHF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pageSetUpPr fitToPage="1"/>
  </sheetPr>
  <dimension ref="B9:I25"/>
  <sheetViews>
    <sheetView showGridLines="0" rightToLeft="1" tabSelected="1" view="pageBreakPreview" topLeftCell="A9" zoomScale="115" zoomScaleNormal="74" zoomScaleSheetLayoutView="115" workbookViewId="0">
      <selection activeCell="C20" sqref="C20"/>
    </sheetView>
  </sheetViews>
  <sheetFormatPr defaultRowHeight="15"/>
  <cols>
    <col min="2" max="2" width="23.5703125" bestFit="1" customWidth="1"/>
    <col min="6" max="6" width="16.140625" bestFit="1" customWidth="1"/>
    <col min="8" max="8" width="16.28515625" bestFit="1" customWidth="1"/>
  </cols>
  <sheetData>
    <row r="9" spans="2:9" ht="30">
      <c r="B9" s="142"/>
      <c r="F9" s="162" t="s">
        <v>210</v>
      </c>
    </row>
    <row r="10" spans="2:9">
      <c r="B10" s="143" t="s">
        <v>193</v>
      </c>
      <c r="F10" s="144" t="s">
        <v>194</v>
      </c>
    </row>
    <row r="11" spans="2:9">
      <c r="B11" s="143" t="s">
        <v>195</v>
      </c>
    </row>
    <row r="12" spans="2:9">
      <c r="B12" t="s">
        <v>196</v>
      </c>
      <c r="F12" s="145" cm="1">
        <f t="array" ref="F12">Table10[[#All],[Column4]]</f>
        <v>42659252.170000002</v>
      </c>
      <c r="I12" t="s">
        <v>41</v>
      </c>
    </row>
    <row r="13" spans="2:9">
      <c r="B13" s="143" t="s">
        <v>197</v>
      </c>
      <c r="F13" s="146">
        <f>SUM(F12)</f>
        <v>42659252.170000002</v>
      </c>
    </row>
    <row r="14" spans="2:9">
      <c r="B14" s="143" t="s">
        <v>198</v>
      </c>
    </row>
    <row r="15" spans="2:9">
      <c r="B15" t="s">
        <v>199</v>
      </c>
      <c r="F15" s="145">
        <f>Table7[[#This Row],[المبلغ]]</f>
        <v>253575471.21999997</v>
      </c>
      <c r="I15" t="s">
        <v>37</v>
      </c>
    </row>
    <row r="16" spans="2:9">
      <c r="B16" s="143" t="s">
        <v>200</v>
      </c>
      <c r="F16" s="147">
        <f>SUM(F15)</f>
        <v>253575471.21999997</v>
      </c>
    </row>
    <row r="17" spans="2:9" ht="15.75" thickBot="1">
      <c r="B17" s="143" t="s">
        <v>201</v>
      </c>
      <c r="F17" s="148">
        <f>+F16+F13</f>
        <v>296234723.38999999</v>
      </c>
    </row>
    <row r="18" spans="2:9" ht="15.75" thickTop="1"/>
    <row r="20" spans="2:9">
      <c r="B20" s="143" t="s">
        <v>202</v>
      </c>
    </row>
    <row r="21" spans="2:9">
      <c r="B21" s="143" t="s">
        <v>203</v>
      </c>
    </row>
    <row r="22" spans="2:9">
      <c r="B22" t="s">
        <v>204</v>
      </c>
      <c r="F22" s="149">
        <f>'(3) العمليات المالية'!D9</f>
        <v>286629975.58999997</v>
      </c>
      <c r="I22" t="s">
        <v>208</v>
      </c>
    </row>
    <row r="23" spans="2:9">
      <c r="B23" t="s">
        <v>205</v>
      </c>
      <c r="F23" s="149">
        <f>'(3) العمليات المالية'!D13+'(3) العمليات المالية'!D14</f>
        <v>9604747.8000000007</v>
      </c>
      <c r="I23" t="s">
        <v>209</v>
      </c>
    </row>
    <row r="24" spans="2:9" ht="15.75" thickBot="1">
      <c r="B24" s="143" t="s">
        <v>206</v>
      </c>
      <c r="F24" s="148">
        <f>SUM(F22:F23)</f>
        <v>296234723.38999999</v>
      </c>
    </row>
    <row r="25" spans="2:9" ht="15.75" thickTop="1">
      <c r="F25" s="149">
        <f>F17-F24</f>
        <v>0</v>
      </c>
    </row>
  </sheetData>
  <pageMargins left="0.23622047244094488" right="0.23622047244094488" top="1.1417322834645669" bottom="0.94488188976377951" header="0.31496062992125984" footer="0.31496062992125984"/>
  <pageSetup paperSize="9" fitToHeight="0" orientation="portrait" r:id="rId1"/>
  <headerFooter>
    <oddHeader>&amp;C&amp;"Calibri,Bold"&amp;10&amp;K139119&amp;G</oddHeader>
    <oddFooter>&amp;C&amp;G</oddFooter>
  </headerFooter>
  <drawing r:id="rId2"/>
  <legacyDrawingHF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EC2AF7CA78B2F4B841D52145F79518C" ma:contentTypeVersion="17" ma:contentTypeDescription="Create a new document." ma:contentTypeScope="" ma:versionID="3c1a5f0843b186014c81fc8dac016f3a">
  <xsd:schema xmlns:xsd="http://www.w3.org/2001/XMLSchema" xmlns:xs="http://www.w3.org/2001/XMLSchema" xmlns:p="http://schemas.microsoft.com/office/2006/metadata/properties" xmlns:ns2="6fcd52ad-a1e9-4738-8b50-09dfe5a79c41" xmlns:ns3="e243a8bc-5a47-4fd0-8b24-e0563dd0f644" targetNamespace="http://schemas.microsoft.com/office/2006/metadata/properties" ma:root="true" ma:fieldsID="03faa06ba649443234c096112ee5f8eb" ns2:_="" ns3:_="">
    <xsd:import namespace="6fcd52ad-a1e9-4738-8b50-09dfe5a79c41"/>
    <xsd:import namespace="e243a8bc-5a47-4fd0-8b24-e0563dd0f6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cd52ad-a1e9-4738-8b50-09dfe5a79c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b7edc9dc-8a85-4c6e-89e2-5d1c4c6c9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243a8bc-5a47-4fd0-8b24-e0563dd0f644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1bde3488-4168-400e-9f3f-cdd78afadfb0}" ma:internalName="TaxCatchAll" ma:showField="CatchAllData" ma:web="e243a8bc-5a47-4fd0-8b24-e0563dd0f6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fcd52ad-a1e9-4738-8b50-09dfe5a79c41">
      <Terms xmlns="http://schemas.microsoft.com/office/infopath/2007/PartnerControls"/>
    </lcf76f155ced4ddcb4097134ff3c332f>
    <TaxCatchAll xmlns="e243a8bc-5a47-4fd0-8b24-e0563dd0f644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CC3E56D-2B5D-4856-AA12-7F39426700E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cd52ad-a1e9-4738-8b50-09dfe5a79c41"/>
    <ds:schemaRef ds:uri="e243a8bc-5a47-4fd0-8b24-e0563dd0f64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5554DBE-5383-49F0-9FDB-C5423EAC4A68}">
  <ds:schemaRefs>
    <ds:schemaRef ds:uri="http://purl.org/dc/elements/1.1/"/>
    <ds:schemaRef ds:uri="http://purl.org/dc/terms/"/>
    <ds:schemaRef ds:uri="http://schemas.microsoft.com/office/2006/documentManagement/types"/>
    <ds:schemaRef ds:uri="http://schemas.microsoft.com/office/infopath/2007/PartnerControls"/>
    <ds:schemaRef ds:uri="0b2dd7a3-60ad-4124-a67f-0565c2cfe501"/>
    <ds:schemaRef ds:uri="http://schemas.openxmlformats.org/package/2006/metadata/core-properties"/>
    <ds:schemaRef ds:uri="http://purl.org/dc/dcmitype/"/>
    <ds:schemaRef ds:uri="http://schemas.microsoft.com/office/2006/metadata/properties"/>
    <ds:schemaRef ds:uri="http://www.w3.org/XML/1998/namespace"/>
    <ds:schemaRef ds:uri="6fcd52ad-a1e9-4738-8b50-09dfe5a79c41"/>
    <ds:schemaRef ds:uri="e243a8bc-5a47-4fd0-8b24-e0563dd0f644"/>
  </ds:schemaRefs>
</ds:datastoreItem>
</file>

<file path=customXml/itemProps3.xml><?xml version="1.0" encoding="utf-8"?>
<ds:datastoreItem xmlns:ds="http://schemas.openxmlformats.org/officeDocument/2006/customXml" ds:itemID="{7FE2175C-5327-41E0-831A-FB40EE5E159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أوراق العمل</vt:lpstr>
      </vt:variant>
      <vt:variant>
        <vt:i4>8</vt:i4>
      </vt:variant>
      <vt:variant>
        <vt:lpstr>النطاقات المسماة</vt:lpstr>
      </vt:variant>
      <vt:variant>
        <vt:i4>7</vt:i4>
      </vt:variant>
    </vt:vector>
  </HeadingPairs>
  <TitlesOfParts>
    <vt:vector size="15" baseType="lpstr">
      <vt:lpstr>(1) البيانات الاساسية</vt:lpstr>
      <vt:lpstr>(2) وثائق الصرف</vt:lpstr>
      <vt:lpstr>Sheet1</vt:lpstr>
      <vt:lpstr>(3) العمليات المالية</vt:lpstr>
      <vt:lpstr>(4) وحدات المشروع</vt:lpstr>
      <vt:lpstr>(5) تحليل البيانات المالية</vt:lpstr>
      <vt:lpstr>(6) النتائج والملاحظات</vt:lpstr>
      <vt:lpstr>قائمة المركز المالي (7)</vt:lpstr>
      <vt:lpstr>'(1) البيانات الاساسية'!Print_Area</vt:lpstr>
      <vt:lpstr>'(2) وثائق الصرف'!Print_Area</vt:lpstr>
      <vt:lpstr>'(3) العمليات المالية'!Print_Area</vt:lpstr>
      <vt:lpstr>'(4) وحدات المشروع'!Print_Area</vt:lpstr>
      <vt:lpstr>'(5) تحليل البيانات المالية'!Print_Area</vt:lpstr>
      <vt:lpstr>'(6) النتائج والملاحظات'!Print_Area</vt:lpstr>
      <vt:lpstr>'قائمة المركز المالي (7)'!Print_Area</vt:lpstr>
    </vt:vector>
  </TitlesOfParts>
  <Company>REGA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Saha O. Alshalawi</dc:creator>
  <cp:lastModifiedBy>Ahmed Salama</cp:lastModifiedBy>
  <cp:lastPrinted>2026-07-12T15:39:01Z</cp:lastPrinted>
  <dcterms:created xsi:type="dcterms:W3CDTF">2026-01-07T06:24:04Z</dcterms:created>
  <dcterms:modified xsi:type="dcterms:W3CDTF">2026-07-12T16:54:44Z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0x0101001EC2AF7CA78B2F4B841D52145F79518C</vt:lpwstr>
  </property>
  <property fmtid="{D5CDD505-2E9C-101B-9397-08002B2CF9AE}" pid="3" name="gvdocid">
    <vt:lpwstr>40bf9baa-e8f7-41f9-8caf-ed69b35191a6</vt:lpwstr>
  </property>
  <property fmtid="{D5CDD505-2E9C-101B-9397-08002B2CF9AE}" pid="4" name="ClassificationTagSetId">
    <vt:lpwstr>e16409a7-1700-4153-9090-3955bc2f0ae8</vt:lpwstr>
  </property>
  <property fmtid="{D5CDD505-2E9C-101B-9397-08002B2CF9AE}" pid="5" name="ComplianceTagSetId">
    <vt:lpwstr>f14fc1f1-8950-40d5-8a29-45909da947d6</vt:lpwstr>
  </property>
  <property fmtid="{D5CDD505-2E9C-101B-9397-08002B2CF9AE}" pid="6" name="FileId">
    <vt:lpwstr>40bf9baa-e8f7-41f9-8caf-ed69b35191a6</vt:lpwstr>
  </property>
  <property fmtid="{D5CDD505-2E9C-101B-9397-08002B2CF9AE}" pid="7" name="UserId">
    <vt:lpwstr>Mohammed Abanmie</vt:lpwstr>
  </property>
  <property fmtid="{D5CDD505-2E9C-101B-9397-08002B2CF9AE}" pid="8" name="TagDateTime">
    <vt:lpwstr>2026-06-22T07:46:30Z</vt:lpwstr>
  </property>
  <property fmtid="{D5CDD505-2E9C-101B-9397-08002B2CF9AE}" pid="9" name="GVData">
    <vt:lpwstr>eyJPUyI6IldpbmRvd3MiLCJkb2NJRCI6IjQwYmY5YmFhLWU4ZjctNDFmOS04Y2FmLWVkNjliMzUxOTFhNiIsImRvY1N0YXRlIjoie1wiM3JkUGFydHlIZWFkZXJcIjpcIntcXFwiQ2VudGVyXFxcIjpcXFwiJksxMzkxMTkmMTAmXFxcXFxcXCJDYWxpYnJpXFxcXFxc</vt:lpwstr>
  </property>
  <property fmtid="{D5CDD505-2E9C-101B-9397-08002B2CF9AE}" pid="10" name="GVData0">
    <vt:lpwstr>XCImQlB1YmxpYyAtINi52KfZhSZCXFxcIn1cIixcIkN1cnJlbnRTdGF0ZVwiOlwie1xcXCJGaXJzdFBhZ2VEaWZmZXJlbnRcXFwiOmZhbHNlLFxcXCJEaWZmZXJlbnRPZGRBbmRFdmVuUGFnZXNcXFwiOmZhbHNlLFxcXCJQYWdlQ291bnRcXFwiOjgsXFxcIkhlYWRl</vt:lpwstr>
  </property>
  <property fmtid="{D5CDD505-2E9C-101B-9397-08002B2CF9AE}" pid="11" name="GVData1">
    <vt:lpwstr>ck1ldGFkYXRhXFxcIjpcXFwie1xcXFxcXFwiTGVmdFxcXFxcXFwiOlxcXFxcXFwiXFxcXFxcXCIsXFxcXFxcXCJDZW50ZXJcXFxcXFxcIjpcXFxcXFxcIlB1YmxpYyAtINi52KfZhVxcXFxcXFwiLFxcXFxcXFwiUmlnaHRcXFxcXFxcIjpcXFxcXFxcIlxcXFxcXFwi</vt:lpwstr>
  </property>
  <property fmtid="{D5CDD505-2E9C-101B-9397-08002B2CF9AE}" pid="12" name="GVData2">
    <vt:lpwstr>fVxcXCIsXFxcIlRoaXJkUGFydHlIZWFkZXJNZXRhZGF0YVxcXCI6XFxcIntcXFxcXFxcIkNlbnRlclxcXFxcXFwiOlxcXFxcXFwiJksxMzkxMTkmMTAmXFxcXFxcXFxcXFxcXFxcIkNhbGlicmlcXFxcXFxcXFxcXFxcXFwiJkJQdWJsaWMgLSDYudin2YUmQlxcXFxc</vt:lpwstr>
  </property>
  <property fmtid="{D5CDD505-2E9C-101B-9397-08002B2CF9AE}" pid="13" name="GVData3">
    <vt:lpwstr>XFwifVxcXCIsXFxcIkdWSGVhZGVyRXhpc3RzXFxcIjp0cnVlLFxcXCJOb25HVkhlYWRlckV4aXN0c1xcXCI6dHJ1ZSxcXFwiRmxvYXRpbmdIZWFkZXJFeGlzdHNcXFwiOmZhbHNlLFxcXCJOb25HVkhlYWRlclNoYXBlRXhpc3RzXFxcIjpmYWxzZSxcXFwiVGhpcmRQ</vt:lpwstr>
  </property>
  <property fmtid="{D5CDD505-2E9C-101B-9397-08002B2CF9AE}" pid="14" name="GVData4">
    <vt:lpwstr>YXJ0eUhlYWRlcnNcXFwiOltdLFxcXCJGb290ZXJNZXRhZGF0YVxcXCI6XFxcIlxcXCIsXFxcIlRoaXJkUGFydHlGb290ZXJNZXRhZGF0YVxcXCI6XFxcIlxcXCIsXFxcIkdWRm9vdGVyRXhpc3RzXFxcIjpmYWxzZSxcXFwiTm9uR1ZGb290ZXJFeGlzdHNcXFwiOmZh</vt:lpwstr>
  </property>
  <property fmtid="{D5CDD505-2E9C-101B-9397-08002B2CF9AE}" pid="15" name="GVData5">
    <vt:lpwstr>bHNlLFxcXCJGbG9hdGluZ0Zvb3RlckV4aXN0c1xcXCI6ZmFsc2UsXFxcIk5vbkdWRm9vdGVyU2hhcGVFeGlzdHNcXFwiOmZhbHNlLFxcXCJUaGlyZFBhcnR5Rm9vdGVyc1xcXCI6W10sXFxcIldhdGVybWFya01ldGFkYXRhXFxcIjpcXFwiXFxcIixcXFwiV2F0ZXJt</vt:lpwstr>
  </property>
  <property fmtid="{D5CDD505-2E9C-101B-9397-08002B2CF9AE}" pid="16" name="GVData6">
    <vt:lpwstr>YXJrRXhpc3RzXFxcIjpmYWxzZSxcXFwiUG93ZXJwb2ludFRpdGxlTWV0YWRhdGFcXFwiOm51bGwsXFxcIlBvd2VycG9pbnRTdWJ0aXRsZU1ldGFkYXRhXFxcIjpudWxsLFxcXCJUaGlyZFBhcnR5TWV0YWRhdGFGb3VuZFxcXCI6ZmFsc2V9XCIsXCJIZWFkZXJcIjpc</vt:lpwstr>
  </property>
  <property fmtid="{D5CDD505-2E9C-101B-9397-08002B2CF9AE}" pid="17" name="GVData7">
    <vt:lpwstr>IntcXFwiTGVmdFxcXCI6XFxcIlxcXCIsXFxcIkNlbnRlclxcXCI6XFxcIlB1YmxpYyAtINi52KfZhVxcXCIsXFxcIlJpZ2h0XFxcIjpcXFwiXFxcIn1cIixcIk9wdGlvbnNcIjpcIntcXFwiUG9wdXBDb25maWd1cmF0aW9uXFxcIjp7XFxcIkFsd2F5c1Nob3dQb3B1</vt:lpwstr>
  </property>
  <property fmtid="{D5CDD505-2E9C-101B-9397-08002B2CF9AE}" pid="18" name="Classification">
    <vt:lpwstr>Public - عام</vt:lpwstr>
  </property>
  <property fmtid="{D5CDD505-2E9C-101B-9397-08002B2CF9AE}" pid="19" name="GVData8">
    <vt:lpwstr>cFxcXCI6ZmFsc2UsXFxcIkVuZm9yY2VIZWFkZXJGb290ZXJUeXBlXFxcIjpmYWxzZSxcXFwiSGVhZGVyUGxhY2VtZW50VHlwZVxcXCI6MCxcXFwiRm9vdGVyUGxhY2VtZW50VHlwZVxcXCI6MCxcXFwiRW5mb3JjZUxheW91dE9wdGlvblxcXCI6dHJ1ZSxcXFwiTGF5</vt:lpwstr>
  </property>
  <property fmtid="{D5CDD505-2E9C-101B-9397-08002B2CF9AE}" pid="20" name="GVData9">
    <vt:lpwstr>b3V0T3B0aW9uXFxcIjowLFxcXCJUcmlnZ2VyTnVtYmVyXFxcIjowLFxcXCJGcm9tSW5kZXhcXFwiOjAsXFxcIlRvSW5kZXhcXFwiOjAsXFxcIkVuZm9yY2VPdmVyd3JpdGVPcHRpb25cXFwiOnRydWUsXFxcIk92ZXJ3cml0ZU9wdGlvblxcXCI6XFxcImFwcGVuZFxc</vt:lpwstr>
  </property>
  <property fmtid="{D5CDD505-2E9C-101B-9397-08002B2CF9AE}" pid="21" name="GVData10">
    <vt:lpwstr>XCJ9LFxcXCJIZWFkZXJFbmFibGVkXFxcIjp0cnVlLFxcXCJIZWFkZXJcXFwiOlxcXCI8c3BhbiBzdHlsZT1cXFxcXFxcImNvbG9yOiMxMzkxMTk7XFxcXFxcXCI+PHN0cm9uZz5QdWJsaWMgLSDYudin2YU8L3N0cm9uZz48L3NwYW4+XFxcIixcXFwiSGVhZGVyc1xc</vt:lpwstr>
  </property>
  <property fmtid="{D5CDD505-2E9C-101B-9397-08002B2CF9AE}" pid="22" name="GVData11">
    <vt:lpwstr>XCI6W1xcXCI8c3BhbiBzdHlsZT1cXFxcXFxcImNvbG9yOiMxMzkxMTk7XFxcXFxcXCI+PHN0cm9uZz5QdWJsaWMgLSDYudin2YU8L3N0cm9uZz48L3NwYW4+XFxcIl0sXFxcIkhlYWRlclR5cGVcXFwiOjAsXFxcIkhlYWRlclR5cGVzQWxsb3dlZFxcXCI6WzAsMV0s</vt:lpwstr>
  </property>
  <property fmtid="{D5CDD505-2E9C-101B-9397-08002B2CF9AE}" pid="23" name="GVData12">
    <vt:lpwstr>XFxcIkhlYWRlclVwZGF0ZVR5cGVcXFwiOjAsXFxcIkZvb3RlckVuYWJsZWRcXFwiOmZhbHNlLFxcXCJGb290ZXJcXFwiOlxcXCJcXFwiLFxcXCJGb290ZXJzXFxcIjpbXFxcIlxcXCJdLFxcXCJGb290ZXJUeXBlXFxcIjoyLFxcXCJGb290ZXJUeXBlc0FsbG93ZWRc</vt:lpwstr>
  </property>
  <property fmtid="{D5CDD505-2E9C-101B-9397-08002B2CF9AE}" pid="24" name="GVData13">
    <vt:lpwstr>XFwiOlsyXSxcXFwiRm9vdGVyVXBkYXRlVHlwZVxcXCI6MCxcXFwiV2F0ZXJtYXJrXFxcIjpudWxsLFxcXCJXYXRlcm1hcmtFbmFibGVkXFxcIjpmYWxzZSxcXFwiU2hvdWxkV3JpdGVXYXRlcm1hcmtcXFwiOmZhbHNlLFxcXCJXYXRlcm1hcmtVcGRhdGVUeXBlXFxc</vt:lpwstr>
  </property>
  <property fmtid="{D5CDD505-2E9C-101B-9397-08002B2CF9AE}" pid="25" name="GVData14">
    <vt:lpwstr>IjowLFxcXCJQb3dlcnBvaW50VGl0bGVcXFwiOm51bGwsXFxcIlBvd2VycG9pbnRTdWJpdGxlXFxcIjpudWxsfVwiLFwiU3RhdGVcIjpcIntcXFwiRmlyc3RQYWdlRGlmZmVyZW50XFxcIjpmYWxzZSxcXFwiRGlmZmVyZW50T2RkQW5kRXZlblBhZ2VzXFxcIjpmYWxz</vt:lpwstr>
  </property>
  <property fmtid="{D5CDD505-2E9C-101B-9397-08002B2CF9AE}" pid="26" name="GVData15">
    <vt:lpwstr>ZSxcXFwiUGFnZUNvdW50XFxcIjo4LFxcXCJIZWFkZXJNZXRhZGF0YVxcXCI6XFxcIntcXFxcXFxcIkxlZnRcXFxcXFxcIjpcXFxcXFxcIlxcXFxcXFwiLFxcXFxcXFwiQ2VudGVyXFxcXFxcXCI6XFxcXFxcXCJQdWJsaWMgLSDYudin2YVcXFxcXFxcIixcXFxcXFxc</vt:lpwstr>
  </property>
  <property fmtid="{D5CDD505-2E9C-101B-9397-08002B2CF9AE}" pid="27" name="GVData16">
    <vt:lpwstr>IlJpZ2h0XFxcXFxcXCI6XFxcXFxcXCJcXFxcXFxcIn1cXFwiLFxcXCJUaGlyZFBhcnR5SGVhZGVyTWV0YWRhdGFcXFwiOlxcXCJ7XFxcXFxcXCJDZW50ZXJcXFxcXFxcIjpcXFxcXFxcIiZLMTM5MTE5JjEwJlxcXFxcXFxcXFxcXFxcXCJDYWxpYnJpXFxcXFxcXFxc</vt:lpwstr>
  </property>
  <property fmtid="{D5CDD505-2E9C-101B-9397-08002B2CF9AE}" pid="28" name="GVData17">
    <vt:lpwstr>XFxcXFxcIiZCUHVibGljIC0g2LnYp9mFJkJcXFxcXFxcIn1cXFwiLFxcXCJHVkhlYWRlckV4aXN0c1xcXCI6dHJ1ZSxcXFwiTm9uR1ZIZWFkZXJFeGlzdHNcXFwiOnRydWUsXFxcIkZsb2F0aW5nSGVhZGVyRXhpc3RzXFxcIjpmYWxzZSxcXFwiTm9uR1ZIZWFkZXJT</vt:lpwstr>
  </property>
  <property fmtid="{D5CDD505-2E9C-101B-9397-08002B2CF9AE}" pid="29" name="GVData18">
    <vt:lpwstr>aGFwZUV4aXN0c1xcXCI6ZmFsc2UsXFxcIlRoaXJkUGFydHlIZWFkZXJzXFxcIjpbXSxcXFwiRm9vdGVyTWV0YWRhdGFcXFwiOlxcXCJcXFwiLFxcXCJUaGlyZFBhcnR5Rm9vdGVyTWV0YWRhdGFcXFwiOlxcXCJcXFwiLFxcXCJHVkZvb3RlckV4aXN0c1xcXCI6ZmFs</vt:lpwstr>
  </property>
  <property fmtid="{D5CDD505-2E9C-101B-9397-08002B2CF9AE}" pid="30" name="GVData19">
    <vt:lpwstr>c2UsXFxcIk5vbkdWRm9vdGVyRXhpc3RzXFxcIjpmYWxzZSxcXFwiRmxvYXRpbmdGb290ZXJFeGlzdHNcXFwiOmZhbHNlLFxcXCJOb25HVkZvb3RlclNoYXBlRXhpc3RzXFxcIjpmYWxzZSxcXFwiVGhpcmRQYXJ0eUZvb3RlcnNcXFwiOltdLFxcXCJXYXRlcm1hcmtN</vt:lpwstr>
  </property>
  <property fmtid="{D5CDD505-2E9C-101B-9397-08002B2CF9AE}" pid="31" name="GVData20">
    <vt:lpwstr>ZXRhZGF0YVxcXCI6XFxcIlxcXCIsXFxcIldhdGVybWFya0V4aXN0c1xcXCI6ZmFsc2UsXFxcIlBvd2VycG9pbnRUaXRsZU1ldGFkYXRhXFxcIjpudWxsLFxcXCJQb3dlcnBvaW50U3VidGl0bGVNZXRhZGF0YVxcXCI6bnVsbCxcXFwiVGhpcmRQYXJ0eU1ldGFkYXRh</vt:lpwstr>
  </property>
  <property fmtid="{D5CDD505-2E9C-101B-9397-08002B2CF9AE}" pid="32" name="GVData21">
    <vt:lpwstr>Rm91bmRcXFwiOmZhbHNlfVwifSIsInBhcmVudExpbmVJZHMiOiJbXCJiNjdiMzRlYi1iNWU3LTQ3OTMtODcyMC04ODI0N2NiYTkzYTNcIixcIjA3NWU2ZjRhLTYzM2UtNGIwNC1hNWQxLTgyOWU1NzYxMTg2M1wiLFwiMjBiYjhkY2MtYTU2Mi00MWQ5LWFmOTUtYjBj</vt:lpwstr>
  </property>
  <property fmtid="{D5CDD505-2E9C-101B-9397-08002B2CF9AE}" pid="33" name="GVData22">
    <vt:lpwstr>M2Q0NDFlNTgxXCIsXCI4OGNiNTZlYy1jZTkzLTQ5MTctYmM1Ny1mOWViNWE1NmRmYmZcIixcIjM3ZWE2OGEwLWUwMzQtNDI4Zi05YTQ3LTU2YmQ2N2RhOTFhYVwiLFwiMzFhNjE1YmQtZjQwNS00MWViLTk5YzctOWRkYTRlZjUxYmYxXCIsXCI5N2RhYjYzZi01N2Vm</vt:lpwstr>
  </property>
  <property fmtid="{D5CDD505-2E9C-101B-9397-08002B2CF9AE}" pid="34" name="GVData23">
    <vt:lpwstr>LTQ0MjktYTU4MS0yZmVhZWZiNmQxNGJcIixcIjBmNmNhMWZlLWZlODgtNDU5OC04MTI3LTIyMTkyZjM2ZjY3NlwiLFwiM2U0YWQyNzItMWMzMC00MzRhLWEzYTktYzA2ZDA2MTczNzE5XCIsXCIwNmM4NzQ5Ni0wOWQ1LTQzZDUtYTg4Yi1iMWY3YjIzMmIyYmFcIl0i</vt:lpwstr>
  </property>
  <property fmtid="{D5CDD505-2E9C-101B-9397-08002B2CF9AE}" pid="35" name="GVData24">
    <vt:lpwstr>LCJ3cml0dGVuS2V5cyI6IltcImd2ZG9jaWRcIixcIkNsYXNzaWZpY2F0aW9uVGFnU2V0SWRcIixcIkNsYXNzaWZpY2F0aW9uXCIsXCJDb21wbGlhbmNlVGFnU2V0SWRcIixcIkZpbGVJZFwiLFwiVXNlcklkXCIsXCJUYWdEYXRlVGltZVwiXSIsIm5vT2ZHdkRhdGFF</vt:lpwstr>
  </property>
  <property fmtid="{D5CDD505-2E9C-101B-9397-08002B2CF9AE}" pid="36" name="GVData25">
    <vt:lpwstr>bnRyaWVzIjoiMjQiLCJ0YWdzZXRfZTE2NDA5YTdfMTcwMF80MTUzXzkwOTBfMzk1NWJjMmYwYWU4X2NsYXNzaWZpY2F0aW9uIjoiUHVibGljIC0g2LnYp9mFIiwibGluZUlkIjoiYTllMzU2MzItZmY1Ny00MWJlLThkODQtZGNmYzhiMTliZDc2In0=</vt:lpwstr>
  </property>
  <property fmtid="{D5CDD505-2E9C-101B-9397-08002B2CF9AE}" pid="37" name="GVData26">
    <vt:lpwstr>(end)</vt:lpwstr>
  </property>
  <property fmtid="{D5CDD505-2E9C-101B-9397-08002B2CF9AE}" pid="38" name="GVData27">
    <vt:lpwstr>aW1lXCJdIiwibm9PZkd2RGF0YUVudHJpZXMiOiIyNSIsInRhZ3NldF9lMTY0MDlhN18xNzAwXzQxNTNfOTA5MF8zOTU1YmMyZjBhZThfY2xhc3NpZmljYXRpb24iOiJQdWJsaWMgLSDYudin2YUiLCJsaW5lSWQiOiIwMGJlZjljOC01YWQxLTRiODktOWY3Ni02ZmU3</vt:lpwstr>
  </property>
  <property fmtid="{D5CDD505-2E9C-101B-9397-08002B2CF9AE}" pid="39" name="GVData28">
    <vt:lpwstr>NDQwZWU0NWQifQ==</vt:lpwstr>
  </property>
  <property fmtid="{D5CDD505-2E9C-101B-9397-08002B2CF9AE}" pid="40" name="GVData29">
    <vt:lpwstr>(end)</vt:lpwstr>
  </property>
  <property fmtid="{D5CDD505-2E9C-101B-9397-08002B2CF9AE}" pid="41" name="MediaServiceImageTags">
    <vt:lpwstr/>
  </property>
</Properties>
</file>